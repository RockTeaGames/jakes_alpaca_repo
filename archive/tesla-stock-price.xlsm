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rroc\source\repos\jakes_alpaca_repo\"/>
    </mc:Choice>
  </mc:AlternateContent>
  <xr:revisionPtr revIDLastSave="0" documentId="13_ncr:1_{ADAB818F-474A-40E5-BD9A-B89EDBA67E1D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tesla-stock-price" sheetId="1" r:id="rId1"/>
    <sheet name="tesla-stock-price (2)" sheetId="2" r:id="rId2"/>
    <sheet name="tesla-stock-price (3)" sheetId="3" r:id="rId3"/>
    <sheet name="tesla-stock-price (4)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7" i="4" l="1"/>
  <c r="P18" i="4"/>
  <c r="P23" i="4"/>
  <c r="O23" i="4"/>
  <c r="N23" i="4"/>
  <c r="H750" i="4"/>
  <c r="L23" i="4" s="1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751" i="3"/>
  <c r="H750" i="3"/>
  <c r="H749" i="3"/>
  <c r="H748" i="3"/>
  <c r="H747" i="3"/>
  <c r="H746" i="3"/>
  <c r="H745" i="3"/>
  <c r="H744" i="3"/>
  <c r="H743" i="3"/>
  <c r="H742" i="3"/>
  <c r="H741" i="3"/>
  <c r="H740" i="3"/>
  <c r="H739" i="3"/>
  <c r="H738" i="3"/>
  <c r="H737" i="3"/>
  <c r="H736" i="3"/>
  <c r="H735" i="3"/>
  <c r="H734" i="3"/>
  <c r="H733" i="3"/>
  <c r="H732" i="3"/>
  <c r="H731" i="3"/>
  <c r="H730" i="3"/>
  <c r="H729" i="3"/>
  <c r="H728" i="3"/>
  <c r="H727" i="3"/>
  <c r="H726" i="3"/>
  <c r="H725" i="3"/>
  <c r="H724" i="3"/>
  <c r="H723" i="3"/>
  <c r="H722" i="3"/>
  <c r="H721" i="3"/>
  <c r="H720" i="3"/>
  <c r="H719" i="3"/>
  <c r="H718" i="3"/>
  <c r="H717" i="3"/>
  <c r="H716" i="3"/>
  <c r="H715" i="3"/>
  <c r="H714" i="3"/>
  <c r="H713" i="3"/>
  <c r="H712" i="3"/>
  <c r="H711" i="3"/>
  <c r="H710" i="3"/>
  <c r="H709" i="3"/>
  <c r="H708" i="3"/>
  <c r="H707" i="3"/>
  <c r="H706" i="3"/>
  <c r="H705" i="3"/>
  <c r="H704" i="3"/>
  <c r="H703" i="3"/>
  <c r="H702" i="3"/>
  <c r="H701" i="3"/>
  <c r="H700" i="3"/>
  <c r="H699" i="3"/>
  <c r="H698" i="3"/>
  <c r="H697" i="3"/>
  <c r="H696" i="3"/>
  <c r="H695" i="3"/>
  <c r="H694" i="3"/>
  <c r="H693" i="3"/>
  <c r="H692" i="3"/>
  <c r="H691" i="3"/>
  <c r="H690" i="3"/>
  <c r="H689" i="3"/>
  <c r="H688" i="3"/>
  <c r="H687" i="3"/>
  <c r="H686" i="3"/>
  <c r="H685" i="3"/>
  <c r="H684" i="3"/>
  <c r="H683" i="3"/>
  <c r="H682" i="3"/>
  <c r="H681" i="3"/>
  <c r="H680" i="3"/>
  <c r="H679" i="3"/>
  <c r="H678" i="3"/>
  <c r="H677" i="3"/>
  <c r="H676" i="3"/>
  <c r="H675" i="3"/>
  <c r="H674" i="3"/>
  <c r="H673" i="3"/>
  <c r="H672" i="3"/>
  <c r="H671" i="3"/>
  <c r="H670" i="3"/>
  <c r="H669" i="3"/>
  <c r="H668" i="3"/>
  <c r="H667" i="3"/>
  <c r="H666" i="3"/>
  <c r="H665" i="3"/>
  <c r="H664" i="3"/>
  <c r="H663" i="3"/>
  <c r="H662" i="3"/>
  <c r="H661" i="3"/>
  <c r="H660" i="3"/>
  <c r="H659" i="3"/>
  <c r="H658" i="3"/>
  <c r="H657" i="3"/>
  <c r="H656" i="3"/>
  <c r="H655" i="3"/>
  <c r="H654" i="3"/>
  <c r="H653" i="3"/>
  <c r="H652" i="3"/>
  <c r="H651" i="3"/>
  <c r="H650" i="3"/>
  <c r="H649" i="3"/>
  <c r="H648" i="3"/>
  <c r="H647" i="3"/>
  <c r="H646" i="3"/>
  <c r="H645" i="3"/>
  <c r="H644" i="3"/>
  <c r="H643" i="3"/>
  <c r="H642" i="3"/>
  <c r="H641" i="3"/>
  <c r="H640" i="3"/>
  <c r="H639" i="3"/>
  <c r="H638" i="3"/>
  <c r="H637" i="3"/>
  <c r="H636" i="3"/>
  <c r="H635" i="3"/>
  <c r="H634" i="3"/>
  <c r="H633" i="3"/>
  <c r="H632" i="3"/>
  <c r="H631" i="3"/>
  <c r="H630" i="3"/>
  <c r="H629" i="3"/>
  <c r="H628" i="3"/>
  <c r="H627" i="3"/>
  <c r="H626" i="3"/>
  <c r="H625" i="3"/>
  <c r="H624" i="3"/>
  <c r="H623" i="3"/>
  <c r="H622" i="3"/>
  <c r="H621" i="3"/>
  <c r="H620" i="3"/>
  <c r="H619" i="3"/>
  <c r="H618" i="3"/>
  <c r="H617" i="3"/>
  <c r="H616" i="3"/>
  <c r="H615" i="3"/>
  <c r="H614" i="3"/>
  <c r="H613" i="3"/>
  <c r="H612" i="3"/>
  <c r="H611" i="3"/>
  <c r="H610" i="3"/>
  <c r="H609" i="3"/>
  <c r="H608" i="3"/>
  <c r="H607" i="3"/>
  <c r="H606" i="3"/>
  <c r="H605" i="3"/>
  <c r="H604" i="3"/>
  <c r="H603" i="3"/>
  <c r="H602" i="3"/>
  <c r="H601" i="3"/>
  <c r="H600" i="3"/>
  <c r="H599" i="3"/>
  <c r="H598" i="3"/>
  <c r="H597" i="3"/>
  <c r="H596" i="3"/>
  <c r="H595" i="3"/>
  <c r="H594" i="3"/>
  <c r="H593" i="3"/>
  <c r="H592" i="3"/>
  <c r="H591" i="3"/>
  <c r="H590" i="3"/>
  <c r="H589" i="3"/>
  <c r="H588" i="3"/>
  <c r="H587" i="3"/>
  <c r="H586" i="3"/>
  <c r="H585" i="3"/>
  <c r="H584" i="3"/>
  <c r="H583" i="3"/>
  <c r="H582" i="3"/>
  <c r="H581" i="3"/>
  <c r="H580" i="3"/>
  <c r="H579" i="3"/>
  <c r="H578" i="3"/>
  <c r="H577" i="3"/>
  <c r="H576" i="3"/>
  <c r="H575" i="3"/>
  <c r="H574" i="3"/>
  <c r="H573" i="3"/>
  <c r="H572" i="3"/>
  <c r="H571" i="3"/>
  <c r="H570" i="3"/>
  <c r="H569" i="3"/>
  <c r="H568" i="3"/>
  <c r="H567" i="3"/>
  <c r="H566" i="3"/>
  <c r="H565" i="3"/>
  <c r="H564" i="3"/>
  <c r="H563" i="3"/>
  <c r="H562" i="3"/>
  <c r="H561" i="3"/>
  <c r="H560" i="3"/>
  <c r="H559" i="3"/>
  <c r="H558" i="3"/>
  <c r="H557" i="3"/>
  <c r="H556" i="3"/>
  <c r="H555" i="3"/>
  <c r="H554" i="3"/>
  <c r="H553" i="3"/>
  <c r="H552" i="3"/>
  <c r="H551" i="3"/>
  <c r="H550" i="3"/>
  <c r="H549" i="3"/>
  <c r="H548" i="3"/>
  <c r="H547" i="3"/>
  <c r="H546" i="3"/>
  <c r="H545" i="3"/>
  <c r="H544" i="3"/>
  <c r="H543" i="3"/>
  <c r="H542" i="3"/>
  <c r="H541" i="3"/>
  <c r="H540" i="3"/>
  <c r="H539" i="3"/>
  <c r="H538" i="3"/>
  <c r="H537" i="3"/>
  <c r="H536" i="3"/>
  <c r="H535" i="3"/>
  <c r="H534" i="3"/>
  <c r="H533" i="3"/>
  <c r="H532" i="3"/>
  <c r="H531" i="3"/>
  <c r="H530" i="3"/>
  <c r="H529" i="3"/>
  <c r="H528" i="3"/>
  <c r="H527" i="3"/>
  <c r="H526" i="3"/>
  <c r="H525" i="3"/>
  <c r="H524" i="3"/>
  <c r="H523" i="3"/>
  <c r="H522" i="3"/>
  <c r="H521" i="3"/>
  <c r="H520" i="3"/>
  <c r="H519" i="3"/>
  <c r="H518" i="3"/>
  <c r="H517" i="3"/>
  <c r="H516" i="3"/>
  <c r="H515" i="3"/>
  <c r="H514" i="3"/>
  <c r="H513" i="3"/>
  <c r="H512" i="3"/>
  <c r="H511" i="3"/>
  <c r="H510" i="3"/>
  <c r="H509" i="3"/>
  <c r="H508" i="3"/>
  <c r="H507" i="3"/>
  <c r="H506" i="3"/>
  <c r="H505" i="3"/>
  <c r="H504" i="3"/>
  <c r="H503" i="3"/>
  <c r="H502" i="3"/>
  <c r="H501" i="3"/>
  <c r="H500" i="3"/>
  <c r="H499" i="3"/>
  <c r="H498" i="3"/>
  <c r="H497" i="3"/>
  <c r="H496" i="3"/>
  <c r="H495" i="3"/>
  <c r="H494" i="3"/>
  <c r="H493" i="3"/>
  <c r="H492" i="3"/>
  <c r="H491" i="3"/>
  <c r="H490" i="3"/>
  <c r="H489" i="3"/>
  <c r="H488" i="3"/>
  <c r="H487" i="3"/>
  <c r="H486" i="3"/>
  <c r="H485" i="3"/>
  <c r="H484" i="3"/>
  <c r="H483" i="3"/>
  <c r="H482" i="3"/>
  <c r="H481" i="3"/>
  <c r="H480" i="3"/>
  <c r="H479" i="3"/>
  <c r="H478" i="3"/>
  <c r="H477" i="3"/>
  <c r="H476" i="3"/>
  <c r="H475" i="3"/>
  <c r="H474" i="3"/>
  <c r="H473" i="3"/>
  <c r="H472" i="3"/>
  <c r="H471" i="3"/>
  <c r="H470" i="3"/>
  <c r="H469" i="3"/>
  <c r="H468" i="3"/>
  <c r="H467" i="3"/>
  <c r="H466" i="3"/>
  <c r="H465" i="3"/>
  <c r="H464" i="3"/>
  <c r="H463" i="3"/>
  <c r="H462" i="3"/>
  <c r="H461" i="3"/>
  <c r="H460" i="3"/>
  <c r="H459" i="3"/>
  <c r="H458" i="3"/>
  <c r="H457" i="3"/>
  <c r="H456" i="3"/>
  <c r="H455" i="3"/>
  <c r="H454" i="3"/>
  <c r="H453" i="3"/>
  <c r="H452" i="3"/>
  <c r="H451" i="3"/>
  <c r="H450" i="3"/>
  <c r="H449" i="3"/>
  <c r="H448" i="3"/>
  <c r="H447" i="3"/>
  <c r="H446" i="3"/>
  <c r="H445" i="3"/>
  <c r="H444" i="3"/>
  <c r="H443" i="3"/>
  <c r="H442" i="3"/>
  <c r="H441" i="3"/>
  <c r="H440" i="3"/>
  <c r="H439" i="3"/>
  <c r="H438" i="3"/>
  <c r="H437" i="3"/>
  <c r="H436" i="3"/>
  <c r="H435" i="3"/>
  <c r="H434" i="3"/>
  <c r="H433" i="3"/>
  <c r="H432" i="3"/>
  <c r="H431" i="3"/>
  <c r="H430" i="3"/>
  <c r="H429" i="3"/>
  <c r="H428" i="3"/>
  <c r="H427" i="3"/>
  <c r="H426" i="3"/>
  <c r="H425" i="3"/>
  <c r="H424" i="3"/>
  <c r="H423" i="3"/>
  <c r="H422" i="3"/>
  <c r="H421" i="3"/>
  <c r="H420" i="3"/>
  <c r="H419" i="3"/>
  <c r="H418" i="3"/>
  <c r="H417" i="3"/>
  <c r="H416" i="3"/>
  <c r="H415" i="3"/>
  <c r="H414" i="3"/>
  <c r="H413" i="3"/>
  <c r="H412" i="3"/>
  <c r="H411" i="3"/>
  <c r="H410" i="3"/>
  <c r="H409" i="3"/>
  <c r="H408" i="3"/>
  <c r="H407" i="3"/>
  <c r="H406" i="3"/>
  <c r="H405" i="3"/>
  <c r="H404" i="3"/>
  <c r="H403" i="3"/>
  <c r="H402" i="3"/>
  <c r="H401" i="3"/>
  <c r="H400" i="3"/>
  <c r="H399" i="3"/>
  <c r="H398" i="3"/>
  <c r="H397" i="3"/>
  <c r="H396" i="3"/>
  <c r="H395" i="3"/>
  <c r="H394" i="3"/>
  <c r="H393" i="3"/>
  <c r="H392" i="3"/>
  <c r="H391" i="3"/>
  <c r="H390" i="3"/>
  <c r="H389" i="3"/>
  <c r="H388" i="3"/>
  <c r="H387" i="3"/>
  <c r="H386" i="3"/>
  <c r="H385" i="3"/>
  <c r="H384" i="3"/>
  <c r="H383" i="3"/>
  <c r="H382" i="3"/>
  <c r="H381" i="3"/>
  <c r="H380" i="3"/>
  <c r="H379" i="3"/>
  <c r="H378" i="3"/>
  <c r="H377" i="3"/>
  <c r="H376" i="3"/>
  <c r="H375" i="3"/>
  <c r="H374" i="3"/>
  <c r="H373" i="3"/>
  <c r="H372" i="3"/>
  <c r="H371" i="3"/>
  <c r="H370" i="3"/>
  <c r="H369" i="3"/>
  <c r="H368" i="3"/>
  <c r="H367" i="3"/>
  <c r="H366" i="3"/>
  <c r="H365" i="3"/>
  <c r="H364" i="3"/>
  <c r="H363" i="3"/>
  <c r="H362" i="3"/>
  <c r="H361" i="3"/>
  <c r="H360" i="3"/>
  <c r="H359" i="3"/>
  <c r="H358" i="3"/>
  <c r="H357" i="3"/>
  <c r="H356" i="3"/>
  <c r="H355" i="3"/>
  <c r="H354" i="3"/>
  <c r="H353" i="3"/>
  <c r="H352" i="3"/>
  <c r="H351" i="3"/>
  <c r="H350" i="3"/>
  <c r="H349" i="3"/>
  <c r="H348" i="3"/>
  <c r="H347" i="3"/>
  <c r="H346" i="3"/>
  <c r="H345" i="3"/>
  <c r="H344" i="3"/>
  <c r="H343" i="3"/>
  <c r="H342" i="3"/>
  <c r="H341" i="3"/>
  <c r="H340" i="3"/>
  <c r="H339" i="3"/>
  <c r="H338" i="3"/>
  <c r="H337" i="3"/>
  <c r="H336" i="3"/>
  <c r="H335" i="3"/>
  <c r="H334" i="3"/>
  <c r="H333" i="3"/>
  <c r="H332" i="3"/>
  <c r="H331" i="3"/>
  <c r="H330" i="3"/>
  <c r="H329" i="3"/>
  <c r="H328" i="3"/>
  <c r="H327" i="3"/>
  <c r="H326" i="3"/>
  <c r="H325" i="3"/>
  <c r="H324" i="3"/>
  <c r="H323" i="3"/>
  <c r="H322" i="3"/>
  <c r="H321" i="3"/>
  <c r="H320" i="3"/>
  <c r="H319" i="3"/>
  <c r="H318" i="3"/>
  <c r="H317" i="3"/>
  <c r="H316" i="3"/>
  <c r="H315" i="3"/>
  <c r="H314" i="3"/>
  <c r="H313" i="3"/>
  <c r="H312" i="3"/>
  <c r="H311" i="3"/>
  <c r="H310" i="3"/>
  <c r="H309" i="3"/>
  <c r="H308" i="3"/>
  <c r="H307" i="3"/>
  <c r="H306" i="3"/>
  <c r="H305" i="3"/>
  <c r="H304" i="3"/>
  <c r="H303" i="3"/>
  <c r="H302" i="3"/>
  <c r="H301" i="3"/>
  <c r="H300" i="3"/>
  <c r="H299" i="3"/>
  <c r="H298" i="3"/>
  <c r="H297" i="3"/>
  <c r="H296" i="3"/>
  <c r="H295" i="3"/>
  <c r="H294" i="3"/>
  <c r="H293" i="3"/>
  <c r="H292" i="3"/>
  <c r="H291" i="3"/>
  <c r="H290" i="3"/>
  <c r="H289" i="3"/>
  <c r="H288" i="3"/>
  <c r="H287" i="3"/>
  <c r="H286" i="3"/>
  <c r="H285" i="3"/>
  <c r="H284" i="3"/>
  <c r="H283" i="3"/>
  <c r="H282" i="3"/>
  <c r="H281" i="3"/>
  <c r="H280" i="3"/>
  <c r="H279" i="3"/>
  <c r="H278" i="3"/>
  <c r="H277" i="3"/>
  <c r="H276" i="3"/>
  <c r="H275" i="3"/>
  <c r="H274" i="3"/>
  <c r="H273" i="3"/>
  <c r="H272" i="3"/>
  <c r="H271" i="3"/>
  <c r="H270" i="3"/>
  <c r="H269" i="3"/>
  <c r="H268" i="3"/>
  <c r="H267" i="3"/>
  <c r="H266" i="3"/>
  <c r="H265" i="3"/>
  <c r="H264" i="3"/>
  <c r="H263" i="3"/>
  <c r="H262" i="3"/>
  <c r="H261" i="3"/>
  <c r="H260" i="3"/>
  <c r="H259" i="3"/>
  <c r="H258" i="3"/>
  <c r="H257" i="3"/>
  <c r="H256" i="3"/>
  <c r="H255" i="3"/>
  <c r="H254" i="3"/>
  <c r="H253" i="3"/>
  <c r="H252" i="3"/>
  <c r="H251" i="3"/>
  <c r="H250" i="3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K22" i="3"/>
  <c r="K17" i="3" s="1"/>
  <c r="K16" i="3" s="1"/>
  <c r="C21" i="2"/>
  <c r="C60" i="2"/>
  <c r="D60" i="2"/>
  <c r="E60" i="2"/>
  <c r="C61" i="2"/>
  <c r="D61" i="2"/>
  <c r="E61" i="2"/>
  <c r="C62" i="2"/>
  <c r="D62" i="2"/>
  <c r="E62" i="2"/>
  <c r="C63" i="2"/>
  <c r="D63" i="2"/>
  <c r="E63" i="2"/>
  <c r="C64" i="2"/>
  <c r="D64" i="2"/>
  <c r="E64" i="2"/>
  <c r="C65" i="2"/>
  <c r="D65" i="2"/>
  <c r="E65" i="2"/>
  <c r="C66" i="2"/>
  <c r="D66" i="2"/>
  <c r="E66" i="2"/>
  <c r="C67" i="2"/>
  <c r="D67" i="2"/>
  <c r="E67" i="2"/>
  <c r="C68" i="2"/>
  <c r="D68" i="2"/>
  <c r="E68" i="2"/>
  <c r="C69" i="2"/>
  <c r="D69" i="2"/>
  <c r="E69" i="2"/>
  <c r="C70" i="2"/>
  <c r="D70" i="2"/>
  <c r="E70" i="2"/>
  <c r="C71" i="2"/>
  <c r="D71" i="2"/>
  <c r="E71" i="2"/>
  <c r="C72" i="2"/>
  <c r="D72" i="2"/>
  <c r="E72" i="2"/>
  <c r="C73" i="2"/>
  <c r="D73" i="2"/>
  <c r="E73" i="2"/>
  <c r="C74" i="2"/>
  <c r="D74" i="2"/>
  <c r="E74" i="2"/>
  <c r="C75" i="2"/>
  <c r="D75" i="2"/>
  <c r="E75" i="2"/>
  <c r="C76" i="2"/>
  <c r="D76" i="2"/>
  <c r="E7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C86" i="2"/>
  <c r="D86" i="2"/>
  <c r="E86" i="2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C112" i="2"/>
  <c r="D112" i="2"/>
  <c r="E112" i="2"/>
  <c r="C113" i="2"/>
  <c r="D113" i="2"/>
  <c r="E113" i="2"/>
  <c r="C114" i="2"/>
  <c r="D114" i="2"/>
  <c r="E114" i="2"/>
  <c r="C115" i="2"/>
  <c r="D115" i="2"/>
  <c r="E115" i="2"/>
  <c r="C116" i="2"/>
  <c r="D116" i="2"/>
  <c r="E116" i="2"/>
  <c r="C117" i="2"/>
  <c r="D117" i="2"/>
  <c r="E117" i="2"/>
  <c r="C118" i="2"/>
  <c r="D118" i="2"/>
  <c r="E118" i="2"/>
  <c r="C119" i="2"/>
  <c r="D119" i="2"/>
  <c r="E119" i="2"/>
  <c r="C120" i="2"/>
  <c r="D120" i="2"/>
  <c r="E120" i="2"/>
  <c r="C121" i="2"/>
  <c r="D121" i="2"/>
  <c r="E121" i="2"/>
  <c r="C122" i="2"/>
  <c r="D122" i="2"/>
  <c r="E122" i="2"/>
  <c r="C123" i="2"/>
  <c r="D123" i="2"/>
  <c r="E123" i="2"/>
  <c r="C124" i="2"/>
  <c r="D124" i="2"/>
  <c r="E124" i="2"/>
  <c r="C125" i="2"/>
  <c r="D125" i="2"/>
  <c r="E125" i="2"/>
  <c r="C126" i="2"/>
  <c r="D126" i="2"/>
  <c r="E126" i="2"/>
  <c r="C127" i="2"/>
  <c r="D127" i="2"/>
  <c r="E127" i="2"/>
  <c r="C128" i="2"/>
  <c r="D128" i="2"/>
  <c r="E128" i="2"/>
  <c r="C129" i="2"/>
  <c r="D129" i="2"/>
  <c r="E129" i="2"/>
  <c r="C130" i="2"/>
  <c r="D130" i="2"/>
  <c r="E130" i="2"/>
  <c r="C131" i="2"/>
  <c r="D131" i="2"/>
  <c r="E131" i="2"/>
  <c r="C132" i="2"/>
  <c r="D132" i="2"/>
  <c r="E132" i="2"/>
  <c r="C133" i="2"/>
  <c r="D133" i="2"/>
  <c r="E133" i="2"/>
  <c r="C134" i="2"/>
  <c r="D134" i="2"/>
  <c r="E134" i="2"/>
  <c r="C135" i="2"/>
  <c r="D135" i="2"/>
  <c r="E135" i="2"/>
  <c r="C136" i="2"/>
  <c r="D136" i="2"/>
  <c r="E136" i="2"/>
  <c r="C137" i="2"/>
  <c r="D137" i="2"/>
  <c r="E137" i="2"/>
  <c r="C138" i="2"/>
  <c r="D138" i="2"/>
  <c r="E138" i="2"/>
  <c r="C139" i="2"/>
  <c r="D139" i="2"/>
  <c r="E139" i="2"/>
  <c r="C140" i="2"/>
  <c r="D140" i="2"/>
  <c r="E140" i="2"/>
  <c r="C141" i="2"/>
  <c r="D141" i="2"/>
  <c r="E141" i="2"/>
  <c r="C142" i="2"/>
  <c r="D142" i="2"/>
  <c r="E142" i="2"/>
  <c r="C143" i="2"/>
  <c r="D143" i="2"/>
  <c r="E143" i="2"/>
  <c r="C144" i="2"/>
  <c r="D144" i="2"/>
  <c r="E144" i="2"/>
  <c r="C145" i="2"/>
  <c r="D145" i="2"/>
  <c r="E145" i="2"/>
  <c r="C146" i="2"/>
  <c r="D146" i="2"/>
  <c r="E146" i="2"/>
  <c r="C147" i="2"/>
  <c r="D147" i="2"/>
  <c r="E147" i="2"/>
  <c r="C148" i="2"/>
  <c r="D148" i="2"/>
  <c r="E148" i="2"/>
  <c r="C149" i="2"/>
  <c r="D149" i="2"/>
  <c r="E149" i="2"/>
  <c r="C150" i="2"/>
  <c r="D150" i="2"/>
  <c r="E150" i="2"/>
  <c r="C151" i="2"/>
  <c r="D151" i="2"/>
  <c r="E151" i="2"/>
  <c r="C152" i="2"/>
  <c r="D152" i="2"/>
  <c r="E152" i="2"/>
  <c r="C153" i="2"/>
  <c r="D153" i="2"/>
  <c r="E153" i="2"/>
  <c r="C154" i="2"/>
  <c r="D154" i="2"/>
  <c r="E154" i="2"/>
  <c r="C155" i="2"/>
  <c r="D155" i="2"/>
  <c r="E155" i="2"/>
  <c r="C156" i="2"/>
  <c r="D156" i="2"/>
  <c r="E156" i="2"/>
  <c r="C157" i="2"/>
  <c r="D157" i="2"/>
  <c r="E157" i="2"/>
  <c r="C158" i="2"/>
  <c r="D158" i="2"/>
  <c r="E158" i="2"/>
  <c r="C159" i="2"/>
  <c r="D159" i="2"/>
  <c r="E159" i="2"/>
  <c r="C160" i="2"/>
  <c r="D160" i="2"/>
  <c r="E160" i="2"/>
  <c r="C161" i="2"/>
  <c r="D161" i="2"/>
  <c r="E161" i="2"/>
  <c r="C162" i="2"/>
  <c r="D162" i="2"/>
  <c r="E162" i="2"/>
  <c r="C163" i="2"/>
  <c r="D163" i="2"/>
  <c r="E163" i="2"/>
  <c r="C164" i="2"/>
  <c r="D164" i="2"/>
  <c r="E164" i="2"/>
  <c r="C165" i="2"/>
  <c r="D165" i="2"/>
  <c r="E165" i="2"/>
  <c r="C166" i="2"/>
  <c r="D166" i="2"/>
  <c r="E166" i="2"/>
  <c r="C167" i="2"/>
  <c r="D167" i="2"/>
  <c r="E167" i="2"/>
  <c r="C168" i="2"/>
  <c r="D168" i="2"/>
  <c r="E168" i="2"/>
  <c r="C169" i="2"/>
  <c r="D169" i="2"/>
  <c r="E169" i="2"/>
  <c r="C170" i="2"/>
  <c r="D170" i="2"/>
  <c r="E170" i="2"/>
  <c r="C171" i="2"/>
  <c r="D171" i="2"/>
  <c r="E171" i="2"/>
  <c r="C172" i="2"/>
  <c r="D172" i="2"/>
  <c r="E172" i="2"/>
  <c r="C173" i="2"/>
  <c r="D173" i="2"/>
  <c r="E173" i="2"/>
  <c r="C174" i="2"/>
  <c r="D174" i="2"/>
  <c r="E174" i="2"/>
  <c r="C175" i="2"/>
  <c r="D175" i="2"/>
  <c r="E175" i="2"/>
  <c r="C176" i="2"/>
  <c r="D176" i="2"/>
  <c r="E176" i="2"/>
  <c r="C177" i="2"/>
  <c r="D177" i="2"/>
  <c r="E177" i="2"/>
  <c r="C178" i="2"/>
  <c r="D178" i="2"/>
  <c r="E178" i="2"/>
  <c r="C179" i="2"/>
  <c r="D179" i="2"/>
  <c r="E179" i="2"/>
  <c r="C180" i="2"/>
  <c r="D180" i="2"/>
  <c r="E180" i="2"/>
  <c r="C181" i="2"/>
  <c r="D181" i="2"/>
  <c r="E181" i="2"/>
  <c r="C182" i="2"/>
  <c r="D182" i="2"/>
  <c r="E182" i="2"/>
  <c r="C183" i="2"/>
  <c r="D183" i="2"/>
  <c r="E183" i="2"/>
  <c r="C184" i="2"/>
  <c r="D184" i="2"/>
  <c r="E184" i="2"/>
  <c r="C185" i="2"/>
  <c r="D185" i="2"/>
  <c r="E185" i="2"/>
  <c r="C186" i="2"/>
  <c r="D186" i="2"/>
  <c r="E186" i="2"/>
  <c r="C187" i="2"/>
  <c r="D187" i="2"/>
  <c r="E187" i="2"/>
  <c r="C188" i="2"/>
  <c r="D188" i="2"/>
  <c r="E188" i="2"/>
  <c r="C189" i="2"/>
  <c r="D189" i="2"/>
  <c r="E189" i="2"/>
  <c r="C190" i="2"/>
  <c r="D190" i="2"/>
  <c r="E190" i="2"/>
  <c r="C191" i="2"/>
  <c r="D191" i="2"/>
  <c r="E191" i="2"/>
  <c r="C192" i="2"/>
  <c r="D192" i="2"/>
  <c r="E192" i="2"/>
  <c r="C193" i="2"/>
  <c r="D193" i="2"/>
  <c r="E193" i="2"/>
  <c r="C194" i="2"/>
  <c r="D194" i="2"/>
  <c r="E194" i="2"/>
  <c r="C195" i="2"/>
  <c r="D195" i="2"/>
  <c r="E195" i="2"/>
  <c r="C196" i="2"/>
  <c r="D196" i="2"/>
  <c r="E196" i="2"/>
  <c r="C197" i="2"/>
  <c r="D197" i="2"/>
  <c r="E197" i="2"/>
  <c r="C198" i="2"/>
  <c r="D198" i="2"/>
  <c r="E198" i="2"/>
  <c r="C199" i="2"/>
  <c r="D199" i="2"/>
  <c r="E199" i="2"/>
  <c r="C200" i="2"/>
  <c r="D200" i="2"/>
  <c r="E200" i="2"/>
  <c r="C201" i="2"/>
  <c r="D201" i="2"/>
  <c r="E201" i="2"/>
  <c r="C202" i="2"/>
  <c r="D202" i="2"/>
  <c r="E202" i="2"/>
  <c r="C203" i="2"/>
  <c r="D203" i="2"/>
  <c r="E203" i="2"/>
  <c r="C204" i="2"/>
  <c r="D204" i="2"/>
  <c r="E204" i="2"/>
  <c r="C205" i="2"/>
  <c r="D205" i="2"/>
  <c r="E205" i="2"/>
  <c r="C206" i="2"/>
  <c r="D206" i="2"/>
  <c r="E206" i="2"/>
  <c r="C207" i="2"/>
  <c r="D207" i="2"/>
  <c r="E207" i="2"/>
  <c r="C208" i="2"/>
  <c r="D208" i="2"/>
  <c r="E208" i="2"/>
  <c r="C209" i="2"/>
  <c r="D209" i="2"/>
  <c r="E209" i="2"/>
  <c r="C210" i="2"/>
  <c r="D210" i="2"/>
  <c r="E210" i="2"/>
  <c r="C211" i="2"/>
  <c r="D211" i="2"/>
  <c r="E211" i="2"/>
  <c r="C212" i="2"/>
  <c r="D212" i="2"/>
  <c r="E212" i="2"/>
  <c r="C213" i="2"/>
  <c r="D213" i="2"/>
  <c r="E213" i="2"/>
  <c r="C214" i="2"/>
  <c r="D214" i="2"/>
  <c r="E214" i="2"/>
  <c r="C215" i="2"/>
  <c r="D215" i="2"/>
  <c r="E215" i="2"/>
  <c r="C216" i="2"/>
  <c r="D216" i="2"/>
  <c r="E216" i="2"/>
  <c r="C217" i="2"/>
  <c r="D217" i="2"/>
  <c r="E217" i="2"/>
  <c r="C218" i="2"/>
  <c r="D218" i="2"/>
  <c r="E218" i="2"/>
  <c r="C219" i="2"/>
  <c r="D219" i="2"/>
  <c r="E219" i="2"/>
  <c r="C220" i="2"/>
  <c r="D220" i="2"/>
  <c r="E220" i="2"/>
  <c r="C221" i="2"/>
  <c r="D221" i="2"/>
  <c r="E221" i="2"/>
  <c r="C222" i="2"/>
  <c r="D222" i="2"/>
  <c r="E222" i="2"/>
  <c r="C223" i="2"/>
  <c r="D223" i="2"/>
  <c r="E223" i="2"/>
  <c r="C224" i="2"/>
  <c r="D224" i="2"/>
  <c r="E224" i="2"/>
  <c r="C225" i="2"/>
  <c r="D225" i="2"/>
  <c r="E225" i="2"/>
  <c r="C226" i="2"/>
  <c r="D226" i="2"/>
  <c r="E226" i="2"/>
  <c r="C227" i="2"/>
  <c r="D227" i="2"/>
  <c r="E227" i="2"/>
  <c r="C228" i="2"/>
  <c r="D228" i="2"/>
  <c r="E228" i="2"/>
  <c r="C229" i="2"/>
  <c r="D229" i="2"/>
  <c r="E229" i="2"/>
  <c r="C230" i="2"/>
  <c r="D230" i="2"/>
  <c r="E230" i="2"/>
  <c r="C231" i="2"/>
  <c r="D231" i="2"/>
  <c r="E231" i="2"/>
  <c r="C232" i="2"/>
  <c r="D232" i="2"/>
  <c r="E232" i="2"/>
  <c r="C233" i="2"/>
  <c r="D233" i="2"/>
  <c r="E233" i="2"/>
  <c r="C234" i="2"/>
  <c r="D234" i="2"/>
  <c r="E234" i="2"/>
  <c r="C235" i="2"/>
  <c r="D235" i="2"/>
  <c r="E235" i="2"/>
  <c r="C236" i="2"/>
  <c r="D236" i="2"/>
  <c r="E236" i="2"/>
  <c r="C237" i="2"/>
  <c r="D237" i="2"/>
  <c r="E237" i="2"/>
  <c r="C238" i="2"/>
  <c r="D238" i="2"/>
  <c r="E238" i="2"/>
  <c r="C239" i="2"/>
  <c r="D239" i="2"/>
  <c r="E239" i="2"/>
  <c r="C240" i="2"/>
  <c r="D240" i="2"/>
  <c r="E240" i="2"/>
  <c r="C241" i="2"/>
  <c r="D241" i="2"/>
  <c r="E241" i="2"/>
  <c r="C242" i="2"/>
  <c r="D242" i="2"/>
  <c r="E242" i="2"/>
  <c r="C243" i="2"/>
  <c r="D243" i="2"/>
  <c r="E243" i="2"/>
  <c r="C244" i="2"/>
  <c r="D244" i="2"/>
  <c r="E244" i="2"/>
  <c r="C245" i="2"/>
  <c r="D245" i="2"/>
  <c r="E245" i="2"/>
  <c r="C246" i="2"/>
  <c r="D246" i="2"/>
  <c r="E246" i="2"/>
  <c r="C247" i="2"/>
  <c r="D247" i="2"/>
  <c r="E247" i="2"/>
  <c r="C248" i="2"/>
  <c r="D248" i="2"/>
  <c r="E248" i="2"/>
  <c r="C249" i="2"/>
  <c r="D249" i="2"/>
  <c r="E249" i="2"/>
  <c r="C250" i="2"/>
  <c r="D250" i="2"/>
  <c r="E250" i="2"/>
  <c r="C251" i="2"/>
  <c r="D251" i="2"/>
  <c r="E251" i="2"/>
  <c r="C252" i="2"/>
  <c r="D252" i="2"/>
  <c r="E252" i="2"/>
  <c r="C253" i="2"/>
  <c r="D253" i="2"/>
  <c r="E253" i="2"/>
  <c r="C254" i="2"/>
  <c r="D254" i="2"/>
  <c r="E254" i="2"/>
  <c r="C255" i="2"/>
  <c r="D255" i="2"/>
  <c r="E255" i="2"/>
  <c r="C256" i="2"/>
  <c r="D256" i="2"/>
  <c r="E256" i="2"/>
  <c r="C257" i="2"/>
  <c r="D257" i="2"/>
  <c r="E257" i="2"/>
  <c r="C258" i="2"/>
  <c r="D258" i="2"/>
  <c r="E258" i="2"/>
  <c r="C259" i="2"/>
  <c r="D259" i="2"/>
  <c r="E259" i="2"/>
  <c r="C260" i="2"/>
  <c r="D260" i="2"/>
  <c r="E260" i="2"/>
  <c r="C261" i="2"/>
  <c r="D261" i="2"/>
  <c r="E261" i="2"/>
  <c r="C262" i="2"/>
  <c r="D262" i="2"/>
  <c r="E262" i="2"/>
  <c r="C263" i="2"/>
  <c r="D263" i="2"/>
  <c r="E263" i="2"/>
  <c r="C264" i="2"/>
  <c r="D264" i="2"/>
  <c r="E264" i="2"/>
  <c r="C265" i="2"/>
  <c r="D265" i="2"/>
  <c r="E265" i="2"/>
  <c r="C266" i="2"/>
  <c r="D266" i="2"/>
  <c r="E266" i="2"/>
  <c r="C267" i="2"/>
  <c r="D267" i="2"/>
  <c r="E267" i="2"/>
  <c r="C268" i="2"/>
  <c r="D268" i="2"/>
  <c r="E268" i="2"/>
  <c r="C269" i="2"/>
  <c r="D269" i="2"/>
  <c r="E269" i="2"/>
  <c r="C270" i="2"/>
  <c r="D270" i="2"/>
  <c r="E270" i="2"/>
  <c r="C271" i="2"/>
  <c r="D271" i="2"/>
  <c r="E271" i="2"/>
  <c r="C272" i="2"/>
  <c r="D272" i="2"/>
  <c r="E272" i="2"/>
  <c r="C273" i="2"/>
  <c r="D273" i="2"/>
  <c r="E273" i="2"/>
  <c r="C274" i="2"/>
  <c r="D274" i="2"/>
  <c r="E274" i="2"/>
  <c r="C275" i="2"/>
  <c r="D275" i="2"/>
  <c r="E275" i="2"/>
  <c r="C276" i="2"/>
  <c r="D276" i="2"/>
  <c r="E276" i="2"/>
  <c r="C277" i="2"/>
  <c r="D277" i="2"/>
  <c r="E277" i="2"/>
  <c r="C278" i="2"/>
  <c r="D278" i="2"/>
  <c r="E278" i="2"/>
  <c r="C279" i="2"/>
  <c r="D279" i="2"/>
  <c r="E279" i="2"/>
  <c r="C280" i="2"/>
  <c r="D280" i="2"/>
  <c r="E280" i="2"/>
  <c r="C281" i="2"/>
  <c r="D281" i="2"/>
  <c r="E281" i="2"/>
  <c r="C282" i="2"/>
  <c r="D282" i="2"/>
  <c r="E282" i="2"/>
  <c r="C283" i="2"/>
  <c r="D283" i="2"/>
  <c r="E283" i="2"/>
  <c r="C284" i="2"/>
  <c r="D284" i="2"/>
  <c r="E284" i="2"/>
  <c r="C285" i="2"/>
  <c r="D285" i="2"/>
  <c r="E285" i="2"/>
  <c r="C286" i="2"/>
  <c r="D286" i="2"/>
  <c r="E286" i="2"/>
  <c r="C287" i="2"/>
  <c r="D287" i="2"/>
  <c r="E287" i="2"/>
  <c r="C288" i="2"/>
  <c r="D288" i="2"/>
  <c r="E288" i="2"/>
  <c r="C289" i="2"/>
  <c r="D289" i="2"/>
  <c r="E289" i="2"/>
  <c r="C290" i="2"/>
  <c r="D290" i="2"/>
  <c r="E290" i="2"/>
  <c r="C291" i="2"/>
  <c r="D291" i="2"/>
  <c r="E291" i="2"/>
  <c r="C292" i="2"/>
  <c r="D292" i="2"/>
  <c r="E292" i="2"/>
  <c r="C293" i="2"/>
  <c r="D293" i="2"/>
  <c r="E293" i="2"/>
  <c r="C294" i="2"/>
  <c r="D294" i="2"/>
  <c r="E294" i="2"/>
  <c r="C295" i="2"/>
  <c r="D295" i="2"/>
  <c r="E295" i="2"/>
  <c r="C296" i="2"/>
  <c r="D296" i="2"/>
  <c r="E296" i="2"/>
  <c r="C297" i="2"/>
  <c r="D297" i="2"/>
  <c r="E297" i="2"/>
  <c r="C298" i="2"/>
  <c r="D298" i="2"/>
  <c r="E298" i="2"/>
  <c r="C299" i="2"/>
  <c r="D299" i="2"/>
  <c r="E299" i="2"/>
  <c r="C300" i="2"/>
  <c r="D300" i="2"/>
  <c r="E300" i="2"/>
  <c r="C301" i="2"/>
  <c r="D301" i="2"/>
  <c r="E301" i="2"/>
  <c r="C302" i="2"/>
  <c r="D302" i="2"/>
  <c r="E302" i="2"/>
  <c r="C303" i="2"/>
  <c r="D303" i="2"/>
  <c r="E303" i="2"/>
  <c r="C304" i="2"/>
  <c r="D304" i="2"/>
  <c r="E304" i="2"/>
  <c r="C305" i="2"/>
  <c r="D305" i="2"/>
  <c r="E305" i="2"/>
  <c r="C306" i="2"/>
  <c r="D306" i="2"/>
  <c r="E306" i="2"/>
  <c r="C307" i="2"/>
  <c r="D307" i="2"/>
  <c r="E307" i="2"/>
  <c r="C308" i="2"/>
  <c r="D308" i="2"/>
  <c r="E308" i="2"/>
  <c r="C309" i="2"/>
  <c r="D309" i="2"/>
  <c r="E309" i="2"/>
  <c r="C310" i="2"/>
  <c r="D310" i="2"/>
  <c r="E310" i="2"/>
  <c r="C311" i="2"/>
  <c r="D311" i="2"/>
  <c r="E311" i="2"/>
  <c r="C312" i="2"/>
  <c r="D312" i="2"/>
  <c r="E312" i="2"/>
  <c r="C313" i="2"/>
  <c r="D313" i="2"/>
  <c r="E313" i="2"/>
  <c r="C314" i="2"/>
  <c r="D314" i="2"/>
  <c r="E314" i="2"/>
  <c r="C315" i="2"/>
  <c r="D315" i="2"/>
  <c r="E315" i="2"/>
  <c r="C316" i="2"/>
  <c r="D316" i="2"/>
  <c r="E316" i="2"/>
  <c r="C317" i="2"/>
  <c r="D317" i="2"/>
  <c r="E317" i="2"/>
  <c r="C318" i="2"/>
  <c r="D318" i="2"/>
  <c r="E318" i="2"/>
  <c r="C319" i="2"/>
  <c r="D319" i="2"/>
  <c r="E319" i="2"/>
  <c r="C320" i="2"/>
  <c r="D320" i="2"/>
  <c r="E320" i="2"/>
  <c r="C321" i="2"/>
  <c r="D321" i="2"/>
  <c r="E321" i="2"/>
  <c r="C322" i="2"/>
  <c r="D322" i="2"/>
  <c r="E322" i="2"/>
  <c r="C323" i="2"/>
  <c r="D323" i="2"/>
  <c r="E323" i="2"/>
  <c r="C324" i="2"/>
  <c r="D324" i="2"/>
  <c r="E324" i="2"/>
  <c r="C325" i="2"/>
  <c r="D325" i="2"/>
  <c r="E325" i="2"/>
  <c r="C326" i="2"/>
  <c r="D326" i="2"/>
  <c r="E326" i="2"/>
  <c r="C327" i="2"/>
  <c r="D327" i="2"/>
  <c r="E327" i="2"/>
  <c r="C328" i="2"/>
  <c r="D328" i="2"/>
  <c r="E328" i="2"/>
  <c r="C329" i="2"/>
  <c r="D329" i="2"/>
  <c r="E329" i="2"/>
  <c r="C330" i="2"/>
  <c r="D330" i="2"/>
  <c r="E330" i="2"/>
  <c r="C331" i="2"/>
  <c r="D331" i="2"/>
  <c r="E331" i="2"/>
  <c r="C332" i="2"/>
  <c r="D332" i="2"/>
  <c r="E332" i="2"/>
  <c r="C333" i="2"/>
  <c r="D333" i="2"/>
  <c r="E333" i="2"/>
  <c r="C334" i="2"/>
  <c r="D334" i="2"/>
  <c r="E334" i="2"/>
  <c r="C335" i="2"/>
  <c r="D335" i="2"/>
  <c r="E335" i="2"/>
  <c r="C336" i="2"/>
  <c r="D336" i="2"/>
  <c r="E336" i="2"/>
  <c r="C337" i="2"/>
  <c r="D337" i="2"/>
  <c r="E337" i="2"/>
  <c r="C338" i="2"/>
  <c r="D338" i="2"/>
  <c r="E338" i="2"/>
  <c r="C339" i="2"/>
  <c r="D339" i="2"/>
  <c r="E339" i="2"/>
  <c r="C340" i="2"/>
  <c r="D340" i="2"/>
  <c r="E340" i="2"/>
  <c r="C341" i="2"/>
  <c r="D341" i="2"/>
  <c r="E341" i="2"/>
  <c r="C342" i="2"/>
  <c r="D342" i="2"/>
  <c r="E342" i="2"/>
  <c r="C343" i="2"/>
  <c r="D343" i="2"/>
  <c r="E343" i="2"/>
  <c r="C344" i="2"/>
  <c r="D344" i="2"/>
  <c r="E344" i="2"/>
  <c r="C345" i="2"/>
  <c r="D345" i="2"/>
  <c r="E345" i="2"/>
  <c r="C346" i="2"/>
  <c r="D346" i="2"/>
  <c r="E346" i="2"/>
  <c r="C347" i="2"/>
  <c r="D347" i="2"/>
  <c r="E347" i="2"/>
  <c r="C348" i="2"/>
  <c r="D348" i="2"/>
  <c r="E348" i="2"/>
  <c r="C349" i="2"/>
  <c r="D349" i="2"/>
  <c r="E349" i="2"/>
  <c r="C350" i="2"/>
  <c r="D350" i="2"/>
  <c r="E350" i="2"/>
  <c r="C351" i="2"/>
  <c r="D351" i="2"/>
  <c r="E351" i="2"/>
  <c r="C352" i="2"/>
  <c r="D352" i="2"/>
  <c r="E352" i="2"/>
  <c r="C353" i="2"/>
  <c r="D353" i="2"/>
  <c r="E353" i="2"/>
  <c r="C354" i="2"/>
  <c r="D354" i="2"/>
  <c r="E354" i="2"/>
  <c r="C355" i="2"/>
  <c r="D355" i="2"/>
  <c r="E355" i="2"/>
  <c r="C356" i="2"/>
  <c r="D356" i="2"/>
  <c r="E356" i="2"/>
  <c r="C357" i="2"/>
  <c r="D357" i="2"/>
  <c r="E357" i="2"/>
  <c r="C358" i="2"/>
  <c r="D358" i="2"/>
  <c r="E358" i="2"/>
  <c r="C359" i="2"/>
  <c r="D359" i="2"/>
  <c r="E359" i="2"/>
  <c r="C360" i="2"/>
  <c r="D360" i="2"/>
  <c r="E360" i="2"/>
  <c r="C361" i="2"/>
  <c r="D361" i="2"/>
  <c r="E361" i="2"/>
  <c r="C362" i="2"/>
  <c r="D362" i="2"/>
  <c r="E362" i="2"/>
  <c r="C363" i="2"/>
  <c r="D363" i="2"/>
  <c r="E363" i="2"/>
  <c r="C364" i="2"/>
  <c r="D364" i="2"/>
  <c r="E364" i="2"/>
  <c r="C365" i="2"/>
  <c r="D365" i="2"/>
  <c r="E365" i="2"/>
  <c r="C366" i="2"/>
  <c r="D366" i="2"/>
  <c r="E366" i="2"/>
  <c r="C367" i="2"/>
  <c r="D367" i="2"/>
  <c r="E367" i="2"/>
  <c r="C368" i="2"/>
  <c r="D368" i="2"/>
  <c r="E368" i="2"/>
  <c r="C369" i="2"/>
  <c r="D369" i="2"/>
  <c r="E369" i="2"/>
  <c r="C370" i="2"/>
  <c r="D370" i="2"/>
  <c r="E370" i="2"/>
  <c r="C371" i="2"/>
  <c r="D371" i="2"/>
  <c r="E371" i="2"/>
  <c r="C372" i="2"/>
  <c r="D372" i="2"/>
  <c r="E372" i="2"/>
  <c r="C373" i="2"/>
  <c r="D373" i="2"/>
  <c r="E373" i="2"/>
  <c r="C374" i="2"/>
  <c r="D374" i="2"/>
  <c r="E374" i="2"/>
  <c r="C375" i="2"/>
  <c r="D375" i="2"/>
  <c r="E375" i="2"/>
  <c r="C376" i="2"/>
  <c r="D376" i="2"/>
  <c r="E376" i="2"/>
  <c r="C377" i="2"/>
  <c r="D377" i="2"/>
  <c r="E377" i="2"/>
  <c r="C378" i="2"/>
  <c r="D378" i="2"/>
  <c r="E378" i="2"/>
  <c r="C379" i="2"/>
  <c r="D379" i="2"/>
  <c r="E379" i="2"/>
  <c r="C380" i="2"/>
  <c r="D380" i="2"/>
  <c r="E380" i="2"/>
  <c r="C381" i="2"/>
  <c r="D381" i="2"/>
  <c r="E381" i="2"/>
  <c r="C382" i="2"/>
  <c r="D382" i="2"/>
  <c r="E382" i="2"/>
  <c r="C383" i="2"/>
  <c r="D383" i="2"/>
  <c r="E383" i="2"/>
  <c r="C384" i="2"/>
  <c r="D384" i="2"/>
  <c r="E384" i="2"/>
  <c r="C385" i="2"/>
  <c r="D385" i="2"/>
  <c r="E385" i="2"/>
  <c r="C386" i="2"/>
  <c r="D386" i="2"/>
  <c r="E386" i="2"/>
  <c r="C387" i="2"/>
  <c r="D387" i="2"/>
  <c r="E387" i="2"/>
  <c r="C388" i="2"/>
  <c r="D388" i="2"/>
  <c r="E388" i="2"/>
  <c r="C389" i="2"/>
  <c r="D389" i="2"/>
  <c r="E389" i="2"/>
  <c r="C390" i="2"/>
  <c r="D390" i="2"/>
  <c r="E390" i="2"/>
  <c r="C391" i="2"/>
  <c r="D391" i="2"/>
  <c r="E391" i="2"/>
  <c r="C392" i="2"/>
  <c r="D392" i="2"/>
  <c r="E392" i="2"/>
  <c r="C393" i="2"/>
  <c r="D393" i="2"/>
  <c r="E393" i="2"/>
  <c r="C394" i="2"/>
  <c r="D394" i="2"/>
  <c r="E394" i="2"/>
  <c r="C395" i="2"/>
  <c r="D395" i="2"/>
  <c r="E395" i="2"/>
  <c r="C396" i="2"/>
  <c r="D396" i="2"/>
  <c r="E396" i="2"/>
  <c r="C397" i="2"/>
  <c r="D397" i="2"/>
  <c r="E397" i="2"/>
  <c r="C398" i="2"/>
  <c r="D398" i="2"/>
  <c r="E398" i="2"/>
  <c r="C399" i="2"/>
  <c r="D399" i="2"/>
  <c r="E399" i="2"/>
  <c r="C400" i="2"/>
  <c r="D400" i="2"/>
  <c r="E400" i="2"/>
  <c r="C401" i="2"/>
  <c r="D401" i="2"/>
  <c r="E401" i="2"/>
  <c r="C402" i="2"/>
  <c r="D402" i="2"/>
  <c r="E402" i="2"/>
  <c r="C403" i="2"/>
  <c r="D403" i="2"/>
  <c r="E403" i="2"/>
  <c r="C404" i="2"/>
  <c r="D404" i="2"/>
  <c r="E404" i="2"/>
  <c r="C405" i="2"/>
  <c r="D405" i="2"/>
  <c r="E405" i="2"/>
  <c r="C406" i="2"/>
  <c r="D406" i="2"/>
  <c r="E406" i="2"/>
  <c r="C407" i="2"/>
  <c r="D407" i="2"/>
  <c r="E407" i="2"/>
  <c r="C408" i="2"/>
  <c r="D408" i="2"/>
  <c r="E408" i="2"/>
  <c r="C409" i="2"/>
  <c r="D409" i="2"/>
  <c r="E409" i="2"/>
  <c r="C410" i="2"/>
  <c r="D410" i="2"/>
  <c r="E410" i="2"/>
  <c r="C411" i="2"/>
  <c r="D411" i="2"/>
  <c r="E411" i="2"/>
  <c r="C412" i="2"/>
  <c r="D412" i="2"/>
  <c r="E412" i="2"/>
  <c r="C413" i="2"/>
  <c r="D413" i="2"/>
  <c r="E413" i="2"/>
  <c r="C414" i="2"/>
  <c r="D414" i="2"/>
  <c r="E414" i="2"/>
  <c r="C415" i="2"/>
  <c r="D415" i="2"/>
  <c r="E415" i="2"/>
  <c r="C416" i="2"/>
  <c r="D416" i="2"/>
  <c r="E416" i="2"/>
  <c r="C417" i="2"/>
  <c r="D417" i="2"/>
  <c r="E417" i="2"/>
  <c r="C418" i="2"/>
  <c r="D418" i="2"/>
  <c r="E418" i="2"/>
  <c r="C419" i="2"/>
  <c r="D419" i="2"/>
  <c r="E419" i="2"/>
  <c r="C420" i="2"/>
  <c r="D420" i="2"/>
  <c r="E420" i="2"/>
  <c r="C421" i="2"/>
  <c r="D421" i="2"/>
  <c r="E421" i="2"/>
  <c r="C422" i="2"/>
  <c r="D422" i="2"/>
  <c r="E422" i="2"/>
  <c r="C423" i="2"/>
  <c r="D423" i="2"/>
  <c r="E423" i="2"/>
  <c r="C424" i="2"/>
  <c r="D424" i="2"/>
  <c r="E424" i="2"/>
  <c r="C425" i="2"/>
  <c r="D425" i="2"/>
  <c r="E425" i="2"/>
  <c r="C426" i="2"/>
  <c r="D426" i="2"/>
  <c r="E426" i="2"/>
  <c r="C427" i="2"/>
  <c r="D427" i="2"/>
  <c r="E427" i="2"/>
  <c r="C428" i="2"/>
  <c r="D428" i="2"/>
  <c r="E428" i="2"/>
  <c r="C429" i="2"/>
  <c r="D429" i="2"/>
  <c r="E429" i="2"/>
  <c r="C430" i="2"/>
  <c r="D430" i="2"/>
  <c r="E430" i="2"/>
  <c r="C431" i="2"/>
  <c r="D431" i="2"/>
  <c r="E431" i="2"/>
  <c r="C432" i="2"/>
  <c r="D432" i="2"/>
  <c r="E432" i="2"/>
  <c r="C433" i="2"/>
  <c r="D433" i="2"/>
  <c r="E433" i="2"/>
  <c r="C434" i="2"/>
  <c r="D434" i="2"/>
  <c r="E434" i="2"/>
  <c r="C435" i="2"/>
  <c r="D435" i="2"/>
  <c r="E435" i="2"/>
  <c r="C436" i="2"/>
  <c r="D436" i="2"/>
  <c r="E436" i="2"/>
  <c r="C437" i="2"/>
  <c r="D437" i="2"/>
  <c r="E437" i="2"/>
  <c r="C438" i="2"/>
  <c r="D438" i="2"/>
  <c r="E438" i="2"/>
  <c r="C439" i="2"/>
  <c r="D439" i="2"/>
  <c r="E439" i="2"/>
  <c r="C440" i="2"/>
  <c r="D440" i="2"/>
  <c r="E440" i="2"/>
  <c r="C441" i="2"/>
  <c r="D441" i="2"/>
  <c r="E441" i="2"/>
  <c r="C442" i="2"/>
  <c r="D442" i="2"/>
  <c r="E442" i="2"/>
  <c r="C443" i="2"/>
  <c r="D443" i="2"/>
  <c r="E443" i="2"/>
  <c r="C444" i="2"/>
  <c r="D444" i="2"/>
  <c r="E444" i="2"/>
  <c r="C445" i="2"/>
  <c r="D445" i="2"/>
  <c r="E445" i="2"/>
  <c r="C446" i="2"/>
  <c r="D446" i="2"/>
  <c r="E446" i="2"/>
  <c r="C447" i="2"/>
  <c r="D447" i="2"/>
  <c r="E447" i="2"/>
  <c r="C448" i="2"/>
  <c r="D448" i="2"/>
  <c r="E448" i="2"/>
  <c r="C449" i="2"/>
  <c r="D449" i="2"/>
  <c r="E449" i="2"/>
  <c r="C450" i="2"/>
  <c r="D450" i="2"/>
  <c r="E450" i="2"/>
  <c r="C451" i="2"/>
  <c r="D451" i="2"/>
  <c r="E451" i="2"/>
  <c r="C452" i="2"/>
  <c r="D452" i="2"/>
  <c r="E452" i="2"/>
  <c r="C453" i="2"/>
  <c r="D453" i="2"/>
  <c r="E453" i="2"/>
  <c r="C454" i="2"/>
  <c r="D454" i="2"/>
  <c r="E454" i="2"/>
  <c r="C455" i="2"/>
  <c r="D455" i="2"/>
  <c r="E455" i="2"/>
  <c r="C456" i="2"/>
  <c r="D456" i="2"/>
  <c r="E456" i="2"/>
  <c r="C457" i="2"/>
  <c r="D457" i="2"/>
  <c r="E457" i="2"/>
  <c r="C458" i="2"/>
  <c r="D458" i="2"/>
  <c r="E458" i="2"/>
  <c r="C459" i="2"/>
  <c r="D459" i="2"/>
  <c r="E459" i="2"/>
  <c r="C460" i="2"/>
  <c r="D460" i="2"/>
  <c r="E460" i="2"/>
  <c r="C461" i="2"/>
  <c r="D461" i="2"/>
  <c r="E461" i="2"/>
  <c r="C462" i="2"/>
  <c r="D462" i="2"/>
  <c r="E462" i="2"/>
  <c r="C463" i="2"/>
  <c r="D463" i="2"/>
  <c r="E463" i="2"/>
  <c r="C464" i="2"/>
  <c r="D464" i="2"/>
  <c r="E464" i="2"/>
  <c r="C465" i="2"/>
  <c r="D465" i="2"/>
  <c r="E465" i="2"/>
  <c r="C466" i="2"/>
  <c r="D466" i="2"/>
  <c r="E466" i="2"/>
  <c r="C467" i="2"/>
  <c r="D467" i="2"/>
  <c r="E467" i="2"/>
  <c r="C468" i="2"/>
  <c r="D468" i="2"/>
  <c r="E468" i="2"/>
  <c r="C469" i="2"/>
  <c r="D469" i="2"/>
  <c r="E469" i="2"/>
  <c r="C470" i="2"/>
  <c r="D470" i="2"/>
  <c r="E470" i="2"/>
  <c r="C471" i="2"/>
  <c r="D471" i="2"/>
  <c r="E471" i="2"/>
  <c r="C472" i="2"/>
  <c r="D472" i="2"/>
  <c r="E472" i="2"/>
  <c r="C473" i="2"/>
  <c r="D473" i="2"/>
  <c r="E473" i="2"/>
  <c r="C474" i="2"/>
  <c r="D474" i="2"/>
  <c r="E474" i="2"/>
  <c r="C475" i="2"/>
  <c r="D475" i="2"/>
  <c r="E475" i="2"/>
  <c r="C476" i="2"/>
  <c r="D476" i="2"/>
  <c r="E476" i="2"/>
  <c r="C477" i="2"/>
  <c r="D477" i="2"/>
  <c r="E477" i="2"/>
  <c r="C478" i="2"/>
  <c r="D478" i="2"/>
  <c r="E478" i="2"/>
  <c r="C479" i="2"/>
  <c r="D479" i="2"/>
  <c r="E479" i="2"/>
  <c r="C480" i="2"/>
  <c r="D480" i="2"/>
  <c r="E480" i="2"/>
  <c r="C481" i="2"/>
  <c r="D481" i="2"/>
  <c r="E481" i="2"/>
  <c r="C482" i="2"/>
  <c r="D482" i="2"/>
  <c r="E482" i="2"/>
  <c r="C483" i="2"/>
  <c r="D483" i="2"/>
  <c r="E483" i="2"/>
  <c r="C484" i="2"/>
  <c r="D484" i="2"/>
  <c r="E484" i="2"/>
  <c r="C485" i="2"/>
  <c r="D485" i="2"/>
  <c r="E485" i="2"/>
  <c r="C486" i="2"/>
  <c r="D486" i="2"/>
  <c r="E486" i="2"/>
  <c r="C487" i="2"/>
  <c r="D487" i="2"/>
  <c r="E487" i="2"/>
  <c r="C488" i="2"/>
  <c r="D488" i="2"/>
  <c r="E488" i="2"/>
  <c r="C489" i="2"/>
  <c r="D489" i="2"/>
  <c r="E489" i="2"/>
  <c r="C490" i="2"/>
  <c r="D490" i="2"/>
  <c r="E490" i="2"/>
  <c r="C491" i="2"/>
  <c r="D491" i="2"/>
  <c r="E491" i="2"/>
  <c r="C492" i="2"/>
  <c r="D492" i="2"/>
  <c r="E492" i="2"/>
  <c r="C493" i="2"/>
  <c r="D493" i="2"/>
  <c r="E493" i="2"/>
  <c r="C494" i="2"/>
  <c r="D494" i="2"/>
  <c r="E494" i="2"/>
  <c r="C495" i="2"/>
  <c r="D495" i="2"/>
  <c r="E495" i="2"/>
  <c r="C496" i="2"/>
  <c r="D496" i="2"/>
  <c r="E496" i="2"/>
  <c r="C497" i="2"/>
  <c r="D497" i="2"/>
  <c r="E497" i="2"/>
  <c r="C498" i="2"/>
  <c r="D498" i="2"/>
  <c r="E498" i="2"/>
  <c r="C499" i="2"/>
  <c r="D499" i="2"/>
  <c r="E499" i="2"/>
  <c r="C500" i="2"/>
  <c r="D500" i="2"/>
  <c r="E500" i="2"/>
  <c r="C501" i="2"/>
  <c r="D501" i="2"/>
  <c r="E501" i="2"/>
  <c r="C502" i="2"/>
  <c r="D502" i="2"/>
  <c r="E502" i="2"/>
  <c r="C503" i="2"/>
  <c r="D503" i="2"/>
  <c r="E503" i="2"/>
  <c r="C504" i="2"/>
  <c r="D504" i="2"/>
  <c r="E504" i="2"/>
  <c r="C505" i="2"/>
  <c r="D505" i="2"/>
  <c r="E505" i="2"/>
  <c r="C506" i="2"/>
  <c r="D506" i="2"/>
  <c r="E506" i="2"/>
  <c r="C507" i="2"/>
  <c r="D507" i="2"/>
  <c r="E507" i="2"/>
  <c r="C508" i="2"/>
  <c r="D508" i="2"/>
  <c r="E508" i="2"/>
  <c r="C509" i="2"/>
  <c r="D509" i="2"/>
  <c r="E509" i="2"/>
  <c r="C510" i="2"/>
  <c r="D510" i="2"/>
  <c r="E510" i="2"/>
  <c r="C511" i="2"/>
  <c r="D511" i="2"/>
  <c r="E511" i="2"/>
  <c r="C512" i="2"/>
  <c r="D512" i="2"/>
  <c r="E512" i="2"/>
  <c r="C513" i="2"/>
  <c r="D513" i="2"/>
  <c r="E513" i="2"/>
  <c r="C514" i="2"/>
  <c r="D514" i="2"/>
  <c r="E514" i="2"/>
  <c r="C515" i="2"/>
  <c r="D515" i="2"/>
  <c r="E515" i="2"/>
  <c r="C516" i="2"/>
  <c r="D516" i="2"/>
  <c r="E516" i="2"/>
  <c r="C517" i="2"/>
  <c r="D517" i="2"/>
  <c r="E517" i="2"/>
  <c r="C518" i="2"/>
  <c r="D518" i="2"/>
  <c r="E518" i="2"/>
  <c r="C519" i="2"/>
  <c r="D519" i="2"/>
  <c r="E519" i="2"/>
  <c r="C520" i="2"/>
  <c r="D520" i="2"/>
  <c r="E520" i="2"/>
  <c r="C521" i="2"/>
  <c r="D521" i="2"/>
  <c r="E521" i="2"/>
  <c r="C522" i="2"/>
  <c r="D522" i="2"/>
  <c r="E522" i="2"/>
  <c r="C523" i="2"/>
  <c r="D523" i="2"/>
  <c r="E523" i="2"/>
  <c r="C524" i="2"/>
  <c r="D524" i="2"/>
  <c r="E524" i="2"/>
  <c r="C525" i="2"/>
  <c r="D525" i="2"/>
  <c r="E525" i="2"/>
  <c r="C526" i="2"/>
  <c r="D526" i="2"/>
  <c r="E526" i="2"/>
  <c r="C527" i="2"/>
  <c r="D527" i="2"/>
  <c r="E527" i="2"/>
  <c r="C528" i="2"/>
  <c r="D528" i="2"/>
  <c r="E528" i="2"/>
  <c r="C529" i="2"/>
  <c r="D529" i="2"/>
  <c r="E529" i="2"/>
  <c r="C530" i="2"/>
  <c r="D530" i="2"/>
  <c r="E530" i="2"/>
  <c r="C531" i="2"/>
  <c r="D531" i="2"/>
  <c r="E531" i="2"/>
  <c r="C532" i="2"/>
  <c r="D532" i="2"/>
  <c r="E532" i="2"/>
  <c r="C533" i="2"/>
  <c r="D533" i="2"/>
  <c r="E533" i="2"/>
  <c r="C534" i="2"/>
  <c r="D534" i="2"/>
  <c r="E534" i="2"/>
  <c r="C535" i="2"/>
  <c r="D535" i="2"/>
  <c r="E535" i="2"/>
  <c r="C536" i="2"/>
  <c r="D536" i="2"/>
  <c r="E536" i="2"/>
  <c r="C537" i="2"/>
  <c r="D537" i="2"/>
  <c r="E537" i="2"/>
  <c r="C538" i="2"/>
  <c r="D538" i="2"/>
  <c r="E538" i="2"/>
  <c r="C539" i="2"/>
  <c r="D539" i="2"/>
  <c r="E539" i="2"/>
  <c r="C540" i="2"/>
  <c r="D540" i="2"/>
  <c r="E540" i="2"/>
  <c r="C541" i="2"/>
  <c r="D541" i="2"/>
  <c r="E541" i="2"/>
  <c r="C542" i="2"/>
  <c r="D542" i="2"/>
  <c r="E542" i="2"/>
  <c r="C543" i="2"/>
  <c r="D543" i="2"/>
  <c r="E543" i="2"/>
  <c r="C544" i="2"/>
  <c r="D544" i="2"/>
  <c r="E544" i="2"/>
  <c r="C545" i="2"/>
  <c r="D545" i="2"/>
  <c r="E545" i="2"/>
  <c r="C546" i="2"/>
  <c r="D546" i="2"/>
  <c r="E546" i="2"/>
  <c r="C547" i="2"/>
  <c r="D547" i="2"/>
  <c r="E547" i="2"/>
  <c r="C548" i="2"/>
  <c r="D548" i="2"/>
  <c r="E548" i="2"/>
  <c r="C549" i="2"/>
  <c r="D549" i="2"/>
  <c r="E549" i="2"/>
  <c r="C550" i="2"/>
  <c r="D550" i="2"/>
  <c r="E550" i="2"/>
  <c r="C551" i="2"/>
  <c r="D551" i="2"/>
  <c r="E551" i="2"/>
  <c r="C552" i="2"/>
  <c r="D552" i="2"/>
  <c r="E552" i="2"/>
  <c r="C553" i="2"/>
  <c r="D553" i="2"/>
  <c r="E553" i="2"/>
  <c r="C554" i="2"/>
  <c r="D554" i="2"/>
  <c r="E554" i="2"/>
  <c r="C555" i="2"/>
  <c r="D555" i="2"/>
  <c r="E555" i="2"/>
  <c r="C556" i="2"/>
  <c r="D556" i="2"/>
  <c r="E556" i="2"/>
  <c r="C557" i="2"/>
  <c r="D557" i="2"/>
  <c r="E557" i="2"/>
  <c r="C558" i="2"/>
  <c r="D558" i="2"/>
  <c r="E558" i="2"/>
  <c r="C559" i="2"/>
  <c r="D559" i="2"/>
  <c r="E559" i="2"/>
  <c r="C560" i="2"/>
  <c r="D560" i="2"/>
  <c r="E560" i="2"/>
  <c r="C561" i="2"/>
  <c r="D561" i="2"/>
  <c r="E561" i="2"/>
  <c r="C562" i="2"/>
  <c r="D562" i="2"/>
  <c r="E562" i="2"/>
  <c r="C563" i="2"/>
  <c r="D563" i="2"/>
  <c r="E563" i="2"/>
  <c r="C564" i="2"/>
  <c r="D564" i="2"/>
  <c r="E564" i="2"/>
  <c r="C565" i="2"/>
  <c r="D565" i="2"/>
  <c r="E565" i="2"/>
  <c r="C566" i="2"/>
  <c r="D566" i="2"/>
  <c r="E566" i="2"/>
  <c r="C567" i="2"/>
  <c r="D567" i="2"/>
  <c r="E567" i="2"/>
  <c r="C568" i="2"/>
  <c r="D568" i="2"/>
  <c r="E568" i="2"/>
  <c r="C569" i="2"/>
  <c r="D569" i="2"/>
  <c r="E569" i="2"/>
  <c r="C570" i="2"/>
  <c r="D570" i="2"/>
  <c r="E570" i="2"/>
  <c r="C571" i="2"/>
  <c r="D571" i="2"/>
  <c r="E571" i="2"/>
  <c r="C572" i="2"/>
  <c r="D572" i="2"/>
  <c r="E572" i="2"/>
  <c r="C573" i="2"/>
  <c r="D573" i="2"/>
  <c r="E573" i="2"/>
  <c r="C574" i="2"/>
  <c r="D574" i="2"/>
  <c r="E574" i="2"/>
  <c r="C575" i="2"/>
  <c r="D575" i="2"/>
  <c r="E575" i="2"/>
  <c r="C576" i="2"/>
  <c r="D576" i="2"/>
  <c r="E576" i="2"/>
  <c r="C577" i="2"/>
  <c r="D577" i="2"/>
  <c r="E577" i="2"/>
  <c r="C578" i="2"/>
  <c r="D578" i="2"/>
  <c r="E578" i="2"/>
  <c r="C579" i="2"/>
  <c r="D579" i="2"/>
  <c r="E579" i="2"/>
  <c r="C580" i="2"/>
  <c r="D580" i="2"/>
  <c r="E580" i="2"/>
  <c r="C581" i="2"/>
  <c r="D581" i="2"/>
  <c r="E581" i="2"/>
  <c r="C582" i="2"/>
  <c r="D582" i="2"/>
  <c r="E582" i="2"/>
  <c r="C583" i="2"/>
  <c r="D583" i="2"/>
  <c r="E583" i="2"/>
  <c r="C584" i="2"/>
  <c r="D584" i="2"/>
  <c r="E584" i="2"/>
  <c r="C585" i="2"/>
  <c r="D585" i="2"/>
  <c r="E585" i="2"/>
  <c r="C586" i="2"/>
  <c r="D586" i="2"/>
  <c r="E586" i="2"/>
  <c r="C587" i="2"/>
  <c r="D587" i="2"/>
  <c r="E587" i="2"/>
  <c r="C588" i="2"/>
  <c r="D588" i="2"/>
  <c r="E588" i="2"/>
  <c r="C589" i="2"/>
  <c r="D589" i="2"/>
  <c r="E589" i="2"/>
  <c r="C590" i="2"/>
  <c r="D590" i="2"/>
  <c r="E590" i="2"/>
  <c r="C591" i="2"/>
  <c r="D591" i="2"/>
  <c r="E591" i="2"/>
  <c r="C592" i="2"/>
  <c r="D592" i="2"/>
  <c r="E592" i="2"/>
  <c r="C593" i="2"/>
  <c r="D593" i="2"/>
  <c r="E593" i="2"/>
  <c r="C594" i="2"/>
  <c r="D594" i="2"/>
  <c r="E594" i="2"/>
  <c r="C595" i="2"/>
  <c r="D595" i="2"/>
  <c r="E595" i="2"/>
  <c r="C596" i="2"/>
  <c r="D596" i="2"/>
  <c r="E596" i="2"/>
  <c r="C597" i="2"/>
  <c r="D597" i="2"/>
  <c r="E597" i="2"/>
  <c r="C598" i="2"/>
  <c r="D598" i="2"/>
  <c r="E598" i="2"/>
  <c r="C599" i="2"/>
  <c r="D599" i="2"/>
  <c r="E599" i="2"/>
  <c r="C600" i="2"/>
  <c r="D600" i="2"/>
  <c r="E600" i="2"/>
  <c r="C601" i="2"/>
  <c r="D601" i="2"/>
  <c r="E601" i="2"/>
  <c r="C602" i="2"/>
  <c r="D602" i="2"/>
  <c r="E602" i="2"/>
  <c r="C603" i="2"/>
  <c r="D603" i="2"/>
  <c r="E603" i="2"/>
  <c r="C604" i="2"/>
  <c r="D604" i="2"/>
  <c r="E604" i="2"/>
  <c r="C605" i="2"/>
  <c r="D605" i="2"/>
  <c r="E605" i="2"/>
  <c r="C606" i="2"/>
  <c r="D606" i="2"/>
  <c r="E606" i="2"/>
  <c r="C607" i="2"/>
  <c r="D607" i="2"/>
  <c r="E607" i="2"/>
  <c r="C608" i="2"/>
  <c r="D608" i="2"/>
  <c r="E608" i="2"/>
  <c r="C609" i="2"/>
  <c r="D609" i="2"/>
  <c r="E609" i="2"/>
  <c r="C610" i="2"/>
  <c r="D610" i="2"/>
  <c r="E610" i="2"/>
  <c r="C611" i="2"/>
  <c r="D611" i="2"/>
  <c r="E611" i="2"/>
  <c r="C612" i="2"/>
  <c r="D612" i="2"/>
  <c r="E612" i="2"/>
  <c r="C613" i="2"/>
  <c r="D613" i="2"/>
  <c r="E613" i="2"/>
  <c r="C614" i="2"/>
  <c r="D614" i="2"/>
  <c r="E614" i="2"/>
  <c r="C615" i="2"/>
  <c r="D615" i="2"/>
  <c r="E615" i="2"/>
  <c r="C616" i="2"/>
  <c r="D616" i="2"/>
  <c r="E616" i="2"/>
  <c r="C617" i="2"/>
  <c r="D617" i="2"/>
  <c r="E617" i="2"/>
  <c r="C618" i="2"/>
  <c r="D618" i="2"/>
  <c r="E618" i="2"/>
  <c r="C619" i="2"/>
  <c r="D619" i="2"/>
  <c r="E619" i="2"/>
  <c r="C620" i="2"/>
  <c r="D620" i="2"/>
  <c r="E620" i="2"/>
  <c r="C621" i="2"/>
  <c r="D621" i="2"/>
  <c r="E621" i="2"/>
  <c r="C622" i="2"/>
  <c r="D622" i="2"/>
  <c r="E622" i="2"/>
  <c r="C623" i="2"/>
  <c r="D623" i="2"/>
  <c r="E623" i="2"/>
  <c r="C624" i="2"/>
  <c r="D624" i="2"/>
  <c r="E624" i="2"/>
  <c r="C625" i="2"/>
  <c r="D625" i="2"/>
  <c r="E625" i="2"/>
  <c r="C626" i="2"/>
  <c r="D626" i="2"/>
  <c r="E626" i="2"/>
  <c r="C627" i="2"/>
  <c r="D627" i="2"/>
  <c r="E627" i="2"/>
  <c r="C628" i="2"/>
  <c r="D628" i="2"/>
  <c r="E628" i="2"/>
  <c r="C629" i="2"/>
  <c r="D629" i="2"/>
  <c r="E629" i="2"/>
  <c r="C630" i="2"/>
  <c r="D630" i="2"/>
  <c r="E630" i="2"/>
  <c r="C631" i="2"/>
  <c r="D631" i="2"/>
  <c r="E631" i="2"/>
  <c r="C632" i="2"/>
  <c r="D632" i="2"/>
  <c r="E632" i="2"/>
  <c r="C633" i="2"/>
  <c r="D633" i="2"/>
  <c r="E633" i="2"/>
  <c r="C634" i="2"/>
  <c r="D634" i="2"/>
  <c r="E634" i="2"/>
  <c r="C635" i="2"/>
  <c r="D635" i="2"/>
  <c r="E635" i="2"/>
  <c r="C636" i="2"/>
  <c r="D636" i="2"/>
  <c r="E636" i="2"/>
  <c r="C637" i="2"/>
  <c r="D637" i="2"/>
  <c r="E637" i="2"/>
  <c r="C638" i="2"/>
  <c r="D638" i="2"/>
  <c r="E638" i="2"/>
  <c r="C639" i="2"/>
  <c r="D639" i="2"/>
  <c r="E639" i="2"/>
  <c r="C640" i="2"/>
  <c r="D640" i="2"/>
  <c r="E640" i="2"/>
  <c r="C641" i="2"/>
  <c r="D641" i="2"/>
  <c r="E641" i="2"/>
  <c r="C642" i="2"/>
  <c r="D642" i="2"/>
  <c r="E642" i="2"/>
  <c r="C643" i="2"/>
  <c r="D643" i="2"/>
  <c r="E643" i="2"/>
  <c r="C644" i="2"/>
  <c r="D644" i="2"/>
  <c r="E644" i="2"/>
  <c r="C645" i="2"/>
  <c r="D645" i="2"/>
  <c r="E645" i="2"/>
  <c r="C646" i="2"/>
  <c r="D646" i="2"/>
  <c r="E646" i="2"/>
  <c r="C647" i="2"/>
  <c r="D647" i="2"/>
  <c r="E647" i="2"/>
  <c r="C648" i="2"/>
  <c r="D648" i="2"/>
  <c r="E648" i="2"/>
  <c r="C649" i="2"/>
  <c r="D649" i="2"/>
  <c r="E649" i="2"/>
  <c r="C650" i="2"/>
  <c r="D650" i="2"/>
  <c r="E650" i="2"/>
  <c r="C651" i="2"/>
  <c r="D651" i="2"/>
  <c r="E651" i="2"/>
  <c r="C652" i="2"/>
  <c r="D652" i="2"/>
  <c r="E652" i="2"/>
  <c r="C653" i="2"/>
  <c r="D653" i="2"/>
  <c r="E653" i="2"/>
  <c r="C654" i="2"/>
  <c r="D654" i="2"/>
  <c r="E654" i="2"/>
  <c r="C655" i="2"/>
  <c r="D655" i="2"/>
  <c r="E655" i="2"/>
  <c r="C656" i="2"/>
  <c r="D656" i="2"/>
  <c r="E656" i="2"/>
  <c r="C657" i="2"/>
  <c r="D657" i="2"/>
  <c r="E657" i="2"/>
  <c r="C658" i="2"/>
  <c r="D658" i="2"/>
  <c r="E658" i="2"/>
  <c r="C659" i="2"/>
  <c r="D659" i="2"/>
  <c r="E659" i="2"/>
  <c r="C660" i="2"/>
  <c r="D660" i="2"/>
  <c r="E660" i="2"/>
  <c r="C661" i="2"/>
  <c r="D661" i="2"/>
  <c r="E661" i="2"/>
  <c r="C662" i="2"/>
  <c r="D662" i="2"/>
  <c r="E662" i="2"/>
  <c r="C663" i="2"/>
  <c r="D663" i="2"/>
  <c r="E663" i="2"/>
  <c r="C664" i="2"/>
  <c r="D664" i="2"/>
  <c r="E664" i="2"/>
  <c r="C665" i="2"/>
  <c r="D665" i="2"/>
  <c r="E665" i="2"/>
  <c r="C666" i="2"/>
  <c r="D666" i="2"/>
  <c r="E666" i="2"/>
  <c r="C667" i="2"/>
  <c r="D667" i="2"/>
  <c r="E667" i="2"/>
  <c r="C668" i="2"/>
  <c r="D668" i="2"/>
  <c r="E668" i="2"/>
  <c r="C669" i="2"/>
  <c r="D669" i="2"/>
  <c r="E669" i="2"/>
  <c r="C670" i="2"/>
  <c r="D670" i="2"/>
  <c r="E670" i="2"/>
  <c r="C671" i="2"/>
  <c r="D671" i="2"/>
  <c r="E671" i="2"/>
  <c r="C672" i="2"/>
  <c r="D672" i="2"/>
  <c r="E672" i="2"/>
  <c r="C673" i="2"/>
  <c r="D673" i="2"/>
  <c r="E673" i="2"/>
  <c r="C674" i="2"/>
  <c r="D674" i="2"/>
  <c r="E674" i="2"/>
  <c r="C675" i="2"/>
  <c r="D675" i="2"/>
  <c r="E675" i="2"/>
  <c r="C676" i="2"/>
  <c r="D676" i="2"/>
  <c r="E676" i="2"/>
  <c r="C677" i="2"/>
  <c r="D677" i="2"/>
  <c r="E677" i="2"/>
  <c r="C678" i="2"/>
  <c r="D678" i="2"/>
  <c r="E678" i="2"/>
  <c r="C679" i="2"/>
  <c r="D679" i="2"/>
  <c r="E679" i="2"/>
  <c r="C680" i="2"/>
  <c r="D680" i="2"/>
  <c r="E680" i="2"/>
  <c r="C681" i="2"/>
  <c r="D681" i="2"/>
  <c r="E681" i="2"/>
  <c r="C682" i="2"/>
  <c r="D682" i="2"/>
  <c r="E682" i="2"/>
  <c r="C683" i="2"/>
  <c r="D683" i="2"/>
  <c r="E683" i="2"/>
  <c r="C684" i="2"/>
  <c r="D684" i="2"/>
  <c r="E684" i="2"/>
  <c r="C685" i="2"/>
  <c r="D685" i="2"/>
  <c r="E685" i="2"/>
  <c r="C686" i="2"/>
  <c r="D686" i="2"/>
  <c r="E686" i="2"/>
  <c r="C687" i="2"/>
  <c r="D687" i="2"/>
  <c r="E687" i="2"/>
  <c r="C688" i="2"/>
  <c r="D688" i="2"/>
  <c r="E688" i="2"/>
  <c r="C689" i="2"/>
  <c r="D689" i="2"/>
  <c r="E689" i="2"/>
  <c r="C690" i="2"/>
  <c r="D690" i="2"/>
  <c r="E690" i="2"/>
  <c r="C691" i="2"/>
  <c r="D691" i="2"/>
  <c r="E691" i="2"/>
  <c r="C692" i="2"/>
  <c r="D692" i="2"/>
  <c r="E692" i="2"/>
  <c r="C693" i="2"/>
  <c r="D693" i="2"/>
  <c r="E693" i="2"/>
  <c r="C694" i="2"/>
  <c r="D694" i="2"/>
  <c r="E694" i="2"/>
  <c r="C695" i="2"/>
  <c r="D695" i="2"/>
  <c r="E695" i="2"/>
  <c r="C696" i="2"/>
  <c r="D696" i="2"/>
  <c r="E696" i="2"/>
  <c r="C697" i="2"/>
  <c r="D697" i="2"/>
  <c r="E697" i="2"/>
  <c r="C698" i="2"/>
  <c r="D698" i="2"/>
  <c r="E698" i="2"/>
  <c r="C699" i="2"/>
  <c r="D699" i="2"/>
  <c r="E699" i="2"/>
  <c r="C700" i="2"/>
  <c r="D700" i="2"/>
  <c r="E700" i="2"/>
  <c r="C701" i="2"/>
  <c r="D701" i="2"/>
  <c r="E701" i="2"/>
  <c r="C702" i="2"/>
  <c r="D702" i="2"/>
  <c r="E702" i="2"/>
  <c r="C703" i="2"/>
  <c r="D703" i="2"/>
  <c r="E703" i="2"/>
  <c r="C704" i="2"/>
  <c r="D704" i="2"/>
  <c r="E704" i="2"/>
  <c r="C705" i="2"/>
  <c r="D705" i="2"/>
  <c r="E705" i="2"/>
  <c r="C706" i="2"/>
  <c r="D706" i="2"/>
  <c r="E706" i="2"/>
  <c r="C707" i="2"/>
  <c r="D707" i="2"/>
  <c r="E707" i="2"/>
  <c r="C708" i="2"/>
  <c r="D708" i="2"/>
  <c r="E708" i="2"/>
  <c r="C709" i="2"/>
  <c r="D709" i="2"/>
  <c r="E709" i="2"/>
  <c r="C710" i="2"/>
  <c r="D710" i="2"/>
  <c r="E710" i="2"/>
  <c r="C711" i="2"/>
  <c r="D711" i="2"/>
  <c r="E711" i="2"/>
  <c r="C712" i="2"/>
  <c r="D712" i="2"/>
  <c r="E712" i="2"/>
  <c r="C713" i="2"/>
  <c r="D713" i="2"/>
  <c r="E713" i="2"/>
  <c r="C714" i="2"/>
  <c r="D714" i="2"/>
  <c r="E714" i="2"/>
  <c r="C715" i="2"/>
  <c r="D715" i="2"/>
  <c r="E715" i="2"/>
  <c r="C716" i="2"/>
  <c r="D716" i="2"/>
  <c r="E716" i="2"/>
  <c r="C717" i="2"/>
  <c r="D717" i="2"/>
  <c r="E717" i="2"/>
  <c r="C718" i="2"/>
  <c r="D718" i="2"/>
  <c r="E718" i="2"/>
  <c r="C719" i="2"/>
  <c r="D719" i="2"/>
  <c r="E719" i="2"/>
  <c r="C720" i="2"/>
  <c r="D720" i="2"/>
  <c r="E720" i="2"/>
  <c r="C721" i="2"/>
  <c r="D721" i="2"/>
  <c r="E721" i="2"/>
  <c r="C722" i="2"/>
  <c r="D722" i="2"/>
  <c r="E722" i="2"/>
  <c r="C723" i="2"/>
  <c r="D723" i="2"/>
  <c r="E723" i="2"/>
  <c r="C724" i="2"/>
  <c r="D724" i="2"/>
  <c r="E724" i="2"/>
  <c r="C725" i="2"/>
  <c r="D725" i="2"/>
  <c r="E725" i="2"/>
  <c r="C726" i="2"/>
  <c r="D726" i="2"/>
  <c r="E726" i="2"/>
  <c r="C727" i="2"/>
  <c r="D727" i="2"/>
  <c r="E727" i="2"/>
  <c r="C728" i="2"/>
  <c r="D728" i="2"/>
  <c r="E728" i="2"/>
  <c r="C729" i="2"/>
  <c r="D729" i="2"/>
  <c r="E729" i="2"/>
  <c r="C730" i="2"/>
  <c r="D730" i="2"/>
  <c r="E730" i="2"/>
  <c r="C731" i="2"/>
  <c r="D731" i="2"/>
  <c r="E731" i="2"/>
  <c r="C732" i="2"/>
  <c r="D732" i="2"/>
  <c r="E732" i="2"/>
  <c r="C733" i="2"/>
  <c r="D733" i="2"/>
  <c r="E733" i="2"/>
  <c r="C734" i="2"/>
  <c r="D734" i="2"/>
  <c r="E734" i="2"/>
  <c r="C735" i="2"/>
  <c r="D735" i="2"/>
  <c r="E735" i="2"/>
  <c r="C736" i="2"/>
  <c r="D736" i="2"/>
  <c r="E736" i="2"/>
  <c r="C737" i="2"/>
  <c r="D737" i="2"/>
  <c r="E737" i="2"/>
  <c r="C738" i="2"/>
  <c r="D738" i="2"/>
  <c r="E738" i="2"/>
  <c r="C739" i="2"/>
  <c r="D739" i="2"/>
  <c r="E739" i="2"/>
  <c r="C740" i="2"/>
  <c r="D740" i="2"/>
  <c r="E740" i="2"/>
  <c r="C741" i="2"/>
  <c r="D741" i="2"/>
  <c r="E741" i="2"/>
  <c r="C742" i="2"/>
  <c r="D742" i="2"/>
  <c r="E742" i="2"/>
  <c r="C743" i="2"/>
  <c r="D743" i="2"/>
  <c r="E743" i="2"/>
  <c r="C744" i="2"/>
  <c r="D744" i="2"/>
  <c r="E744" i="2"/>
  <c r="C745" i="2"/>
  <c r="D745" i="2"/>
  <c r="E745" i="2"/>
  <c r="C746" i="2"/>
  <c r="D746" i="2"/>
  <c r="E746" i="2"/>
  <c r="C747" i="2"/>
  <c r="D747" i="2"/>
  <c r="E747" i="2"/>
  <c r="C748" i="2"/>
  <c r="D748" i="2"/>
  <c r="E748" i="2"/>
  <c r="C749" i="2"/>
  <c r="D749" i="2"/>
  <c r="E749" i="2"/>
  <c r="C750" i="2"/>
  <c r="D750" i="2"/>
  <c r="E750" i="2"/>
  <c r="C751" i="2"/>
  <c r="D751" i="2"/>
  <c r="E751" i="2"/>
  <c r="C752" i="2"/>
  <c r="D752" i="2"/>
  <c r="E752" i="2"/>
  <c r="C753" i="2"/>
  <c r="D753" i="2"/>
  <c r="E753" i="2"/>
  <c r="C754" i="2"/>
  <c r="D754" i="2"/>
  <c r="E754" i="2"/>
  <c r="C755" i="2"/>
  <c r="D755" i="2"/>
  <c r="E755" i="2"/>
  <c r="C756" i="2"/>
  <c r="D756" i="2"/>
  <c r="E756" i="2"/>
  <c r="C757" i="2"/>
  <c r="D757" i="2"/>
  <c r="E757" i="2"/>
  <c r="C758" i="2"/>
  <c r="D758" i="2"/>
  <c r="E758" i="2"/>
  <c r="C28" i="2"/>
  <c r="D28" i="2"/>
  <c r="E28" i="2"/>
  <c r="C29" i="2"/>
  <c r="D29" i="2"/>
  <c r="E29" i="2"/>
  <c r="C30" i="2"/>
  <c r="D30" i="2"/>
  <c r="E30" i="2"/>
  <c r="C31" i="2"/>
  <c r="D31" i="2"/>
  <c r="E31" i="2"/>
  <c r="C32" i="2"/>
  <c r="D32" i="2"/>
  <c r="E32" i="2"/>
  <c r="C33" i="2"/>
  <c r="D33" i="2"/>
  <c r="E33" i="2"/>
  <c r="C34" i="2"/>
  <c r="D34" i="2"/>
  <c r="E34" i="2"/>
  <c r="C35" i="2"/>
  <c r="D35" i="2"/>
  <c r="E35" i="2"/>
  <c r="C36" i="2"/>
  <c r="D36" i="2"/>
  <c r="E36" i="2"/>
  <c r="C37" i="2"/>
  <c r="D37" i="2"/>
  <c r="E37" i="2"/>
  <c r="C38" i="2"/>
  <c r="D38" i="2"/>
  <c r="E38" i="2"/>
  <c r="C39" i="2"/>
  <c r="D39" i="2"/>
  <c r="E39" i="2"/>
  <c r="C40" i="2"/>
  <c r="D40" i="2"/>
  <c r="E40" i="2"/>
  <c r="C41" i="2"/>
  <c r="D41" i="2"/>
  <c r="E41" i="2"/>
  <c r="C42" i="2"/>
  <c r="D42" i="2"/>
  <c r="E42" i="2"/>
  <c r="C43" i="2"/>
  <c r="D43" i="2"/>
  <c r="E43" i="2"/>
  <c r="C44" i="2"/>
  <c r="D44" i="2"/>
  <c r="E44" i="2"/>
  <c r="C45" i="2"/>
  <c r="D45" i="2"/>
  <c r="E45" i="2"/>
  <c r="C46" i="2"/>
  <c r="D46" i="2"/>
  <c r="E46" i="2"/>
  <c r="C47" i="2"/>
  <c r="D47" i="2"/>
  <c r="E47" i="2"/>
  <c r="C48" i="2"/>
  <c r="D48" i="2"/>
  <c r="E48" i="2"/>
  <c r="C49" i="2"/>
  <c r="D49" i="2"/>
  <c r="E49" i="2"/>
  <c r="C50" i="2"/>
  <c r="D50" i="2"/>
  <c r="E50" i="2"/>
  <c r="C51" i="2"/>
  <c r="D51" i="2"/>
  <c r="E51" i="2"/>
  <c r="C52" i="2"/>
  <c r="D52" i="2"/>
  <c r="E52" i="2"/>
  <c r="C53" i="2"/>
  <c r="D53" i="2"/>
  <c r="E53" i="2"/>
  <c r="C54" i="2"/>
  <c r="D54" i="2"/>
  <c r="E54" i="2"/>
  <c r="C55" i="2"/>
  <c r="D55" i="2"/>
  <c r="E55" i="2"/>
  <c r="C56" i="2"/>
  <c r="D56" i="2"/>
  <c r="E56" i="2"/>
  <c r="C57" i="2"/>
  <c r="D57" i="2"/>
  <c r="E57" i="2"/>
  <c r="C58" i="2"/>
  <c r="D58" i="2"/>
  <c r="E58" i="2"/>
  <c r="C59" i="2"/>
  <c r="D59" i="2"/>
  <c r="E59" i="2"/>
  <c r="D21" i="2"/>
  <c r="E21" i="2"/>
  <c r="C22" i="2"/>
  <c r="D22" i="2"/>
  <c r="E22" i="2"/>
  <c r="C23" i="2"/>
  <c r="D23" i="2"/>
  <c r="E23" i="2"/>
  <c r="C24" i="2"/>
  <c r="D24" i="2"/>
  <c r="E24" i="2"/>
  <c r="C25" i="2"/>
  <c r="D25" i="2"/>
  <c r="E25" i="2"/>
  <c r="C26" i="2"/>
  <c r="D26" i="2"/>
  <c r="E26" i="2"/>
  <c r="C27" i="2"/>
  <c r="D27" i="2"/>
  <c r="E27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K21" i="2"/>
  <c r="D2" i="2"/>
  <c r="C2" i="2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K21" i="1" s="1"/>
  <c r="K16" i="1" s="1"/>
  <c r="K15" i="1" s="1"/>
  <c r="H21" i="1"/>
  <c r="D2" i="1"/>
  <c r="C2" i="1"/>
  <c r="E23" i="4"/>
  <c r="E24" i="4"/>
  <c r="E32" i="4"/>
  <c r="E40" i="4"/>
  <c r="E48" i="4"/>
  <c r="E56" i="4"/>
  <c r="E64" i="4"/>
  <c r="E72" i="4"/>
  <c r="E80" i="4"/>
  <c r="E88" i="4"/>
  <c r="E96" i="4"/>
  <c r="E104" i="4"/>
  <c r="E112" i="4"/>
  <c r="E120" i="4"/>
  <c r="E128" i="4"/>
  <c r="E136" i="4"/>
  <c r="E144" i="4"/>
  <c r="E152" i="4"/>
  <c r="E160" i="4"/>
  <c r="E168" i="4"/>
  <c r="E176" i="4"/>
  <c r="E184" i="4"/>
  <c r="E192" i="4"/>
  <c r="E200" i="4"/>
  <c r="E208" i="4"/>
  <c r="E216" i="4"/>
  <c r="E224" i="4"/>
  <c r="E232" i="4"/>
  <c r="E240" i="4"/>
  <c r="E248" i="4"/>
  <c r="E256" i="4"/>
  <c r="E264" i="4"/>
  <c r="E272" i="4"/>
  <c r="E280" i="4"/>
  <c r="E288" i="4"/>
  <c r="E296" i="4"/>
  <c r="E304" i="4"/>
  <c r="E312" i="4"/>
  <c r="E320" i="4"/>
  <c r="E328" i="4"/>
  <c r="E336" i="4"/>
  <c r="E344" i="4"/>
  <c r="E352" i="4"/>
  <c r="E360" i="4"/>
  <c r="E368" i="4"/>
  <c r="E376" i="4"/>
  <c r="E384" i="4"/>
  <c r="E392" i="4"/>
  <c r="E400" i="4"/>
  <c r="E408" i="4"/>
  <c r="E416" i="4"/>
  <c r="E424" i="4"/>
  <c r="E432" i="4"/>
  <c r="E440" i="4"/>
  <c r="E448" i="4"/>
  <c r="E456" i="4"/>
  <c r="E464" i="4"/>
  <c r="E472" i="4"/>
  <c r="E480" i="4"/>
  <c r="E488" i="4"/>
  <c r="E496" i="4"/>
  <c r="E504" i="4"/>
  <c r="E512" i="4"/>
  <c r="E520" i="4"/>
  <c r="E528" i="4"/>
  <c r="E536" i="4"/>
  <c r="E544" i="4"/>
  <c r="E552" i="4"/>
  <c r="E560" i="4"/>
  <c r="E568" i="4"/>
  <c r="E576" i="4"/>
  <c r="E584" i="4"/>
  <c r="E592" i="4"/>
  <c r="E600" i="4"/>
  <c r="E608" i="4"/>
  <c r="E616" i="4"/>
  <c r="E624" i="4"/>
  <c r="E632" i="4"/>
  <c r="E640" i="4"/>
  <c r="E648" i="4"/>
  <c r="E656" i="4"/>
  <c r="E664" i="4"/>
  <c r="E672" i="4"/>
  <c r="E680" i="4"/>
  <c r="E688" i="4"/>
  <c r="E696" i="4"/>
  <c r="E704" i="4"/>
  <c r="E712" i="4"/>
  <c r="E720" i="4"/>
  <c r="E728" i="4"/>
  <c r="E736" i="4"/>
  <c r="E744" i="4"/>
  <c r="E752" i="4"/>
  <c r="E760" i="4"/>
  <c r="E47" i="4"/>
  <c r="E119" i="4"/>
  <c r="E167" i="4"/>
  <c r="E223" i="4"/>
  <c r="E287" i="4"/>
  <c r="E367" i="4"/>
  <c r="E423" i="4"/>
  <c r="E479" i="4"/>
  <c r="E535" i="4"/>
  <c r="E599" i="4"/>
  <c r="E631" i="4"/>
  <c r="E679" i="4"/>
  <c r="E727" i="4"/>
  <c r="E25" i="4"/>
  <c r="E33" i="4"/>
  <c r="E41" i="4"/>
  <c r="E49" i="4"/>
  <c r="E57" i="4"/>
  <c r="E65" i="4"/>
  <c r="E73" i="4"/>
  <c r="E81" i="4"/>
  <c r="E89" i="4"/>
  <c r="E97" i="4"/>
  <c r="E105" i="4"/>
  <c r="E113" i="4"/>
  <c r="E121" i="4"/>
  <c r="E129" i="4"/>
  <c r="E137" i="4"/>
  <c r="E145" i="4"/>
  <c r="E153" i="4"/>
  <c r="E161" i="4"/>
  <c r="E169" i="4"/>
  <c r="E177" i="4"/>
  <c r="E185" i="4"/>
  <c r="E193" i="4"/>
  <c r="E201" i="4"/>
  <c r="E209" i="4"/>
  <c r="E217" i="4"/>
  <c r="E225" i="4"/>
  <c r="E233" i="4"/>
  <c r="E241" i="4"/>
  <c r="E249" i="4"/>
  <c r="E257" i="4"/>
  <c r="E265" i="4"/>
  <c r="E273" i="4"/>
  <c r="E281" i="4"/>
  <c r="E289" i="4"/>
  <c r="E297" i="4"/>
  <c r="E305" i="4"/>
  <c r="E313" i="4"/>
  <c r="E321" i="4"/>
  <c r="E329" i="4"/>
  <c r="E337" i="4"/>
  <c r="E345" i="4"/>
  <c r="E353" i="4"/>
  <c r="E361" i="4"/>
  <c r="E369" i="4"/>
  <c r="E377" i="4"/>
  <c r="E385" i="4"/>
  <c r="E393" i="4"/>
  <c r="E401" i="4"/>
  <c r="E409" i="4"/>
  <c r="E417" i="4"/>
  <c r="E425" i="4"/>
  <c r="E433" i="4"/>
  <c r="E441" i="4"/>
  <c r="E449" i="4"/>
  <c r="E457" i="4"/>
  <c r="E465" i="4"/>
  <c r="E473" i="4"/>
  <c r="E481" i="4"/>
  <c r="E489" i="4"/>
  <c r="E497" i="4"/>
  <c r="E505" i="4"/>
  <c r="E513" i="4"/>
  <c r="E521" i="4"/>
  <c r="E529" i="4"/>
  <c r="E537" i="4"/>
  <c r="E545" i="4"/>
  <c r="E553" i="4"/>
  <c r="E561" i="4"/>
  <c r="E569" i="4"/>
  <c r="E577" i="4"/>
  <c r="E585" i="4"/>
  <c r="E593" i="4"/>
  <c r="E601" i="4"/>
  <c r="E609" i="4"/>
  <c r="E617" i="4"/>
  <c r="E625" i="4"/>
  <c r="E633" i="4"/>
  <c r="E641" i="4"/>
  <c r="E649" i="4"/>
  <c r="E657" i="4"/>
  <c r="E665" i="4"/>
  <c r="E673" i="4"/>
  <c r="E681" i="4"/>
  <c r="E689" i="4"/>
  <c r="E697" i="4"/>
  <c r="E705" i="4"/>
  <c r="E713" i="4"/>
  <c r="E721" i="4"/>
  <c r="E729" i="4"/>
  <c r="E737" i="4"/>
  <c r="E745" i="4"/>
  <c r="E753" i="4"/>
  <c r="E55" i="4"/>
  <c r="E103" i="4"/>
  <c r="E159" i="4"/>
  <c r="E215" i="4"/>
  <c r="E271" i="4"/>
  <c r="E319" i="4"/>
  <c r="E383" i="4"/>
  <c r="E439" i="4"/>
  <c r="E511" i="4"/>
  <c r="E567" i="4"/>
  <c r="E623" i="4"/>
  <c r="E687" i="4"/>
  <c r="E751" i="4"/>
  <c r="E26" i="4"/>
  <c r="E34" i="4"/>
  <c r="E42" i="4"/>
  <c r="E50" i="4"/>
  <c r="E58" i="4"/>
  <c r="E66" i="4"/>
  <c r="E74" i="4"/>
  <c r="E82" i="4"/>
  <c r="E90" i="4"/>
  <c r="E98" i="4"/>
  <c r="E106" i="4"/>
  <c r="E114" i="4"/>
  <c r="E122" i="4"/>
  <c r="E130" i="4"/>
  <c r="E138" i="4"/>
  <c r="E146" i="4"/>
  <c r="E154" i="4"/>
  <c r="E162" i="4"/>
  <c r="E170" i="4"/>
  <c r="E178" i="4"/>
  <c r="E186" i="4"/>
  <c r="E194" i="4"/>
  <c r="E202" i="4"/>
  <c r="E210" i="4"/>
  <c r="E218" i="4"/>
  <c r="E226" i="4"/>
  <c r="E234" i="4"/>
  <c r="E242" i="4"/>
  <c r="E250" i="4"/>
  <c r="E258" i="4"/>
  <c r="E266" i="4"/>
  <c r="E274" i="4"/>
  <c r="E282" i="4"/>
  <c r="E290" i="4"/>
  <c r="E298" i="4"/>
  <c r="E306" i="4"/>
  <c r="E314" i="4"/>
  <c r="E322" i="4"/>
  <c r="E330" i="4"/>
  <c r="E338" i="4"/>
  <c r="E346" i="4"/>
  <c r="E354" i="4"/>
  <c r="E362" i="4"/>
  <c r="E370" i="4"/>
  <c r="E378" i="4"/>
  <c r="E386" i="4"/>
  <c r="E394" i="4"/>
  <c r="E402" i="4"/>
  <c r="E410" i="4"/>
  <c r="E418" i="4"/>
  <c r="E426" i="4"/>
  <c r="E434" i="4"/>
  <c r="E442" i="4"/>
  <c r="E450" i="4"/>
  <c r="E458" i="4"/>
  <c r="E466" i="4"/>
  <c r="E474" i="4"/>
  <c r="E482" i="4"/>
  <c r="E490" i="4"/>
  <c r="E498" i="4"/>
  <c r="E506" i="4"/>
  <c r="E514" i="4"/>
  <c r="E522" i="4"/>
  <c r="E530" i="4"/>
  <c r="E538" i="4"/>
  <c r="E546" i="4"/>
  <c r="E554" i="4"/>
  <c r="E562" i="4"/>
  <c r="E570" i="4"/>
  <c r="E578" i="4"/>
  <c r="E586" i="4"/>
  <c r="E594" i="4"/>
  <c r="E602" i="4"/>
  <c r="E610" i="4"/>
  <c r="E618" i="4"/>
  <c r="E626" i="4"/>
  <c r="E634" i="4"/>
  <c r="E642" i="4"/>
  <c r="E650" i="4"/>
  <c r="E658" i="4"/>
  <c r="E666" i="4"/>
  <c r="E674" i="4"/>
  <c r="E682" i="4"/>
  <c r="E690" i="4"/>
  <c r="E698" i="4"/>
  <c r="E706" i="4"/>
  <c r="E714" i="4"/>
  <c r="E722" i="4"/>
  <c r="E730" i="4"/>
  <c r="E738" i="4"/>
  <c r="E746" i="4"/>
  <c r="E754" i="4"/>
  <c r="E63" i="4"/>
  <c r="E127" i="4"/>
  <c r="E175" i="4"/>
  <c r="E239" i="4"/>
  <c r="E295" i="4"/>
  <c r="E335" i="4"/>
  <c r="E391" i="4"/>
  <c r="E455" i="4"/>
  <c r="E503" i="4"/>
  <c r="E551" i="4"/>
  <c r="E607" i="4"/>
  <c r="E671" i="4"/>
  <c r="E719" i="4"/>
  <c r="E27" i="4"/>
  <c r="E35" i="4"/>
  <c r="E43" i="4"/>
  <c r="E51" i="4"/>
  <c r="E59" i="4"/>
  <c r="E67" i="4"/>
  <c r="E75" i="4"/>
  <c r="E83" i="4"/>
  <c r="E91" i="4"/>
  <c r="E99" i="4"/>
  <c r="E107" i="4"/>
  <c r="E115" i="4"/>
  <c r="E123" i="4"/>
  <c r="E131" i="4"/>
  <c r="E139" i="4"/>
  <c r="E147" i="4"/>
  <c r="E155" i="4"/>
  <c r="E163" i="4"/>
  <c r="E171" i="4"/>
  <c r="E179" i="4"/>
  <c r="E187" i="4"/>
  <c r="E195" i="4"/>
  <c r="E203" i="4"/>
  <c r="E211" i="4"/>
  <c r="E219" i="4"/>
  <c r="E227" i="4"/>
  <c r="E235" i="4"/>
  <c r="E243" i="4"/>
  <c r="E251" i="4"/>
  <c r="E259" i="4"/>
  <c r="E267" i="4"/>
  <c r="E275" i="4"/>
  <c r="E283" i="4"/>
  <c r="E291" i="4"/>
  <c r="E299" i="4"/>
  <c r="E307" i="4"/>
  <c r="E315" i="4"/>
  <c r="E323" i="4"/>
  <c r="E331" i="4"/>
  <c r="E339" i="4"/>
  <c r="E347" i="4"/>
  <c r="E355" i="4"/>
  <c r="E363" i="4"/>
  <c r="E371" i="4"/>
  <c r="E379" i="4"/>
  <c r="E387" i="4"/>
  <c r="E395" i="4"/>
  <c r="E403" i="4"/>
  <c r="E411" i="4"/>
  <c r="E419" i="4"/>
  <c r="E427" i="4"/>
  <c r="E435" i="4"/>
  <c r="E443" i="4"/>
  <c r="E451" i="4"/>
  <c r="E459" i="4"/>
  <c r="E467" i="4"/>
  <c r="E475" i="4"/>
  <c r="E483" i="4"/>
  <c r="E491" i="4"/>
  <c r="E499" i="4"/>
  <c r="E507" i="4"/>
  <c r="E515" i="4"/>
  <c r="E523" i="4"/>
  <c r="E531" i="4"/>
  <c r="E539" i="4"/>
  <c r="E547" i="4"/>
  <c r="E555" i="4"/>
  <c r="E563" i="4"/>
  <c r="E571" i="4"/>
  <c r="E579" i="4"/>
  <c r="E587" i="4"/>
  <c r="E595" i="4"/>
  <c r="E603" i="4"/>
  <c r="E611" i="4"/>
  <c r="E619" i="4"/>
  <c r="E627" i="4"/>
  <c r="E635" i="4"/>
  <c r="E643" i="4"/>
  <c r="E651" i="4"/>
  <c r="E659" i="4"/>
  <c r="E667" i="4"/>
  <c r="E675" i="4"/>
  <c r="E683" i="4"/>
  <c r="E691" i="4"/>
  <c r="E699" i="4"/>
  <c r="E707" i="4"/>
  <c r="E715" i="4"/>
  <c r="E723" i="4"/>
  <c r="E731" i="4"/>
  <c r="E739" i="4"/>
  <c r="E747" i="4"/>
  <c r="E755" i="4"/>
  <c r="E79" i="4"/>
  <c r="E87" i="4"/>
  <c r="E135" i="4"/>
  <c r="E191" i="4"/>
  <c r="E231" i="4"/>
  <c r="E279" i="4"/>
  <c r="E327" i="4"/>
  <c r="E375" i="4"/>
  <c r="E431" i="4"/>
  <c r="E495" i="4"/>
  <c r="E559" i="4"/>
  <c r="E615" i="4"/>
  <c r="E663" i="4"/>
  <c r="E695" i="4"/>
  <c r="E743" i="4"/>
  <c r="E28" i="4"/>
  <c r="E36" i="4"/>
  <c r="E44" i="4"/>
  <c r="E52" i="4"/>
  <c r="E60" i="4"/>
  <c r="E68" i="4"/>
  <c r="E76" i="4"/>
  <c r="E84" i="4"/>
  <c r="E92" i="4"/>
  <c r="E100" i="4"/>
  <c r="E108" i="4"/>
  <c r="E116" i="4"/>
  <c r="E124" i="4"/>
  <c r="E132" i="4"/>
  <c r="E140" i="4"/>
  <c r="E148" i="4"/>
  <c r="E156" i="4"/>
  <c r="E164" i="4"/>
  <c r="E172" i="4"/>
  <c r="E180" i="4"/>
  <c r="E188" i="4"/>
  <c r="E196" i="4"/>
  <c r="E204" i="4"/>
  <c r="E212" i="4"/>
  <c r="E220" i="4"/>
  <c r="E228" i="4"/>
  <c r="E236" i="4"/>
  <c r="E244" i="4"/>
  <c r="E252" i="4"/>
  <c r="E260" i="4"/>
  <c r="E268" i="4"/>
  <c r="E276" i="4"/>
  <c r="E284" i="4"/>
  <c r="E292" i="4"/>
  <c r="E300" i="4"/>
  <c r="E308" i="4"/>
  <c r="E316" i="4"/>
  <c r="E324" i="4"/>
  <c r="E332" i="4"/>
  <c r="E340" i="4"/>
  <c r="E348" i="4"/>
  <c r="E356" i="4"/>
  <c r="E364" i="4"/>
  <c r="E372" i="4"/>
  <c r="E380" i="4"/>
  <c r="E388" i="4"/>
  <c r="E396" i="4"/>
  <c r="E404" i="4"/>
  <c r="E412" i="4"/>
  <c r="E420" i="4"/>
  <c r="E428" i="4"/>
  <c r="E436" i="4"/>
  <c r="E444" i="4"/>
  <c r="E452" i="4"/>
  <c r="E460" i="4"/>
  <c r="E468" i="4"/>
  <c r="E476" i="4"/>
  <c r="E484" i="4"/>
  <c r="E492" i="4"/>
  <c r="E500" i="4"/>
  <c r="E508" i="4"/>
  <c r="E516" i="4"/>
  <c r="E524" i="4"/>
  <c r="E532" i="4"/>
  <c r="E540" i="4"/>
  <c r="E548" i="4"/>
  <c r="E556" i="4"/>
  <c r="E564" i="4"/>
  <c r="E572" i="4"/>
  <c r="E580" i="4"/>
  <c r="E588" i="4"/>
  <c r="E596" i="4"/>
  <c r="E604" i="4"/>
  <c r="E612" i="4"/>
  <c r="E620" i="4"/>
  <c r="E628" i="4"/>
  <c r="E636" i="4"/>
  <c r="E644" i="4"/>
  <c r="E652" i="4"/>
  <c r="E660" i="4"/>
  <c r="E668" i="4"/>
  <c r="E676" i="4"/>
  <c r="E684" i="4"/>
  <c r="E692" i="4"/>
  <c r="E700" i="4"/>
  <c r="E708" i="4"/>
  <c r="E716" i="4"/>
  <c r="E724" i="4"/>
  <c r="E732" i="4"/>
  <c r="E740" i="4"/>
  <c r="E748" i="4"/>
  <c r="E756" i="4"/>
  <c r="E71" i="4"/>
  <c r="E95" i="4"/>
  <c r="E151" i="4"/>
  <c r="E199" i="4"/>
  <c r="E255" i="4"/>
  <c r="E311" i="4"/>
  <c r="E343" i="4"/>
  <c r="E399" i="4"/>
  <c r="E447" i="4"/>
  <c r="E487" i="4"/>
  <c r="E543" i="4"/>
  <c r="E591" i="4"/>
  <c r="E647" i="4"/>
  <c r="E703" i="4"/>
  <c r="E759" i="4"/>
  <c r="E29" i="4"/>
  <c r="E37" i="4"/>
  <c r="E45" i="4"/>
  <c r="E53" i="4"/>
  <c r="E61" i="4"/>
  <c r="E69" i="4"/>
  <c r="E77" i="4"/>
  <c r="E85" i="4"/>
  <c r="E93" i="4"/>
  <c r="E101" i="4"/>
  <c r="E109" i="4"/>
  <c r="E117" i="4"/>
  <c r="E125" i="4"/>
  <c r="E133" i="4"/>
  <c r="E141" i="4"/>
  <c r="E149" i="4"/>
  <c r="E157" i="4"/>
  <c r="E165" i="4"/>
  <c r="E173" i="4"/>
  <c r="E181" i="4"/>
  <c r="E189" i="4"/>
  <c r="E197" i="4"/>
  <c r="E205" i="4"/>
  <c r="E213" i="4"/>
  <c r="E221" i="4"/>
  <c r="E229" i="4"/>
  <c r="E237" i="4"/>
  <c r="E245" i="4"/>
  <c r="E253" i="4"/>
  <c r="E261" i="4"/>
  <c r="E269" i="4"/>
  <c r="E277" i="4"/>
  <c r="E285" i="4"/>
  <c r="E293" i="4"/>
  <c r="E301" i="4"/>
  <c r="E309" i="4"/>
  <c r="E317" i="4"/>
  <c r="E325" i="4"/>
  <c r="E333" i="4"/>
  <c r="E341" i="4"/>
  <c r="E349" i="4"/>
  <c r="E357" i="4"/>
  <c r="E365" i="4"/>
  <c r="E373" i="4"/>
  <c r="E381" i="4"/>
  <c r="E389" i="4"/>
  <c r="E397" i="4"/>
  <c r="E405" i="4"/>
  <c r="E413" i="4"/>
  <c r="E421" i="4"/>
  <c r="E429" i="4"/>
  <c r="E437" i="4"/>
  <c r="E445" i="4"/>
  <c r="E453" i="4"/>
  <c r="E461" i="4"/>
  <c r="E469" i="4"/>
  <c r="E477" i="4"/>
  <c r="E485" i="4"/>
  <c r="E493" i="4"/>
  <c r="E501" i="4"/>
  <c r="E509" i="4"/>
  <c r="E517" i="4"/>
  <c r="E525" i="4"/>
  <c r="E533" i="4"/>
  <c r="E541" i="4"/>
  <c r="E549" i="4"/>
  <c r="E557" i="4"/>
  <c r="E565" i="4"/>
  <c r="E573" i="4"/>
  <c r="E581" i="4"/>
  <c r="E589" i="4"/>
  <c r="E597" i="4"/>
  <c r="E605" i="4"/>
  <c r="E613" i="4"/>
  <c r="E621" i="4"/>
  <c r="E629" i="4"/>
  <c r="E637" i="4"/>
  <c r="E645" i="4"/>
  <c r="E653" i="4"/>
  <c r="E661" i="4"/>
  <c r="E669" i="4"/>
  <c r="E677" i="4"/>
  <c r="E685" i="4"/>
  <c r="E693" i="4"/>
  <c r="E701" i="4"/>
  <c r="E709" i="4"/>
  <c r="E717" i="4"/>
  <c r="E725" i="4"/>
  <c r="E733" i="4"/>
  <c r="E741" i="4"/>
  <c r="E749" i="4"/>
  <c r="E757" i="4"/>
  <c r="E31" i="4"/>
  <c r="E111" i="4"/>
  <c r="E183" i="4"/>
  <c r="E247" i="4"/>
  <c r="E303" i="4"/>
  <c r="E351" i="4"/>
  <c r="E407" i="4"/>
  <c r="E463" i="4"/>
  <c r="E519" i="4"/>
  <c r="E575" i="4"/>
  <c r="E639" i="4"/>
  <c r="E711" i="4"/>
  <c r="E30" i="4"/>
  <c r="E38" i="4"/>
  <c r="E46" i="4"/>
  <c r="E54" i="4"/>
  <c r="E62" i="4"/>
  <c r="E70" i="4"/>
  <c r="E78" i="4"/>
  <c r="E86" i="4"/>
  <c r="E94" i="4"/>
  <c r="E102" i="4"/>
  <c r="E110" i="4"/>
  <c r="E118" i="4"/>
  <c r="E126" i="4"/>
  <c r="E134" i="4"/>
  <c r="E142" i="4"/>
  <c r="E150" i="4"/>
  <c r="E158" i="4"/>
  <c r="E166" i="4"/>
  <c r="E174" i="4"/>
  <c r="E182" i="4"/>
  <c r="E190" i="4"/>
  <c r="E198" i="4"/>
  <c r="E206" i="4"/>
  <c r="E214" i="4"/>
  <c r="E222" i="4"/>
  <c r="E230" i="4"/>
  <c r="E238" i="4"/>
  <c r="E246" i="4"/>
  <c r="E254" i="4"/>
  <c r="E262" i="4"/>
  <c r="E270" i="4"/>
  <c r="E278" i="4"/>
  <c r="E286" i="4"/>
  <c r="E294" i="4"/>
  <c r="E302" i="4"/>
  <c r="E310" i="4"/>
  <c r="E318" i="4"/>
  <c r="E326" i="4"/>
  <c r="E334" i="4"/>
  <c r="E342" i="4"/>
  <c r="E350" i="4"/>
  <c r="E358" i="4"/>
  <c r="E366" i="4"/>
  <c r="E374" i="4"/>
  <c r="E382" i="4"/>
  <c r="E390" i="4"/>
  <c r="E398" i="4"/>
  <c r="E406" i="4"/>
  <c r="E414" i="4"/>
  <c r="E422" i="4"/>
  <c r="E430" i="4"/>
  <c r="E438" i="4"/>
  <c r="E446" i="4"/>
  <c r="E454" i="4"/>
  <c r="E462" i="4"/>
  <c r="E470" i="4"/>
  <c r="E478" i="4"/>
  <c r="E486" i="4"/>
  <c r="E494" i="4"/>
  <c r="E502" i="4"/>
  <c r="E510" i="4"/>
  <c r="E518" i="4"/>
  <c r="E526" i="4"/>
  <c r="E534" i="4"/>
  <c r="E542" i="4"/>
  <c r="E550" i="4"/>
  <c r="E558" i="4"/>
  <c r="E566" i="4"/>
  <c r="E574" i="4"/>
  <c r="E582" i="4"/>
  <c r="E590" i="4"/>
  <c r="E598" i="4"/>
  <c r="E606" i="4"/>
  <c r="E614" i="4"/>
  <c r="E622" i="4"/>
  <c r="E630" i="4"/>
  <c r="E638" i="4"/>
  <c r="E646" i="4"/>
  <c r="E654" i="4"/>
  <c r="E662" i="4"/>
  <c r="E670" i="4"/>
  <c r="E678" i="4"/>
  <c r="E686" i="4"/>
  <c r="E694" i="4"/>
  <c r="E702" i="4"/>
  <c r="E710" i="4"/>
  <c r="E718" i="4"/>
  <c r="E726" i="4"/>
  <c r="E734" i="4"/>
  <c r="E742" i="4"/>
  <c r="E750" i="4"/>
  <c r="E758" i="4"/>
  <c r="E39" i="4"/>
  <c r="E143" i="4"/>
  <c r="E207" i="4"/>
  <c r="E263" i="4"/>
  <c r="E359" i="4"/>
  <c r="E415" i="4"/>
  <c r="E471" i="4"/>
  <c r="E527" i="4"/>
  <c r="E583" i="4"/>
  <c r="E655" i="4"/>
  <c r="E735" i="4"/>
  <c r="C24" i="4" a="1"/>
  <c r="D25" i="4" a="1"/>
  <c r="C28" i="4" a="1"/>
  <c r="D29" i="4" a="1"/>
  <c r="C32" i="4" a="1"/>
  <c r="D33" i="4" a="1"/>
  <c r="C36" i="4" a="1"/>
  <c r="D37" i="4" a="1"/>
  <c r="C40" i="4" a="1"/>
  <c r="D41" i="4" a="1"/>
  <c r="C44" i="4" a="1"/>
  <c r="D45" i="4" a="1"/>
  <c r="C48" i="4" a="1"/>
  <c r="D49" i="4" a="1"/>
  <c r="C52" i="4" a="1"/>
  <c r="D53" i="4" a="1"/>
  <c r="C56" i="4" a="1"/>
  <c r="D57" i="4" a="1"/>
  <c r="C60" i="4" a="1"/>
  <c r="D61" i="4" a="1"/>
  <c r="C64" i="4" a="1"/>
  <c r="D65" i="4" a="1"/>
  <c r="C68" i="4" a="1"/>
  <c r="D69" i="4" a="1"/>
  <c r="C72" i="4" a="1"/>
  <c r="D73" i="4" a="1"/>
  <c r="C26" i="4" a="1"/>
  <c r="D27" i="4" a="1"/>
  <c r="C30" i="4" a="1"/>
  <c r="D31" i="4" a="1"/>
  <c r="C34" i="4" a="1"/>
  <c r="D35" i="4" a="1"/>
  <c r="C38" i="4" a="1"/>
  <c r="D39" i="4" a="1"/>
  <c r="C42" i="4" a="1"/>
  <c r="D43" i="4" a="1"/>
  <c r="C46" i="4" a="1"/>
  <c r="D47" i="4" a="1"/>
  <c r="C50" i="4" a="1"/>
  <c r="D51" i="4" a="1"/>
  <c r="C54" i="4" a="1"/>
  <c r="D55" i="4" a="1"/>
  <c r="C58" i="4" a="1"/>
  <c r="D59" i="4" a="1"/>
  <c r="C62" i="4" a="1"/>
  <c r="D63" i="4" a="1"/>
  <c r="C66" i="4" a="1"/>
  <c r="D67" i="4" a="1"/>
  <c r="C70" i="4" a="1"/>
  <c r="D71" i="4" a="1"/>
  <c r="C74" i="4" a="1"/>
  <c r="D75" i="4" a="1"/>
  <c r="C78" i="4" a="1"/>
  <c r="D79" i="4" a="1"/>
  <c r="C82" i="4" a="1"/>
  <c r="D83" i="4" a="1"/>
  <c r="C86" i="4" a="1"/>
  <c r="D87" i="4" a="1"/>
  <c r="C90" i="4" a="1"/>
  <c r="D91" i="4" a="1"/>
  <c r="C94" i="4" a="1"/>
  <c r="D95" i="4" a="1"/>
  <c r="C98" i="4" a="1"/>
  <c r="D99" i="4" a="1"/>
  <c r="C102" i="4" a="1"/>
  <c r="D103" i="4" a="1"/>
  <c r="C106" i="4" a="1"/>
  <c r="D107" i="4" a="1"/>
  <c r="C110" i="4" a="1"/>
  <c r="D111" i="4" a="1"/>
  <c r="C114" i="4" a="1"/>
  <c r="C25" i="4" a="1"/>
  <c r="D26" i="4" a="1"/>
  <c r="C29" i="4" a="1"/>
  <c r="D30" i="4" a="1"/>
  <c r="C33" i="4" a="1"/>
  <c r="D34" i="4" a="1"/>
  <c r="C37" i="4" a="1"/>
  <c r="D38" i="4" a="1"/>
  <c r="C41" i="4" a="1"/>
  <c r="D42" i="4" a="1"/>
  <c r="C45" i="4" a="1"/>
  <c r="D46" i="4" a="1"/>
  <c r="C49" i="4" a="1"/>
  <c r="D50" i="4" a="1"/>
  <c r="C53" i="4" a="1"/>
  <c r="D54" i="4" a="1"/>
  <c r="C57" i="4" a="1"/>
  <c r="D58" i="4" a="1"/>
  <c r="C61" i="4" a="1"/>
  <c r="D62" i="4" a="1"/>
  <c r="C65" i="4" a="1"/>
  <c r="D66" i="4" a="1"/>
  <c r="C69" i="4" a="1"/>
  <c r="D70" i="4" a="1"/>
  <c r="C73" i="4" a="1"/>
  <c r="D74" i="4" a="1"/>
  <c r="C77" i="4" a="1"/>
  <c r="D78" i="4" a="1"/>
  <c r="C81" i="4" a="1"/>
  <c r="D82" i="4" a="1"/>
  <c r="C85" i="4" a="1"/>
  <c r="D86" i="4" a="1"/>
  <c r="C89" i="4" a="1"/>
  <c r="D90" i="4" a="1"/>
  <c r="C93" i="4" a="1"/>
  <c r="D94" i="4" a="1"/>
  <c r="C97" i="4" a="1"/>
  <c r="D98" i="4" a="1"/>
  <c r="C101" i="4" a="1"/>
  <c r="D102" i="4" a="1"/>
  <c r="C105" i="4" a="1"/>
  <c r="D106" i="4" a="1"/>
  <c r="C109" i="4" a="1"/>
  <c r="D110" i="4" a="1"/>
  <c r="C113" i="4" a="1"/>
  <c r="D114" i="4" a="1"/>
  <c r="C79" i="4" a="1"/>
  <c r="D81" i="4" a="1"/>
  <c r="C92" i="4" a="1"/>
  <c r="D100" i="4" a="1"/>
  <c r="C111" i="4" a="1"/>
  <c r="D113" i="4" a="1"/>
  <c r="D118" i="4" a="1"/>
  <c r="D121" i="4" a="1"/>
  <c r="D124" i="4" a="1"/>
  <c r="D127" i="4" a="1"/>
  <c r="C129" i="4" a="1"/>
  <c r="C132" i="4" a="1"/>
  <c r="C135" i="4" a="1"/>
  <c r="C138" i="4" a="1"/>
  <c r="D139" i="4" a="1"/>
  <c r="C142" i="4" a="1"/>
  <c r="D143" i="4" a="1"/>
  <c r="C146" i="4" a="1"/>
  <c r="D147" i="4" a="1"/>
  <c r="D28" i="4" a="1"/>
  <c r="C31" i="4" a="1"/>
  <c r="D36" i="4" a="1"/>
  <c r="C39" i="4" a="1"/>
  <c r="D44" i="4" a="1"/>
  <c r="C47" i="4" a="1"/>
  <c r="D52" i="4" a="1"/>
  <c r="C55" i="4" a="1"/>
  <c r="D60" i="4" a="1"/>
  <c r="C63" i="4" a="1"/>
  <c r="D68" i="4" a="1"/>
  <c r="C71" i="4" a="1"/>
  <c r="D80" i="4" a="1"/>
  <c r="C91" i="4" a="1"/>
  <c r="D93" i="4" a="1"/>
  <c r="C104" i="4" a="1"/>
  <c r="D112" i="4" a="1"/>
  <c r="D122" i="4" a="1"/>
  <c r="D125" i="4" a="1"/>
  <c r="D128" i="4" a="1"/>
  <c r="D131" i="4" a="1"/>
  <c r="C133" i="4" a="1"/>
  <c r="C136" i="4" a="1"/>
  <c r="D76" i="4" a="1"/>
  <c r="C87" i="4" a="1"/>
  <c r="D89" i="4" a="1"/>
  <c r="C100" i="4" a="1"/>
  <c r="D108" i="4" a="1"/>
  <c r="D116" i="4" a="1"/>
  <c r="D119" i="4" a="1"/>
  <c r="C121" i="4" a="1"/>
  <c r="C124" i="4" a="1"/>
  <c r="C127" i="4" a="1"/>
  <c r="C130" i="4" a="1"/>
  <c r="C139" i="4" a="1"/>
  <c r="D140" i="4" a="1"/>
  <c r="C143" i="4" a="1"/>
  <c r="D144" i="4" a="1"/>
  <c r="C147" i="4" a="1"/>
  <c r="D148" i="4" a="1"/>
  <c r="C151" i="4" a="1"/>
  <c r="D152" i="4" a="1"/>
  <c r="C155" i="4" a="1"/>
  <c r="D156" i="4" a="1"/>
  <c r="C159" i="4" a="1"/>
  <c r="D160" i="4" a="1"/>
  <c r="C163" i="4" a="1"/>
  <c r="D164" i="4" a="1"/>
  <c r="C167" i="4" a="1"/>
  <c r="D168" i="4" a="1"/>
  <c r="C171" i="4" a="1"/>
  <c r="D172" i="4" a="1"/>
  <c r="C175" i="4" a="1"/>
  <c r="D176" i="4" a="1"/>
  <c r="C179" i="4" a="1"/>
  <c r="D180" i="4" a="1"/>
  <c r="C183" i="4" a="1"/>
  <c r="D184" i="4" a="1"/>
  <c r="C187" i="4" a="1"/>
  <c r="D188" i="4" a="1"/>
  <c r="C191" i="4" a="1"/>
  <c r="D192" i="4" a="1"/>
  <c r="C195" i="4" a="1"/>
  <c r="D196" i="4" a="1"/>
  <c r="C199" i="4" a="1"/>
  <c r="D200" i="4" a="1"/>
  <c r="C203" i="4" a="1"/>
  <c r="D204" i="4" a="1"/>
  <c r="C207" i="4" a="1"/>
  <c r="D208" i="4" a="1"/>
  <c r="C211" i="4" a="1"/>
  <c r="D212" i="4" a="1"/>
  <c r="C27" i="4" a="1"/>
  <c r="D48" i="4" a="1"/>
  <c r="C88" i="4" a="1"/>
  <c r="D101" i="4" a="1"/>
  <c r="C108" i="4" a="1"/>
  <c r="C115" i="4" a="1"/>
  <c r="D117" i="4" a="1"/>
  <c r="C120" i="4" a="1"/>
  <c r="C122" i="4" a="1"/>
  <c r="D134" i="4" a="1"/>
  <c r="C137" i="4" a="1"/>
  <c r="D145" i="4" a="1"/>
  <c r="D149" i="4" a="1"/>
  <c r="D151" i="4" a="1"/>
  <c r="C153" i="4" a="1"/>
  <c r="D158" i="4" a="1"/>
  <c r="C160" i="4" a="1"/>
  <c r="C162" i="4" a="1"/>
  <c r="D165" i="4" a="1"/>
  <c r="D167" i="4" a="1"/>
  <c r="C169" i="4" a="1"/>
  <c r="D174" i="4" a="1"/>
  <c r="C176" i="4" a="1"/>
  <c r="C178" i="4" a="1"/>
  <c r="D181" i="4" a="1"/>
  <c r="D183" i="4" a="1"/>
  <c r="C185" i="4" a="1"/>
  <c r="D190" i="4" a="1"/>
  <c r="C192" i="4" a="1"/>
  <c r="C194" i="4" a="1"/>
  <c r="D197" i="4" a="1"/>
  <c r="D199" i="4" a="1"/>
  <c r="C201" i="4" a="1"/>
  <c r="D206" i="4" a="1"/>
  <c r="C208" i="4" a="1"/>
  <c r="C210" i="4" a="1"/>
  <c r="D213" i="4" a="1"/>
  <c r="C215" i="4" a="1"/>
  <c r="C218" i="4" a="1"/>
  <c r="C221" i="4" a="1"/>
  <c r="C224" i="4" a="1"/>
  <c r="D236" i="4" a="1"/>
  <c r="D239" i="4" a="1"/>
  <c r="D242" i="4" a="1"/>
  <c r="D245" i="4" a="1"/>
  <c r="C247" i="4" a="1"/>
  <c r="C250" i="4" a="1"/>
  <c r="C253" i="4" a="1"/>
  <c r="C256" i="4" a="1"/>
  <c r="D268" i="4" a="1"/>
  <c r="D271" i="4" a="1"/>
  <c r="D274" i="4" a="1"/>
  <c r="C277" i="4" a="1"/>
  <c r="D278" i="4" a="1"/>
  <c r="C281" i="4" a="1"/>
  <c r="D282" i="4" a="1"/>
  <c r="C285" i="4" a="1"/>
  <c r="D286" i="4" a="1"/>
  <c r="C289" i="4" a="1"/>
  <c r="D290" i="4" a="1"/>
  <c r="C293" i="4" a="1"/>
  <c r="D294" i="4" a="1"/>
  <c r="C297" i="4" a="1"/>
  <c r="D298" i="4" a="1"/>
  <c r="C301" i="4" a="1"/>
  <c r="D302" i="4" a="1"/>
  <c r="C305" i="4" a="1"/>
  <c r="D306" i="4" a="1"/>
  <c r="C309" i="4" a="1"/>
  <c r="D310" i="4" a="1"/>
  <c r="D40" i="4" a="1"/>
  <c r="D84" i="4" a="1"/>
  <c r="D105" i="4" a="1"/>
  <c r="C112" i="4" a="1"/>
  <c r="D115" i="4" a="1"/>
  <c r="C125" i="4" a="1"/>
  <c r="D132" i="4" a="1"/>
  <c r="D141" i="4" a="1"/>
  <c r="D224" i="4" a="1"/>
  <c r="D227" i="4" a="1"/>
  <c r="D230" i="4" a="1"/>
  <c r="D233" i="4" a="1"/>
  <c r="C235" i="4" a="1"/>
  <c r="C238" i="4" a="1"/>
  <c r="C241" i="4" a="1"/>
  <c r="C244" i="4" a="1"/>
  <c r="D256" i="4" a="1"/>
  <c r="D259" i="4" a="1"/>
  <c r="D262" i="4" a="1"/>
  <c r="D265" i="4" a="1"/>
  <c r="C267" i="4" a="1"/>
  <c r="C270" i="4" a="1"/>
  <c r="C273" i="4" a="1"/>
  <c r="C59" i="4" a="1"/>
  <c r="D64" i="4" a="1"/>
  <c r="C80" i="4" a="1"/>
  <c r="D85" i="4" a="1"/>
  <c r="C103" i="4" a="1"/>
  <c r="C116" i="4" a="1"/>
  <c r="C119" i="4" a="1"/>
  <c r="C123" i="4" a="1"/>
  <c r="C126" i="4" a="1"/>
  <c r="C150" i="4" a="1"/>
  <c r="C152" i="4" a="1"/>
  <c r="D154" i="4" a="1"/>
  <c r="C157" i="4" a="1"/>
  <c r="D159" i="4" a="1"/>
  <c r="D161" i="4" a="1"/>
  <c r="C164" i="4" a="1"/>
  <c r="D166" i="4" a="1"/>
  <c r="D171" i="4" a="1"/>
  <c r="D173" i="4" a="1"/>
  <c r="D178" i="4" a="1"/>
  <c r="D185" i="4" a="1"/>
  <c r="C190" i="4" a="1"/>
  <c r="C197" i="4" a="1"/>
  <c r="C202" i="4" a="1"/>
  <c r="C204" i="4" a="1"/>
  <c r="C209" i="4" a="1"/>
  <c r="D211" i="4" a="1"/>
  <c r="C76" i="4" a="1"/>
  <c r="C99" i="4" a="1"/>
  <c r="D126" i="4" a="1"/>
  <c r="D129" i="4" a="1"/>
  <c r="C214" i="4" a="1"/>
  <c r="C220" i="4" a="1"/>
  <c r="C222" i="4" a="1"/>
  <c r="C228" i="4" a="1"/>
  <c r="C230" i="4" a="1"/>
  <c r="D232" i="4" a="1"/>
  <c r="C236" i="4" a="1"/>
  <c r="D238" i="4" a="1"/>
  <c r="D240" i="4" a="1"/>
  <c r="D246" i="4" a="1"/>
  <c r="D248" i="4" a="1"/>
  <c r="D254" i="4" a="1"/>
  <c r="D32" i="4" a="1"/>
  <c r="C43" i="4" a="1"/>
  <c r="C95" i="4" a="1"/>
  <c r="D109" i="4" a="1"/>
  <c r="C117" i="4" a="1"/>
  <c r="D120" i="4" a="1"/>
  <c r="D123" i="4" a="1"/>
  <c r="D130" i="4" a="1"/>
  <c r="D133" i="4" a="1"/>
  <c r="D136" i="4" a="1"/>
  <c r="D142" i="4" a="1"/>
  <c r="C145" i="4" a="1"/>
  <c r="C148" i="4" a="1"/>
  <c r="D150" i="4" a="1"/>
  <c r="D155" i="4" a="1"/>
  <c r="D157" i="4" a="1"/>
  <c r="D162" i="4" a="1"/>
  <c r="C67" i="4" a="1"/>
  <c r="D72" i="4" a="1"/>
  <c r="D77" i="4" a="1"/>
  <c r="C51" i="4" a="1"/>
  <c r="D56" i="4" a="1"/>
  <c r="C83" i="4" a="1"/>
  <c r="D92" i="4" a="1"/>
  <c r="C128" i="4" a="1"/>
  <c r="C131" i="4" a="1"/>
  <c r="C134" i="4" a="1"/>
  <c r="D146" i="4" a="1"/>
  <c r="C217" i="4" a="1"/>
  <c r="C219" i="4" a="1"/>
  <c r="C225" i="4" a="1"/>
  <c r="C227" i="4" a="1"/>
  <c r="C233" i="4" a="1"/>
  <c r="D235" i="4" a="1"/>
  <c r="D241" i="4" a="1"/>
  <c r="D243" i="4" a="1"/>
  <c r="D249" i="4" a="1"/>
  <c r="D251" i="4" a="1"/>
  <c r="D257" i="4" a="1"/>
  <c r="C75" i="4" a="1"/>
  <c r="D88" i="4" a="1"/>
  <c r="D24" i="4" a="1"/>
  <c r="D96" i="4" a="1"/>
  <c r="C140" i="4" a="1"/>
  <c r="C165" i="4" a="1"/>
  <c r="C177" i="4" a="1"/>
  <c r="C181" i="4" a="1"/>
  <c r="C196" i="4" a="1"/>
  <c r="C200" i="4" a="1"/>
  <c r="D214" i="4" a="1"/>
  <c r="D222" i="4" a="1"/>
  <c r="D244" i="4" a="1"/>
  <c r="D252" i="4" a="1"/>
  <c r="C258" i="4" a="1"/>
  <c r="D260" i="4" a="1"/>
  <c r="C266" i="4" a="1"/>
  <c r="C271" i="4" a="1"/>
  <c r="D273" i="4" a="1"/>
  <c r="D275" i="4" a="1"/>
  <c r="D279" i="4" a="1"/>
  <c r="D283" i="4" a="1"/>
  <c r="D287" i="4" a="1"/>
  <c r="D289" i="4" a="1"/>
  <c r="C291" i="4" a="1"/>
  <c r="D296" i="4" a="1"/>
  <c r="C298" i="4" a="1"/>
  <c r="C300" i="4" a="1"/>
  <c r="D303" i="4" a="1"/>
  <c r="D305" i="4" a="1"/>
  <c r="C307" i="4" a="1"/>
  <c r="D312" i="4" a="1"/>
  <c r="D315" i="4" a="1"/>
  <c r="D318" i="4" a="1"/>
  <c r="C320" i="4" a="1"/>
  <c r="C323" i="4" a="1"/>
  <c r="C326" i="4" a="1"/>
  <c r="C329" i="4" a="1"/>
  <c r="C149" i="4" a="1"/>
  <c r="C154" i="4" a="1"/>
  <c r="D163" i="4" a="1"/>
  <c r="C168" i="4" a="1"/>
  <c r="D179" i="4" a="1"/>
  <c r="D187" i="4" a="1"/>
  <c r="D198" i="4" a="1"/>
  <c r="D202" i="4" a="1"/>
  <c r="C206" i="4" a="1"/>
  <c r="C216" i="4" a="1"/>
  <c r="C246" i="4" a="1"/>
  <c r="C254" i="4" a="1"/>
  <c r="C262" i="4" a="1"/>
  <c r="D272" i="4" a="1"/>
  <c r="D313" i="4" a="1"/>
  <c r="D316" i="4" a="1"/>
  <c r="D319" i="4" a="1"/>
  <c r="D322" i="4" a="1"/>
  <c r="C324" i="4" a="1"/>
  <c r="C327" i="4" a="1"/>
  <c r="C330" i="4" a="1"/>
  <c r="C333" i="4" a="1"/>
  <c r="D345" i="4" a="1"/>
  <c r="D348" i="4" a="1"/>
  <c r="D351" i="4" a="1"/>
  <c r="D354" i="4" a="1"/>
  <c r="C356" i="4" a="1"/>
  <c r="C359" i="4" a="1"/>
  <c r="C362" i="4" a="1"/>
  <c r="C365" i="4" a="1"/>
  <c r="D138" i="4" a="1"/>
  <c r="C144" i="4" a="1"/>
  <c r="C172" i="4" a="1"/>
  <c r="C180" i="4" a="1"/>
  <c r="D191" i="4" a="1"/>
  <c r="D195" i="4" a="1"/>
  <c r="D210" i="4" a="1"/>
  <c r="D216" i="4" a="1"/>
  <c r="C249" i="4" a="1"/>
  <c r="C257" i="4" a="1"/>
  <c r="C265" i="4" a="1"/>
  <c r="D270" i="4" a="1"/>
  <c r="C275" i="4" a="1"/>
  <c r="C279" i="4" a="1"/>
  <c r="C283" i="4" a="1"/>
  <c r="C287" i="4" a="1"/>
  <c r="D292" i="4" a="1"/>
  <c r="C294" i="4" a="1"/>
  <c r="C296" i="4" a="1"/>
  <c r="D299" i="4" a="1"/>
  <c r="D301" i="4" a="1"/>
  <c r="C303" i="4" a="1"/>
  <c r="D308" i="4" a="1"/>
  <c r="C310" i="4" a="1"/>
  <c r="C312" i="4" a="1"/>
  <c r="C315" i="4" a="1"/>
  <c r="C318" i="4" a="1"/>
  <c r="C321" i="4" a="1"/>
  <c r="D333" i="4" a="1"/>
  <c r="D336" i="4" a="1"/>
  <c r="D339" i="4" a="1"/>
  <c r="D342" i="4" a="1"/>
  <c r="C344" i="4" a="1"/>
  <c r="C347" i="4" a="1"/>
  <c r="C350" i="4" a="1"/>
  <c r="C353" i="4" a="1"/>
  <c r="D365" i="4" a="1"/>
  <c r="C368" i="4" a="1"/>
  <c r="D369" i="4" a="1"/>
  <c r="C372" i="4" a="1"/>
  <c r="D373" i="4" a="1"/>
  <c r="C376" i="4" a="1"/>
  <c r="D377" i="4" a="1"/>
  <c r="C380" i="4" a="1"/>
  <c r="D381" i="4" a="1"/>
  <c r="C384" i="4" a="1"/>
  <c r="D385" i="4" a="1"/>
  <c r="C388" i="4" a="1"/>
  <c r="D389" i="4" a="1"/>
  <c r="C392" i="4" a="1"/>
  <c r="D393" i="4" a="1"/>
  <c r="C396" i="4" a="1"/>
  <c r="D397" i="4" a="1"/>
  <c r="C400" i="4" a="1"/>
  <c r="D401" i="4" a="1"/>
  <c r="C404" i="4" a="1"/>
  <c r="D405" i="4" a="1"/>
  <c r="C408" i="4" a="1"/>
  <c r="D409" i="4" a="1"/>
  <c r="C412" i="4" a="1"/>
  <c r="D413" i="4" a="1"/>
  <c r="C416" i="4" a="1"/>
  <c r="D417" i="4" a="1"/>
  <c r="C420" i="4" a="1"/>
  <c r="D421" i="4" a="1"/>
  <c r="C424" i="4" a="1"/>
  <c r="D425" i="4" a="1"/>
  <c r="C428" i="4" a="1"/>
  <c r="D429" i="4" a="1"/>
  <c r="D104" i="4" a="1"/>
  <c r="D137" i="4" a="1"/>
  <c r="C107" i="4" a="1"/>
  <c r="D177" i="4" a="1"/>
  <c r="D189" i="4" a="1"/>
  <c r="D201" i="4" a="1"/>
  <c r="C213" i="4" a="1"/>
  <c r="D226" i="4" a="1"/>
  <c r="C231" i="4" a="1"/>
  <c r="D269" i="4" a="1"/>
  <c r="D276" i="4" a="1"/>
  <c r="C280" i="4" a="1"/>
  <c r="C292" i="4" a="1"/>
  <c r="C295" i="4" a="1"/>
  <c r="C306" i="4" a="1"/>
  <c r="D309" i="4" a="1"/>
  <c r="D314" i="4" a="1"/>
  <c r="C317" i="4" a="1"/>
  <c r="D324" i="4" a="1"/>
  <c r="D329" i="4" a="1"/>
  <c r="D335" i="4" a="1"/>
  <c r="D337" i="4" a="1"/>
  <c r="D343" i="4" a="1"/>
  <c r="C364" i="4" a="1"/>
  <c r="C158" i="4" a="1"/>
  <c r="C173" i="4" a="1"/>
  <c r="D203" i="4" a="1"/>
  <c r="D223" i="4" a="1"/>
  <c r="C240" i="4" a="1"/>
  <c r="D253" i="4" a="1"/>
  <c r="D266" i="4" a="1"/>
  <c r="C274" i="4" a="1"/>
  <c r="D295" i="4" a="1"/>
  <c r="D327" i="4" a="1"/>
  <c r="C332" i="4" a="1"/>
  <c r="C338" i="4" a="1"/>
  <c r="C340" i="4" a="1"/>
  <c r="C346" i="4" a="1"/>
  <c r="C348" i="4" a="1"/>
  <c r="C354" i="4" a="1"/>
  <c r="D356" i="4" a="1"/>
  <c r="D362" i="4" a="1"/>
  <c r="D364" i="4" a="1"/>
  <c r="D97" i="4" a="1"/>
  <c r="C174" i="4" a="1"/>
  <c r="C186" i="4" a="1"/>
  <c r="C198" i="4" a="1"/>
  <c r="D209" i="4" a="1"/>
  <c r="D215" i="4" a="1"/>
  <c r="D219" i="4" a="1"/>
  <c r="D228" i="4" a="1"/>
  <c r="C232" i="4" a="1"/>
  <c r="C245" i="4" a="1"/>
  <c r="D258" i="4" a="1"/>
  <c r="C263" i="4" a="1"/>
  <c r="D281" i="4" a="1"/>
  <c r="D284" i="4" a="1"/>
  <c r="C290" i="4" a="1"/>
  <c r="D293" i="4" a="1"/>
  <c r="D304" i="4" a="1"/>
  <c r="D307" i="4" a="1"/>
  <c r="D320" i="4" a="1"/>
  <c r="C325" i="4" a="1"/>
  <c r="C334" i="4" a="1"/>
  <c r="C336" i="4" a="1"/>
  <c r="C342" i="4" a="1"/>
  <c r="D344" i="4" a="1"/>
  <c r="D350" i="4" a="1"/>
  <c r="D352" i="4" a="1"/>
  <c r="D358" i="4" a="1"/>
  <c r="D360" i="4" a="1"/>
  <c r="D366" i="4" a="1"/>
  <c r="D368" i="4" a="1"/>
  <c r="C370" i="4" a="1"/>
  <c r="D375" i="4" a="1"/>
  <c r="C377" i="4" a="1"/>
  <c r="C379" i="4" a="1"/>
  <c r="D382" i="4" a="1"/>
  <c r="D384" i="4" a="1"/>
  <c r="C386" i="4" a="1"/>
  <c r="C84" i="4" a="1"/>
  <c r="D135" i="4" a="1"/>
  <c r="C161" i="4" a="1"/>
  <c r="C193" i="4" a="1"/>
  <c r="C205" i="4" a="1"/>
  <c r="D220" i="4" a="1"/>
  <c r="C237" i="4" a="1"/>
  <c r="D250" i="4" a="1"/>
  <c r="C255" i="4" a="1"/>
  <c r="D263" i="4" a="1"/>
  <c r="D267" i="4" a="1"/>
  <c r="C278" i="4" a="1"/>
  <c r="C288" i="4" a="1"/>
  <c r="C299" i="4" a="1"/>
  <c r="C302" i="4" a="1"/>
  <c r="C313" i="4" a="1"/>
  <c r="D325" i="4" a="1"/>
  <c r="C328" i="4" a="1"/>
  <c r="D330" i="4" a="1"/>
  <c r="D332" i="4" a="1"/>
  <c r="D338" i="4" a="1"/>
  <c r="D340" i="4" a="1"/>
  <c r="D346" i="4" a="1"/>
  <c r="C156" i="4" a="1"/>
  <c r="D170" i="4" a="1"/>
  <c r="D182" i="4" a="1"/>
  <c r="D194" i="4" a="1"/>
  <c r="D207" i="4" a="1"/>
  <c r="D217" i="4" a="1"/>
  <c r="C226" i="4" a="1"/>
  <c r="D234" i="4" a="1"/>
  <c r="C243" i="4" a="1"/>
  <c r="C252" i="4" a="1"/>
  <c r="C261" i="4" a="1"/>
  <c r="D300" i="4" a="1"/>
  <c r="D311" i="4" a="1"/>
  <c r="D326" i="4" a="1"/>
  <c r="C331" i="4" a="1"/>
  <c r="C339" i="4" a="1"/>
  <c r="D347" i="4" a="1"/>
  <c r="D355" i="4" a="1"/>
  <c r="D363" i="4" a="1"/>
  <c r="D367" i="4" a="1"/>
  <c r="C371" i="4" a="1"/>
  <c r="D374" i="4" a="1"/>
  <c r="C378" i="4" a="1"/>
  <c r="C387" i="4" a="1"/>
  <c r="D394" i="4" a="1"/>
  <c r="D415" i="4" a="1"/>
  <c r="C417" i="4" a="1"/>
  <c r="C419" i="4" a="1"/>
  <c r="D422" i="4" a="1"/>
  <c r="D424" i="4" a="1"/>
  <c r="C426" i="4" a="1"/>
  <c r="D437" i="4" a="1"/>
  <c r="D440" i="4" a="1"/>
  <c r="D443" i="4" a="1"/>
  <c r="D446" i="4" a="1"/>
  <c r="C448" i="4" a="1"/>
  <c r="C451" i="4" a="1"/>
  <c r="C454" i="4" a="1"/>
  <c r="C457" i="4" a="1"/>
  <c r="D469" i="4" a="1"/>
  <c r="D472" i="4" a="1"/>
  <c r="C475" i="4" a="1"/>
  <c r="D476" i="4" a="1"/>
  <c r="C479" i="4" a="1"/>
  <c r="D480" i="4" a="1"/>
  <c r="C483" i="4" a="1"/>
  <c r="D484" i="4" a="1"/>
  <c r="C487" i="4" a="1"/>
  <c r="D488" i="4" a="1"/>
  <c r="C35" i="4" a="1"/>
  <c r="C184" i="4" a="1"/>
  <c r="D218" i="4" a="1"/>
  <c r="D261" i="4" a="1"/>
  <c r="D277" i="4" a="1"/>
  <c r="C284" i="4" a="1"/>
  <c r="D317" i="4" a="1"/>
  <c r="C322" i="4" a="1"/>
  <c r="D331" i="4" a="1"/>
  <c r="C352" i="4" a="1"/>
  <c r="C360" i="4" a="1"/>
  <c r="D371" i="4" a="1"/>
  <c r="C375" i="4" a="1"/>
  <c r="D378" i="4" a="1"/>
  <c r="D387" i="4" a="1"/>
  <c r="C390" i="4" a="1"/>
  <c r="D392" i="4" a="1"/>
  <c r="C395" i="4" a="1"/>
  <c r="C397" i="4" a="1"/>
  <c r="D399" i="4" a="1"/>
  <c r="C402" i="4" a="1"/>
  <c r="D404" i="4" a="1"/>
  <c r="D406" i="4" a="1"/>
  <c r="C409" i="4" a="1"/>
  <c r="D411" i="4" a="1"/>
  <c r="D431" i="4" a="1"/>
  <c r="D434" i="4" a="1"/>
  <c r="C436" i="4" a="1"/>
  <c r="C439" i="4" a="1"/>
  <c r="C442" i="4" a="1"/>
  <c r="C445" i="4" a="1"/>
  <c r="D457" i="4" a="1"/>
  <c r="D460" i="4" a="1"/>
  <c r="D463" i="4" a="1"/>
  <c r="D466" i="4" a="1"/>
  <c r="C468" i="4" a="1"/>
  <c r="D186" i="4" a="1"/>
  <c r="C212" i="4" a="1"/>
  <c r="C229" i="4" a="1"/>
  <c r="D237" i="4" a="1"/>
  <c r="D255" i="4" a="1"/>
  <c r="C264" i="4" a="1"/>
  <c r="D285" i="4" a="1"/>
  <c r="C308" i="4" a="1"/>
  <c r="D323" i="4" a="1"/>
  <c r="C361" i="4" a="1"/>
  <c r="D372" i="4" a="1"/>
  <c r="D379" i="4" a="1"/>
  <c r="C382" i="4" a="1"/>
  <c r="C407" i="4" a="1"/>
  <c r="C414" i="4" a="1"/>
  <c r="D419" i="4" a="1"/>
  <c r="C421" i="4" a="1"/>
  <c r="C423" i="4" a="1"/>
  <c r="D426" i="4" a="1"/>
  <c r="D428" i="4" a="1"/>
  <c r="C430" i="4" a="1"/>
  <c r="C433" i="4" a="1"/>
  <c r="D445" i="4" a="1"/>
  <c r="D448" i="4" a="1"/>
  <c r="D451" i="4" a="1"/>
  <c r="D454" i="4" a="1"/>
  <c r="C456" i="4" a="1"/>
  <c r="C459" i="4" a="1"/>
  <c r="C462" i="4" a="1"/>
  <c r="C465" i="4" a="1"/>
  <c r="C474" i="4" a="1"/>
  <c r="D475" i="4" a="1"/>
  <c r="C478" i="4" a="1"/>
  <c r="C141" i="4" a="1"/>
  <c r="D175" i="4" a="1"/>
  <c r="C188" i="4" a="1"/>
  <c r="D229" i="4" a="1"/>
  <c r="D247" i="4" a="1"/>
  <c r="D264" i="4" a="1"/>
  <c r="C272" i="4" a="1"/>
  <c r="D291" i="4" a="1"/>
  <c r="C314" i="4" a="1"/>
  <c r="D328" i="4" a="1"/>
  <c r="C341" i="4" a="1"/>
  <c r="C349" i="4" a="1"/>
  <c r="D353" i="4" a="1"/>
  <c r="C357" i="4" a="1"/>
  <c r="D361" i="4" a="1"/>
  <c r="C385" i="4" a="1"/>
  <c r="D388" i="4" a="1"/>
  <c r="D390" i="4" a="1"/>
  <c r="C393" i="4" a="1"/>
  <c r="D395" i="4" a="1"/>
  <c r="D400" i="4" a="1"/>
  <c r="D402" i="4" a="1"/>
  <c r="D407" i="4" a="1"/>
  <c r="D433" i="4" a="1"/>
  <c r="D436" i="4" a="1"/>
  <c r="D439" i="4" a="1"/>
  <c r="D442" i="4" a="1"/>
  <c r="C444" i="4" a="1"/>
  <c r="C447" i="4" a="1"/>
  <c r="C450" i="4" a="1"/>
  <c r="C453" i="4" a="1"/>
  <c r="D465" i="4" a="1"/>
  <c r="D468" i="4" a="1"/>
  <c r="D471" i="4" a="1"/>
  <c r="C118" i="4" a="1"/>
  <c r="C189" i="4" a="1"/>
  <c r="D221" i="4" a="1"/>
  <c r="C239" i="4" a="1"/>
  <c r="C286" i="4" a="1"/>
  <c r="D297" i="4" a="1"/>
  <c r="C319" i="4" a="1"/>
  <c r="C337" i="4" a="1"/>
  <c r="D341" i="4" a="1"/>
  <c r="C345" i="4" a="1"/>
  <c r="D349" i="4" a="1"/>
  <c r="D357" i="4" a="1"/>
  <c r="C369" i="4" a="1"/>
  <c r="D376" i="4" a="1"/>
  <c r="C383" i="4" a="1"/>
  <c r="C391" i="4" a="1"/>
  <c r="C398" i="4" a="1"/>
  <c r="C405" i="4" a="1"/>
  <c r="D412" i="4" a="1"/>
  <c r="D414" i="4" a="1"/>
  <c r="D416" i="4" a="1"/>
  <c r="C418" i="4" a="1"/>
  <c r="D423" i="4" a="1"/>
  <c r="C425" i="4" a="1"/>
  <c r="C427" i="4" a="1"/>
  <c r="D430" i="4" a="1"/>
  <c r="C432" i="4" a="1"/>
  <c r="C435" i="4" a="1"/>
  <c r="C438" i="4" a="1"/>
  <c r="C441" i="4" a="1"/>
  <c r="D453" i="4" a="1"/>
  <c r="D456" i="4" a="1"/>
  <c r="D459" i="4" a="1"/>
  <c r="D462" i="4" a="1"/>
  <c r="C464" i="4" a="1"/>
  <c r="C467" i="4" a="1"/>
  <c r="C470" i="4" a="1"/>
  <c r="C473" i="4" a="1"/>
  <c r="D474" i="4" a="1"/>
  <c r="C477" i="4" a="1"/>
  <c r="D478" i="4" a="1"/>
  <c r="C481" i="4" a="1"/>
  <c r="D482" i="4" a="1"/>
  <c r="C485" i="4" a="1"/>
  <c r="D486" i="4" a="1"/>
  <c r="C489" i="4" a="1"/>
  <c r="D490" i="4" a="1"/>
  <c r="C493" i="4" a="1"/>
  <c r="D494" i="4" a="1"/>
  <c r="C497" i="4" a="1"/>
  <c r="D498" i="4" a="1"/>
  <c r="C501" i="4" a="1"/>
  <c r="D502" i="4" a="1"/>
  <c r="C505" i="4" a="1"/>
  <c r="D506" i="4" a="1"/>
  <c r="C509" i="4" a="1"/>
  <c r="D510" i="4" a="1"/>
  <c r="C513" i="4" a="1"/>
  <c r="D514" i="4" a="1"/>
  <c r="C517" i="4" a="1"/>
  <c r="D518" i="4" a="1"/>
  <c r="C521" i="4" a="1"/>
  <c r="D522" i="4" a="1"/>
  <c r="C525" i="4" a="1"/>
  <c r="D526" i="4" a="1"/>
  <c r="C529" i="4" a="1"/>
  <c r="D530" i="4" a="1"/>
  <c r="C533" i="4" a="1"/>
  <c r="D534" i="4" a="1"/>
  <c r="C537" i="4" a="1"/>
  <c r="D538" i="4" a="1"/>
  <c r="C541" i="4" a="1"/>
  <c r="D542" i="4" a="1"/>
  <c r="C545" i="4" a="1"/>
  <c r="D546" i="4" a="1"/>
  <c r="C549" i="4" a="1"/>
  <c r="D550" i="4" a="1"/>
  <c r="C553" i="4" a="1"/>
  <c r="D554" i="4" a="1"/>
  <c r="C557" i="4" a="1"/>
  <c r="D558" i="4" a="1"/>
  <c r="C561" i="4" a="1"/>
  <c r="D562" i="4" a="1"/>
  <c r="C565" i="4" a="1"/>
  <c r="D566" i="4" a="1"/>
  <c r="C569" i="4" a="1"/>
  <c r="D570" i="4" a="1"/>
  <c r="C573" i="4" a="1"/>
  <c r="D574" i="4" a="1"/>
  <c r="C577" i="4" a="1"/>
  <c r="D578" i="4" a="1"/>
  <c r="C581" i="4" a="1"/>
  <c r="D582" i="4" a="1"/>
  <c r="C585" i="4" a="1"/>
  <c r="D586" i="4" a="1"/>
  <c r="C589" i="4" a="1"/>
  <c r="D590" i="4" a="1"/>
  <c r="C593" i="4" a="1"/>
  <c r="D594" i="4" a="1"/>
  <c r="C597" i="4" a="1"/>
  <c r="D598" i="4" a="1"/>
  <c r="C166" i="4" a="1"/>
  <c r="C223" i="4" a="1"/>
  <c r="D231" i="4" a="1"/>
  <c r="C248" i="4" a="1"/>
  <c r="D280" i="4" a="1"/>
  <c r="C304" i="4" a="1"/>
  <c r="C358" i="4" a="1"/>
  <c r="C366" i="4" a="1"/>
  <c r="C373" i="4" a="1"/>
  <c r="D380" i="4" a="1"/>
  <c r="D391" i="4" a="1"/>
  <c r="D398" i="4" a="1"/>
  <c r="C403" i="4" a="1"/>
  <c r="C410" i="4" a="1"/>
  <c r="D441" i="4" a="1"/>
  <c r="D444" i="4" a="1"/>
  <c r="D447" i="4" a="1"/>
  <c r="D450" i="4" a="1"/>
  <c r="C452" i="4" a="1"/>
  <c r="C455" i="4" a="1"/>
  <c r="C458" i="4" a="1"/>
  <c r="C461" i="4" a="1"/>
  <c r="D169" i="4" a="1"/>
  <c r="C242" i="4" a="1"/>
  <c r="C259" i="4" a="1"/>
  <c r="C268" i="4" a="1"/>
  <c r="C282" i="4" a="1"/>
  <c r="C311" i="4" a="1"/>
  <c r="C316" i="4" a="1"/>
  <c r="D334" i="4" a="1"/>
  <c r="C355" i="4" a="1"/>
  <c r="C363" i="4" a="1"/>
  <c r="C367" i="4" a="1"/>
  <c r="D370" i="4" a="1"/>
  <c r="C374" i="4" a="1"/>
  <c r="D383" i="4" a="1"/>
  <c r="D386" i="4" a="1"/>
  <c r="C389" i="4" a="1"/>
  <c r="D396" i="4" a="1"/>
  <c r="D403" i="4" a="1"/>
  <c r="D410" i="4" a="1"/>
  <c r="C415" i="4" a="1"/>
  <c r="D418" i="4" a="1"/>
  <c r="D420" i="4" a="1"/>
  <c r="C422" i="4" a="1"/>
  <c r="D427" i="4" a="1"/>
  <c r="C429" i="4" a="1"/>
  <c r="D432" i="4" a="1"/>
  <c r="D435" i="4" a="1"/>
  <c r="D438" i="4" a="1"/>
  <c r="C440" i="4" a="1"/>
  <c r="C443" i="4" a="1"/>
  <c r="C446" i="4" a="1"/>
  <c r="C449" i="4" a="1"/>
  <c r="D461" i="4" a="1"/>
  <c r="D464" i="4" a="1"/>
  <c r="D467" i="4" a="1"/>
  <c r="D470" i="4" a="1"/>
  <c r="C472" i="4" a="1"/>
  <c r="D473" i="4" a="1"/>
  <c r="C476" i="4" a="1"/>
  <c r="D477" i="4" a="1"/>
  <c r="C480" i="4" a="1"/>
  <c r="D481" i="4" a="1"/>
  <c r="C484" i="4" a="1"/>
  <c r="D485" i="4" a="1"/>
  <c r="C488" i="4" a="1"/>
  <c r="D489" i="4" a="1"/>
  <c r="C492" i="4" a="1"/>
  <c r="D493" i="4" a="1"/>
  <c r="C496" i="4" a="1"/>
  <c r="D497" i="4" a="1"/>
  <c r="C500" i="4" a="1"/>
  <c r="D501" i="4" a="1"/>
  <c r="C504" i="4" a="1"/>
  <c r="D505" i="4" a="1"/>
  <c r="C508" i="4" a="1"/>
  <c r="D509" i="4" a="1"/>
  <c r="C512" i="4" a="1"/>
  <c r="D513" i="4" a="1"/>
  <c r="C516" i="4" a="1"/>
  <c r="D517" i="4" a="1"/>
  <c r="C520" i="4" a="1"/>
  <c r="D521" i="4" a="1"/>
  <c r="C524" i="4" a="1"/>
  <c r="D525" i="4" a="1"/>
  <c r="C528" i="4" a="1"/>
  <c r="D529" i="4" a="1"/>
  <c r="C532" i="4" a="1"/>
  <c r="D533" i="4" a="1"/>
  <c r="C536" i="4" a="1"/>
  <c r="D537" i="4" a="1"/>
  <c r="C540" i="4" a="1"/>
  <c r="D541" i="4" a="1"/>
  <c r="C544" i="4" a="1"/>
  <c r="D545" i="4" a="1"/>
  <c r="C548" i="4" a="1"/>
  <c r="D549" i="4" a="1"/>
  <c r="C552" i="4" a="1"/>
  <c r="D553" i="4" a="1"/>
  <c r="C556" i="4" a="1"/>
  <c r="D557" i="4" a="1"/>
  <c r="C560" i="4" a="1"/>
  <c r="D561" i="4" a="1"/>
  <c r="C564" i="4" a="1"/>
  <c r="D565" i="4" a="1"/>
  <c r="C568" i="4" a="1"/>
  <c r="D569" i="4" a="1"/>
  <c r="C572" i="4" a="1"/>
  <c r="D573" i="4" a="1"/>
  <c r="C576" i="4" a="1"/>
  <c r="D577" i="4" a="1"/>
  <c r="C580" i="4" a="1"/>
  <c r="D581" i="4" a="1"/>
  <c r="C584" i="4" a="1"/>
  <c r="D585" i="4" a="1"/>
  <c r="C588" i="4" a="1"/>
  <c r="D589" i="4" a="1"/>
  <c r="C592" i="4" a="1"/>
  <c r="D593" i="4" a="1"/>
  <c r="C596" i="4" a="1"/>
  <c r="D597" i="4" a="1"/>
  <c r="C600" i="4" a="1"/>
  <c r="D601" i="4" a="1"/>
  <c r="C604" i="4" a="1"/>
  <c r="D605" i="4" a="1"/>
  <c r="C608" i="4" a="1"/>
  <c r="D609" i="4" a="1"/>
  <c r="C612" i="4" a="1"/>
  <c r="D613" i="4" a="1"/>
  <c r="C616" i="4" a="1"/>
  <c r="D617" i="4" a="1"/>
  <c r="C620" i="4" a="1"/>
  <c r="D621" i="4" a="1"/>
  <c r="C624" i="4" a="1"/>
  <c r="D625" i="4" a="1"/>
  <c r="C628" i="4" a="1"/>
  <c r="D629" i="4" a="1"/>
  <c r="C632" i="4" a="1"/>
  <c r="D633" i="4" a="1"/>
  <c r="C636" i="4" a="1"/>
  <c r="D637" i="4" a="1"/>
  <c r="C640" i="4" a="1"/>
  <c r="D641" i="4" a="1"/>
  <c r="C644" i="4" a="1"/>
  <c r="D645" i="4" a="1"/>
  <c r="C648" i="4" a="1"/>
  <c r="D649" i="4" a="1"/>
  <c r="C652" i="4" a="1"/>
  <c r="D653" i="4" a="1"/>
  <c r="C656" i="4" a="1"/>
  <c r="D657" i="4" a="1"/>
  <c r="C660" i="4" a="1"/>
  <c r="D661" i="4" a="1"/>
  <c r="C664" i="4" a="1"/>
  <c r="C96" i="4" a="1"/>
  <c r="C182" i="4" a="1"/>
  <c r="C260" i="4" a="1"/>
  <c r="C399" i="4" a="1"/>
  <c r="C431" i="4" a="1"/>
  <c r="D455" i="4" a="1"/>
  <c r="C486" i="4" a="1"/>
  <c r="C498" i="4" a="1"/>
  <c r="D500" i="4" a="1"/>
  <c r="C511" i="4" a="1"/>
  <c r="D519" i="4" a="1"/>
  <c r="C530" i="4" a="1"/>
  <c r="D532" i="4" a="1"/>
  <c r="C543" i="4" a="1"/>
  <c r="D551" i="4" a="1"/>
  <c r="C562" i="4" a="1"/>
  <c r="D564" i="4" a="1"/>
  <c r="C575" i="4" a="1"/>
  <c r="D583" i="4" a="1"/>
  <c r="C594" i="4" a="1"/>
  <c r="D596" i="4" a="1"/>
  <c r="C666" i="4" a="1"/>
  <c r="C669" i="4" a="1"/>
  <c r="D681" i="4" a="1"/>
  <c r="D684" i="4" a="1"/>
  <c r="D687" i="4" a="1"/>
  <c r="D690" i="4" a="1"/>
  <c r="C692" i="4" a="1"/>
  <c r="C695" i="4" a="1"/>
  <c r="C698" i="4" a="1"/>
  <c r="C701" i="4" a="1"/>
  <c r="D713" i="4" a="1"/>
  <c r="D716" i="4" a="1"/>
  <c r="D719" i="4" a="1"/>
  <c r="D722" i="4" a="1"/>
  <c r="D205" i="4" a="1"/>
  <c r="C276" i="4" a="1"/>
  <c r="D321" i="4" a="1"/>
  <c r="C434" i="4" a="1"/>
  <c r="D458" i="4" a="1"/>
  <c r="D483" i="4" a="1"/>
  <c r="C490" i="4" a="1"/>
  <c r="D492" i="4" a="1"/>
  <c r="C503" i="4" a="1"/>
  <c r="D511" i="4" a="1"/>
  <c r="C522" i="4" a="1"/>
  <c r="D524" i="4" a="1"/>
  <c r="C535" i="4" a="1"/>
  <c r="D543" i="4" a="1"/>
  <c r="C554" i="4" a="1"/>
  <c r="D556" i="4" a="1"/>
  <c r="C567" i="4" a="1"/>
  <c r="D575" i="4" a="1"/>
  <c r="C586" i="4" a="1"/>
  <c r="D588" i="4" a="1"/>
  <c r="C599" i="4" a="1"/>
  <c r="D666" i="4" a="1"/>
  <c r="C668" i="4" a="1"/>
  <c r="C671" i="4" a="1"/>
  <c r="C674" i="4" a="1"/>
  <c r="C677" i="4" a="1"/>
  <c r="D689" i="4" a="1"/>
  <c r="D692" i="4" a="1"/>
  <c r="D695" i="4" a="1"/>
  <c r="D698" i="4" a="1"/>
  <c r="C700" i="4" a="1"/>
  <c r="C703" i="4" a="1"/>
  <c r="D359" i="4" a="1"/>
  <c r="C406" i="4" a="1"/>
  <c r="C460" i="4" a="1"/>
  <c r="D487" i="4" a="1"/>
  <c r="C499" i="4" a="1"/>
  <c r="D507" i="4" a="1"/>
  <c r="C518" i="4" a="1"/>
  <c r="D520" i="4" a="1"/>
  <c r="C531" i="4" a="1"/>
  <c r="D539" i="4" a="1"/>
  <c r="C550" i="4" a="1"/>
  <c r="D552" i="4" a="1"/>
  <c r="C563" i="4" a="1"/>
  <c r="D571" i="4" a="1"/>
  <c r="C582" i="4" a="1"/>
  <c r="D584" i="4" a="1"/>
  <c r="C595" i="4" a="1"/>
  <c r="C601" i="4" a="1"/>
  <c r="C603" i="4" a="1"/>
  <c r="D606" i="4" a="1"/>
  <c r="D608" i="4" a="1"/>
  <c r="C610" i="4" a="1"/>
  <c r="D615" i="4" a="1"/>
  <c r="C617" i="4" a="1"/>
  <c r="C619" i="4" a="1"/>
  <c r="D622" i="4" a="1"/>
  <c r="D624" i="4" a="1"/>
  <c r="C626" i="4" a="1"/>
  <c r="D631" i="4" a="1"/>
  <c r="C633" i="4" a="1"/>
  <c r="C635" i="4" a="1"/>
  <c r="D638" i="4" a="1"/>
  <c r="D640" i="4" a="1"/>
  <c r="C642" i="4" a="1"/>
  <c r="D647" i="4" a="1"/>
  <c r="C649" i="4" a="1"/>
  <c r="C651" i="4" a="1"/>
  <c r="D654" i="4" a="1"/>
  <c r="D656" i="4" a="1"/>
  <c r="C658" i="4" a="1"/>
  <c r="D663" i="4" a="1"/>
  <c r="C665" i="4" a="1"/>
  <c r="C269" i="4" a="1"/>
  <c r="C491" i="4" a="1"/>
  <c r="C494" i="4" a="1"/>
  <c r="D504" i="4" a="1"/>
  <c r="D528" i="4" a="1"/>
  <c r="D535" i="4" a="1"/>
  <c r="C542" i="4" a="1"/>
  <c r="D555" i="4" a="1"/>
  <c r="D576" i="4" a="1"/>
  <c r="D579" i="4" a="1"/>
  <c r="C583" i="4" a="1"/>
  <c r="D611" i="4" a="1"/>
  <c r="C623" i="4" a="1"/>
  <c r="C634" i="4" a="1"/>
  <c r="C637" i="4" a="1"/>
  <c r="D648" i="4" a="1"/>
  <c r="D651" i="4" a="1"/>
  <c r="C654" i="4" a="1"/>
  <c r="D662" i="4" a="1"/>
  <c r="C670" i="4" a="1"/>
  <c r="C672" i="4" a="1"/>
  <c r="C678" i="4" a="1"/>
  <c r="D680" i="4" a="1"/>
  <c r="D686" i="4" a="1"/>
  <c r="D688" i="4" a="1"/>
  <c r="D694" i="4" a="1"/>
  <c r="D696" i="4" a="1"/>
  <c r="D702" i="4" a="1"/>
  <c r="C708" i="4" a="1"/>
  <c r="D711" i="4" a="1"/>
  <c r="C713" i="4" a="1"/>
  <c r="C715" i="4" a="1"/>
  <c r="D718" i="4" a="1"/>
  <c r="C725" i="4" a="1"/>
  <c r="D153" i="4" a="1"/>
  <c r="D288" i="4" a="1"/>
  <c r="C343" i="4" a="1"/>
  <c r="C495" i="4" a="1"/>
  <c r="D508" i="4" a="1"/>
  <c r="C515" i="4" a="1"/>
  <c r="C539" i="4" a="1"/>
  <c r="C546" i="4" a="1"/>
  <c r="D559" i="4" a="1"/>
  <c r="C566" i="4" a="1"/>
  <c r="D580" i="4" a="1"/>
  <c r="C587" i="4" a="1"/>
  <c r="C590" i="4" a="1"/>
  <c r="D600" i="4" a="1"/>
  <c r="D603" i="4" a="1"/>
  <c r="C606" i="4" a="1"/>
  <c r="D614" i="4" a="1"/>
  <c r="D620" i="4" a="1"/>
  <c r="D634" i="4" a="1"/>
  <c r="C643" i="4" a="1"/>
  <c r="C646" i="4" a="1"/>
  <c r="C657" i="4" a="1"/>
  <c r="D660" i="4" a="1"/>
  <c r="C663" i="4" a="1"/>
  <c r="D668" i="4" a="1"/>
  <c r="D672" i="4" a="1"/>
  <c r="D674" i="4" a="1"/>
  <c r="D676" i="4" a="1"/>
  <c r="D678" i="4" a="1"/>
  <c r="D682" i="4" a="1"/>
  <c r="C170" i="4" a="1"/>
  <c r="C351" i="4" a="1"/>
  <c r="C394" i="4" a="1"/>
  <c r="C463" i="4" a="1"/>
  <c r="D491" i="4" a="1"/>
  <c r="D512" i="4" a="1"/>
  <c r="D515" i="4" a="1"/>
  <c r="C519" i="4" a="1"/>
  <c r="D563" i="4" a="1"/>
  <c r="C570" i="4" a="1"/>
  <c r="C591" i="4" a="1"/>
  <c r="C609" i="4" a="1"/>
  <c r="D612" i="4" a="1"/>
  <c r="C615" i="4" a="1"/>
  <c r="D623" i="4" a="1"/>
  <c r="D626" i="4" a="1"/>
  <c r="C629" i="4" a="1"/>
  <c r="D643" i="4" a="1"/>
  <c r="C655" i="4" a="1"/>
  <c r="D670" i="4" a="1"/>
  <c r="C691" i="4" a="1"/>
  <c r="C697" i="4" a="1"/>
  <c r="C699" i="4" a="1"/>
  <c r="D708" i="4" a="1"/>
  <c r="C710" i="4" a="1"/>
  <c r="C712" i="4" a="1"/>
  <c r="D715" i="4" a="1"/>
  <c r="C717" i="4" a="1"/>
  <c r="C724" i="4" a="1"/>
  <c r="C727" i="4" a="1"/>
  <c r="C730" i="4" a="1"/>
  <c r="C733" i="4" a="1"/>
  <c r="D193" i="4" a="1"/>
  <c r="C482" i="4" a="1"/>
  <c r="D495" i="4" a="1"/>
  <c r="C502" i="4" a="1"/>
  <c r="D516" i="4" a="1"/>
  <c r="C523" i="4" a="1"/>
  <c r="C526" i="4" a="1"/>
  <c r="D536" i="4" a="1"/>
  <c r="D560" i="4" a="1"/>
  <c r="D567" i="4" a="1"/>
  <c r="C574" i="4" a="1"/>
  <c r="D587" i="4" a="1"/>
  <c r="C607" i="4" a="1"/>
  <c r="C618" i="4" a="1"/>
  <c r="C621" i="4" a="1"/>
  <c r="D225" i="4" a="1"/>
  <c r="C401" i="4" a="1"/>
  <c r="D449" i="4" a="1"/>
  <c r="C466" i="4" a="1"/>
  <c r="D499" i="4" a="1"/>
  <c r="C506" i="4" a="1"/>
  <c r="C527" i="4" a="1"/>
  <c r="D540" i="4" a="1"/>
  <c r="C547" i="4" a="1"/>
  <c r="C571" i="4" a="1"/>
  <c r="C578" i="4" a="1"/>
  <c r="D591" i="4" a="1"/>
  <c r="C598" i="4" a="1"/>
  <c r="D604" i="4" a="1"/>
  <c r="D618" i="4" a="1"/>
  <c r="C234" i="4" a="1"/>
  <c r="D408" i="4" a="1"/>
  <c r="C469" i="4" a="1"/>
  <c r="D496" i="4" a="1"/>
  <c r="D503" i="4" a="1"/>
  <c r="C510" i="4" a="1"/>
  <c r="D523" i="4" a="1"/>
  <c r="D544" i="4" a="1"/>
  <c r="D547" i="4" a="1"/>
  <c r="C551" i="4" a="1"/>
  <c r="D595" i="4" a="1"/>
  <c r="D607" i="4" a="1"/>
  <c r="D610" i="4" a="1"/>
  <c r="C613" i="4" a="1"/>
  <c r="D627" i="4" a="1"/>
  <c r="C639" i="4" a="1"/>
  <c r="C650" i="4" a="1"/>
  <c r="C653" i="4" a="1"/>
  <c r="D664" i="4" a="1"/>
  <c r="C667" i="4" a="1"/>
  <c r="D669" i="4" a="1"/>
  <c r="D671" i="4" a="1"/>
  <c r="D673" i="4" a="1"/>
  <c r="D675" i="4" a="1"/>
  <c r="D679" i="4" a="1"/>
  <c r="D707" i="4" a="1"/>
  <c r="C709" i="4" a="1"/>
  <c r="C716" i="4" a="1"/>
  <c r="D721" i="4" a="1"/>
  <c r="C723" i="4" a="1"/>
  <c r="C726" i="4" a="1"/>
  <c r="C729" i="4" a="1"/>
  <c r="D741" i="4" a="1"/>
  <c r="D744" i="4" a="1"/>
  <c r="D747" i="4" a="1"/>
  <c r="D750" i="4" a="1"/>
  <c r="C752" i="4" a="1"/>
  <c r="C755" i="4" a="1"/>
  <c r="C758" i="4" a="1"/>
  <c r="C411" i="4" a="1"/>
  <c r="D452" i="4" a="1"/>
  <c r="C471" i="4" a="1"/>
  <c r="C507" i="4" a="1"/>
  <c r="C514" i="4" a="1"/>
  <c r="D527" i="4" a="1"/>
  <c r="C534" i="4" a="1"/>
  <c r="D548" i="4" a="1"/>
  <c r="C555" i="4" a="1"/>
  <c r="C558" i="4" a="1"/>
  <c r="D568" i="4" a="1"/>
  <c r="D592" i="4" a="1"/>
  <c r="D599" i="4" a="1"/>
  <c r="C602" i="4" a="1"/>
  <c r="C605" i="4" a="1"/>
  <c r="D616" i="4" a="1"/>
  <c r="D619" i="4" a="1"/>
  <c r="C622" i="4" a="1"/>
  <c r="D630" i="4" a="1"/>
  <c r="D636" i="4" a="1"/>
  <c r="D650" i="4" a="1"/>
  <c r="C659" i="4" a="1"/>
  <c r="C662" i="4" a="1"/>
  <c r="C688" i="4" a="1"/>
  <c r="C694" i="4" a="1"/>
  <c r="C696" i="4" a="1"/>
  <c r="C702" i="4" a="1"/>
  <c r="C704" i="4" a="1"/>
  <c r="D709" i="4" a="1"/>
  <c r="C711" i="4" a="1"/>
  <c r="D714" i="4" a="1"/>
  <c r="C718" i="4" a="1"/>
  <c r="D729" i="4" a="1"/>
  <c r="D732" i="4" a="1"/>
  <c r="D735" i="4" a="1"/>
  <c r="D738" i="4" a="1"/>
  <c r="C740" i="4" a="1"/>
  <c r="C743" i="4" a="1"/>
  <c r="C746" i="4" a="1"/>
  <c r="C749" i="4" a="1"/>
  <c r="C251" i="4" a="1"/>
  <c r="C631" i="4" a="1"/>
  <c r="D646" i="4" a="1"/>
  <c r="C661" i="4" a="1"/>
  <c r="C685" i="4" a="1"/>
  <c r="C690" i="4" a="1"/>
  <c r="D701" i="4" a="1"/>
  <c r="C706" i="4" a="1"/>
  <c r="C720" i="4" a="1"/>
  <c r="D723" i="4" a="1"/>
  <c r="D726" i="4" a="1"/>
  <c r="D740" i="4" a="1"/>
  <c r="C745" i="4" a="1"/>
  <c r="C747" i="4" a="1"/>
  <c r="D749" i="4" a="1"/>
  <c r="C753" i="4" a="1"/>
  <c r="D755" i="4" a="1"/>
  <c r="D757" i="4" a="1"/>
  <c r="C335" i="4" a="1"/>
  <c r="D572" i="4" a="1"/>
  <c r="D632" i="4" a="1"/>
  <c r="D639" i="4" a="1"/>
  <c r="C647" i="4" a="1"/>
  <c r="C680" i="4" a="1"/>
  <c r="D685" i="4" a="1"/>
  <c r="D706" i="4" a="1"/>
  <c r="D720" i="4" a="1"/>
  <c r="C738" i="4" a="1"/>
  <c r="D745" i="4" a="1"/>
  <c r="D751" i="4" a="1"/>
  <c r="D753" i="4" a="1"/>
  <c r="D759" i="4" a="1"/>
  <c r="C381" i="4" a="1"/>
  <c r="D602" i="4" a="1"/>
  <c r="D655" i="4" a="1"/>
  <c r="C675" i="4" a="1"/>
  <c r="C686" i="4" a="1"/>
  <c r="D691" i="4" a="1"/>
  <c r="D697" i="4" a="1"/>
  <c r="D710" i="4" a="1"/>
  <c r="D717" i="4" a="1"/>
  <c r="D733" i="4" a="1"/>
  <c r="C736" i="4" a="1"/>
  <c r="D743" i="4" a="1"/>
  <c r="C760" i="4" a="1"/>
  <c r="C437" i="4" a="1"/>
  <c r="C731" i="4" a="1"/>
  <c r="C739" i="4" a="1"/>
  <c r="C750" i="4" a="1"/>
  <c r="D758" i="4" a="1"/>
  <c r="C413" i="4" a="1"/>
  <c r="C579" i="4" a="1"/>
  <c r="C625" i="4" a="1"/>
  <c r="C641" i="4" a="1"/>
  <c r="C676" i="4" a="1"/>
  <c r="C681" i="4" a="1"/>
  <c r="C687" i="4" a="1"/>
  <c r="D703" i="4" a="1"/>
  <c r="C707" i="4" a="1"/>
  <c r="C714" i="4" a="1"/>
  <c r="C721" i="4" a="1"/>
  <c r="D724" i="4" a="1"/>
  <c r="D727" i="4" a="1"/>
  <c r="D730" i="4" a="1"/>
  <c r="D736" i="4" a="1"/>
  <c r="C741" i="4" a="1"/>
  <c r="C748" i="4" a="1"/>
  <c r="C754" i="4" a="1"/>
  <c r="C756" i="4" a="1"/>
  <c r="D635" i="4" a="1"/>
  <c r="D642" i="4" a="1"/>
  <c r="D665" i="4" a="1"/>
  <c r="C682" i="4" a="1"/>
  <c r="C693" i="4" a="1"/>
  <c r="C728" i="4" a="1"/>
  <c r="C734" i="4" a="1"/>
  <c r="C744" i="4" a="1"/>
  <c r="D752" i="4" a="1"/>
  <c r="D760" i="4" a="1"/>
  <c r="D531" i="4" a="1"/>
  <c r="C559" i="4" a="1"/>
  <c r="C611" i="4" a="1"/>
  <c r="D628" i="4" a="1"/>
  <c r="D658" i="4" a="1"/>
  <c r="D677" i="4" a="1"/>
  <c r="C683" i="4" a="1"/>
  <c r="D693" i="4" a="1"/>
  <c r="D704" i="4" a="1"/>
  <c r="C722" i="4" a="1"/>
  <c r="D725" i="4" a="1"/>
  <c r="D728" i="4" a="1"/>
  <c r="D731" i="4" a="1"/>
  <c r="D734" i="4" a="1"/>
  <c r="C737" i="4" a="1"/>
  <c r="D739" i="4" a="1"/>
  <c r="D746" i="4" a="1"/>
  <c r="D748" i="4" a="1"/>
  <c r="D754" i="4" a="1"/>
  <c r="D756" i="4" a="1"/>
  <c r="C673" i="4" a="1"/>
  <c r="D700" i="4" a="1"/>
  <c r="C735" i="4" a="1"/>
  <c r="D742" i="4" a="1"/>
  <c r="C757" i="4" a="1"/>
  <c r="C614" i="4" a="1"/>
  <c r="D644" i="4" a="1"/>
  <c r="D652" i="4" a="1"/>
  <c r="D659" i="4" a="1"/>
  <c r="D683" i="4" a="1"/>
  <c r="C689" i="4" a="1"/>
  <c r="D699" i="4" a="1"/>
  <c r="C705" i="4" a="1"/>
  <c r="C719" i="4" a="1"/>
  <c r="D737" i="4" a="1"/>
  <c r="C742" i="4" a="1"/>
  <c r="D479" i="4" a="1"/>
  <c r="C684" i="4" a="1"/>
  <c r="D712" i="4" a="1"/>
  <c r="C732" i="4" a="1"/>
  <c r="C751" i="4" a="1"/>
  <c r="C538" i="4" a="1"/>
  <c r="C630" i="4" a="1"/>
  <c r="C638" i="4" a="1"/>
  <c r="C645" i="4" a="1"/>
  <c r="D667" i="4" a="1"/>
  <c r="C679" i="4" a="1"/>
  <c r="D705" i="4" a="1"/>
  <c r="C759" i="4" a="1"/>
  <c r="C627" i="4" a="1"/>
  <c r="C23" i="4" a="1"/>
  <c r="D23" i="4" a="1"/>
  <c r="C23" i="3" a="1"/>
  <c r="D24" i="3" a="1"/>
  <c r="E25" i="3" a="1"/>
  <c r="C27" i="3" a="1"/>
  <c r="D28" i="3" a="1"/>
  <c r="E29" i="3" a="1"/>
  <c r="C31" i="3" a="1"/>
  <c r="D32" i="3" a="1"/>
  <c r="E33" i="3" a="1"/>
  <c r="C35" i="3" a="1"/>
  <c r="D36" i="3" a="1"/>
  <c r="E37" i="3" a="1"/>
  <c r="C39" i="3" a="1"/>
  <c r="D40" i="3" a="1"/>
  <c r="E41" i="3" a="1"/>
  <c r="C43" i="3" a="1"/>
  <c r="D44" i="3" a="1"/>
  <c r="E45" i="3" a="1"/>
  <c r="C47" i="3" a="1"/>
  <c r="D48" i="3" a="1"/>
  <c r="E49" i="3" a="1"/>
  <c r="C51" i="3" a="1"/>
  <c r="D52" i="3" a="1"/>
  <c r="E53" i="3" a="1"/>
  <c r="D23" i="3" a="1"/>
  <c r="E24" i="3" a="1"/>
  <c r="C26" i="3" a="1"/>
  <c r="D27" i="3" a="1"/>
  <c r="E28" i="3" a="1"/>
  <c r="C30" i="3" a="1"/>
  <c r="D31" i="3" a="1"/>
  <c r="E32" i="3" a="1"/>
  <c r="C34" i="3" a="1"/>
  <c r="D35" i="3" a="1"/>
  <c r="E36" i="3" a="1"/>
  <c r="C38" i="3" a="1"/>
  <c r="D39" i="3" a="1"/>
  <c r="E40" i="3" a="1"/>
  <c r="C42" i="3" a="1"/>
  <c r="D43" i="3" a="1"/>
  <c r="E44" i="3" a="1"/>
  <c r="C46" i="3" a="1"/>
  <c r="D47" i="3" a="1"/>
  <c r="E48" i="3" a="1"/>
  <c r="C50" i="3" a="1"/>
  <c r="D51" i="3" a="1"/>
  <c r="E52" i="3" a="1"/>
  <c r="C54" i="3" a="1"/>
  <c r="E23" i="3" a="1"/>
  <c r="C25" i="3" a="1"/>
  <c r="D26" i="3" a="1"/>
  <c r="E27" i="3" a="1"/>
  <c r="C29" i="3" a="1"/>
  <c r="D30" i="3" a="1"/>
  <c r="E31" i="3" a="1"/>
  <c r="C33" i="3" a="1"/>
  <c r="D34" i="3" a="1"/>
  <c r="E35" i="3" a="1"/>
  <c r="C37" i="3" a="1"/>
  <c r="D38" i="3" a="1"/>
  <c r="E39" i="3" a="1"/>
  <c r="C41" i="3" a="1"/>
  <c r="D42" i="3" a="1"/>
  <c r="E43" i="3" a="1"/>
  <c r="C45" i="3" a="1"/>
  <c r="D46" i="3" a="1"/>
  <c r="E47" i="3" a="1"/>
  <c r="C49" i="3" a="1"/>
  <c r="D50" i="3" a="1"/>
  <c r="E51" i="3" a="1"/>
  <c r="C53" i="3" a="1"/>
  <c r="D54" i="3" a="1"/>
  <c r="C24" i="3" a="1"/>
  <c r="D29" i="3" a="1"/>
  <c r="E34" i="3" a="1"/>
  <c r="C40" i="3" a="1"/>
  <c r="D45" i="3" a="1"/>
  <c r="E50" i="3" a="1"/>
  <c r="C55" i="3" a="1"/>
  <c r="D57" i="3" a="1"/>
  <c r="D59" i="3" a="1"/>
  <c r="E63" i="3" a="1"/>
  <c r="E65" i="3" a="1"/>
  <c r="C68" i="3" a="1"/>
  <c r="C70" i="3" a="1"/>
  <c r="D74" i="3" a="1"/>
  <c r="D76" i="3" a="1"/>
  <c r="E78" i="3" a="1"/>
  <c r="E80" i="3" a="1"/>
  <c r="C85" i="3" a="1"/>
  <c r="C87" i="3" a="1"/>
  <c r="D89" i="3" a="1"/>
  <c r="D91" i="3" a="1"/>
  <c r="E95" i="3" a="1"/>
  <c r="E97" i="3" a="1"/>
  <c r="C100" i="3" a="1"/>
  <c r="C102" i="3" a="1"/>
  <c r="D106" i="3" a="1"/>
  <c r="D108" i="3" a="1"/>
  <c r="E110" i="3" a="1"/>
  <c r="E112" i="3" a="1"/>
  <c r="C117" i="3" a="1"/>
  <c r="C119" i="3" a="1"/>
  <c r="D121" i="3" a="1"/>
  <c r="D123" i="3" a="1"/>
  <c r="E127" i="3" a="1"/>
  <c r="E129" i="3" a="1"/>
  <c r="C132" i="3" a="1"/>
  <c r="C134" i="3" a="1"/>
  <c r="D55" i="3" a="1"/>
  <c r="E59" i="3" a="1"/>
  <c r="E61" i="3" a="1"/>
  <c r="C64" i="3" a="1"/>
  <c r="C66" i="3" a="1"/>
  <c r="D70" i="3" a="1"/>
  <c r="D72" i="3" a="1"/>
  <c r="E74" i="3" a="1"/>
  <c r="E76" i="3" a="1"/>
  <c r="C81" i="3" a="1"/>
  <c r="C83" i="3" a="1"/>
  <c r="D85" i="3" a="1"/>
  <c r="D87" i="3" a="1"/>
  <c r="E91" i="3" a="1"/>
  <c r="E93" i="3" a="1"/>
  <c r="C96" i="3" a="1"/>
  <c r="C98" i="3" a="1"/>
  <c r="D102" i="3" a="1"/>
  <c r="D104" i="3" a="1"/>
  <c r="E106" i="3" a="1"/>
  <c r="E108" i="3" a="1"/>
  <c r="C113" i="3" a="1"/>
  <c r="C115" i="3" a="1"/>
  <c r="D117" i="3" a="1"/>
  <c r="D119" i="3" a="1"/>
  <c r="E123" i="3" a="1"/>
  <c r="E125" i="3" a="1"/>
  <c r="C128" i="3" a="1"/>
  <c r="C130" i="3" a="1"/>
  <c r="D134" i="3" a="1"/>
  <c r="D136" i="3" a="1"/>
  <c r="E137" i="3" a="1"/>
  <c r="C139" i="3" a="1"/>
  <c r="D140" i="3" a="1"/>
  <c r="E141" i="3" a="1"/>
  <c r="C143" i="3" a="1"/>
  <c r="D144" i="3" a="1"/>
  <c r="E145" i="3" a="1"/>
  <c r="C147" i="3" a="1"/>
  <c r="D25" i="3" a="1"/>
  <c r="E30" i="3" a="1"/>
  <c r="C36" i="3" a="1"/>
  <c r="D41" i="3" a="1"/>
  <c r="E46" i="3" a="1"/>
  <c r="C52" i="3" a="1"/>
  <c r="E55" i="3" a="1"/>
  <c r="E57" i="3" a="1"/>
  <c r="C60" i="3" a="1"/>
  <c r="C62" i="3" a="1"/>
  <c r="D66" i="3" a="1"/>
  <c r="D68" i="3" a="1"/>
  <c r="E70" i="3" a="1"/>
  <c r="E72" i="3" a="1"/>
  <c r="C77" i="3" a="1"/>
  <c r="C79" i="3" a="1"/>
  <c r="D81" i="3" a="1"/>
  <c r="D83" i="3" a="1"/>
  <c r="E87" i="3" a="1"/>
  <c r="E89" i="3" a="1"/>
  <c r="C92" i="3" a="1"/>
  <c r="C94" i="3" a="1"/>
  <c r="D98" i="3" a="1"/>
  <c r="D100" i="3" a="1"/>
  <c r="E102" i="3" a="1"/>
  <c r="E104" i="3" a="1"/>
  <c r="C109" i="3" a="1"/>
  <c r="C111" i="3" a="1"/>
  <c r="D113" i="3" a="1"/>
  <c r="D115" i="3" a="1"/>
  <c r="E119" i="3" a="1"/>
  <c r="E121" i="3" a="1"/>
  <c r="C124" i="3" a="1"/>
  <c r="C126" i="3" a="1"/>
  <c r="D130" i="3" a="1"/>
  <c r="D132" i="3" a="1"/>
  <c r="E134" i="3" a="1"/>
  <c r="C56" i="3" a="1"/>
  <c r="C58" i="3" a="1"/>
  <c r="D62" i="3" a="1"/>
  <c r="D64" i="3" a="1"/>
  <c r="E66" i="3" a="1"/>
  <c r="E68" i="3" a="1"/>
  <c r="C73" i="3" a="1"/>
  <c r="C75" i="3" a="1"/>
  <c r="D77" i="3" a="1"/>
  <c r="D79" i="3" a="1"/>
  <c r="E83" i="3" a="1"/>
  <c r="E85" i="3" a="1"/>
  <c r="C88" i="3" a="1"/>
  <c r="C90" i="3" a="1"/>
  <c r="D94" i="3" a="1"/>
  <c r="D96" i="3" a="1"/>
  <c r="E98" i="3" a="1"/>
  <c r="E100" i="3" a="1"/>
  <c r="C105" i="3" a="1"/>
  <c r="C107" i="3" a="1"/>
  <c r="D109" i="3" a="1"/>
  <c r="D111" i="3" a="1"/>
  <c r="E115" i="3" a="1"/>
  <c r="E117" i="3" a="1"/>
  <c r="C120" i="3" a="1"/>
  <c r="C122" i="3" a="1"/>
  <c r="D126" i="3" a="1"/>
  <c r="D128" i="3" a="1"/>
  <c r="E130" i="3" a="1"/>
  <c r="E132" i="3" a="1"/>
  <c r="E136" i="3" a="1"/>
  <c r="C138" i="3" a="1"/>
  <c r="D139" i="3" a="1"/>
  <c r="E140" i="3" a="1"/>
  <c r="C142" i="3" a="1"/>
  <c r="D143" i="3" a="1"/>
  <c r="D56" i="3" a="1"/>
  <c r="E58" i="3" a="1"/>
  <c r="E60" i="3" a="1"/>
  <c r="C65" i="3" a="1"/>
  <c r="C67" i="3" a="1"/>
  <c r="D69" i="3" a="1"/>
  <c r="D71" i="3" a="1"/>
  <c r="E75" i="3" a="1"/>
  <c r="E77" i="3" a="1"/>
  <c r="C80" i="3" a="1"/>
  <c r="C82" i="3" a="1"/>
  <c r="D86" i="3" a="1"/>
  <c r="D88" i="3" a="1"/>
  <c r="E90" i="3" a="1"/>
  <c r="E92" i="3" a="1"/>
  <c r="C97" i="3" a="1"/>
  <c r="C99" i="3" a="1"/>
  <c r="D101" i="3" a="1"/>
  <c r="D103" i="3" a="1"/>
  <c r="E107" i="3" a="1"/>
  <c r="E109" i="3" a="1"/>
  <c r="C112" i="3" a="1"/>
  <c r="C114" i="3" a="1"/>
  <c r="D118" i="3" a="1"/>
  <c r="D120" i="3" a="1"/>
  <c r="E122" i="3" a="1"/>
  <c r="E124" i="3" a="1"/>
  <c r="C129" i="3" a="1"/>
  <c r="C131" i="3" a="1"/>
  <c r="D133" i="3" a="1"/>
  <c r="D135" i="3" a="1"/>
  <c r="C137" i="3" a="1"/>
  <c r="D138" i="3" a="1"/>
  <c r="E139" i="3" a="1"/>
  <c r="C141" i="3" a="1"/>
  <c r="D142" i="3" a="1"/>
  <c r="E143" i="3" a="1"/>
  <c r="C145" i="3" a="1"/>
  <c r="D146" i="3" a="1"/>
  <c r="E147" i="3" a="1"/>
  <c r="C149" i="3" a="1"/>
  <c r="D150" i="3" a="1"/>
  <c r="E151" i="3" a="1"/>
  <c r="C153" i="3" a="1"/>
  <c r="C28" i="3" a="1"/>
  <c r="D33" i="3" a="1"/>
  <c r="E38" i="3" a="1"/>
  <c r="C44" i="3" a="1"/>
  <c r="D49" i="3" a="1"/>
  <c r="E54" i="3" a="1"/>
  <c r="E56" i="3" a="1"/>
  <c r="C61" i="3" a="1"/>
  <c r="C63" i="3" a="1"/>
  <c r="D65" i="3" a="1"/>
  <c r="D67" i="3" a="1"/>
  <c r="E71" i="3" a="1"/>
  <c r="E73" i="3" a="1"/>
  <c r="C76" i="3" a="1"/>
  <c r="C78" i="3" a="1"/>
  <c r="D82" i="3" a="1"/>
  <c r="D84" i="3" a="1"/>
  <c r="E86" i="3" a="1"/>
  <c r="E88" i="3" a="1"/>
  <c r="C93" i="3" a="1"/>
  <c r="C95" i="3" a="1"/>
  <c r="D97" i="3" a="1"/>
  <c r="D99" i="3" a="1"/>
  <c r="E103" i="3" a="1"/>
  <c r="E105" i="3" a="1"/>
  <c r="C108" i="3" a="1"/>
  <c r="C110" i="3" a="1"/>
  <c r="D114" i="3" a="1"/>
  <c r="D116" i="3" a="1"/>
  <c r="E118" i="3" a="1"/>
  <c r="E120" i="3" a="1"/>
  <c r="C125" i="3" a="1"/>
  <c r="C127" i="3" a="1"/>
  <c r="D129" i="3" a="1"/>
  <c r="D131" i="3" a="1"/>
  <c r="E135" i="3" a="1"/>
  <c r="E26" i="3" a="1"/>
  <c r="C48" i="3" a="1"/>
  <c r="D60" i="3" a="1"/>
  <c r="C69" i="3" a="1"/>
  <c r="C86" i="3" a="1"/>
  <c r="E94" i="3" a="1"/>
  <c r="C103" i="3" a="1"/>
  <c r="E111" i="3" a="1"/>
  <c r="E128" i="3" a="1"/>
  <c r="D149" i="3" a="1"/>
  <c r="C152" i="3" a="1"/>
  <c r="D154" i="3" a="1"/>
  <c r="E156" i="3" a="1"/>
  <c r="E158" i="3" a="1"/>
  <c r="C163" i="3" a="1"/>
  <c r="C165" i="3" a="1"/>
  <c r="D167" i="3" a="1"/>
  <c r="D169" i="3" a="1"/>
  <c r="E173" i="3" a="1"/>
  <c r="E175" i="3" a="1"/>
  <c r="C178" i="3" a="1"/>
  <c r="C180" i="3" a="1"/>
  <c r="C182" i="3" a="1"/>
  <c r="E183" i="3" a="1"/>
  <c r="D185" i="3" a="1"/>
  <c r="D187" i="3" a="1"/>
  <c r="C189" i="3" a="1"/>
  <c r="E190" i="3" a="1"/>
  <c r="E192" i="3" a="1"/>
  <c r="D194" i="3" a="1"/>
  <c r="C196" i="3" a="1"/>
  <c r="C198" i="3" a="1"/>
  <c r="E199" i="3" a="1"/>
  <c r="D201" i="3" a="1"/>
  <c r="D203" i="3" a="1"/>
  <c r="C205" i="3" a="1"/>
  <c r="E206" i="3" a="1"/>
  <c r="C208" i="3" a="1"/>
  <c r="D209" i="3" a="1"/>
  <c r="E210" i="3" a="1"/>
  <c r="C212" i="3" a="1"/>
  <c r="D213" i="3" a="1"/>
  <c r="E214" i="3" a="1"/>
  <c r="C216" i="3" a="1"/>
  <c r="D217" i="3" a="1"/>
  <c r="E218" i="3" a="1"/>
  <c r="D61" i="3" a="1"/>
  <c r="E69" i="3" a="1"/>
  <c r="D78" i="3" a="1"/>
  <c r="D95" i="3" a="1"/>
  <c r="C104" i="3" a="1"/>
  <c r="D112" i="3" a="1"/>
  <c r="C121" i="3" a="1"/>
  <c r="D137" i="3" a="1"/>
  <c r="E142" i="3" a="1"/>
  <c r="E146" i="3" a="1"/>
  <c r="E149" i="3" a="1"/>
  <c r="D152" i="3" a="1"/>
  <c r="E154" i="3" a="1"/>
  <c r="C159" i="3" a="1"/>
  <c r="C161" i="3" a="1"/>
  <c r="D163" i="3" a="1"/>
  <c r="D165" i="3" a="1"/>
  <c r="E169" i="3" a="1"/>
  <c r="E171" i="3" a="1"/>
  <c r="C174" i="3" a="1"/>
  <c r="C176" i="3" a="1"/>
  <c r="D180" i="3" a="1"/>
  <c r="E185" i="3" a="1"/>
  <c r="C191" i="3" a="1"/>
  <c r="D196" i="3" a="1"/>
  <c r="E201" i="3" a="1"/>
  <c r="C32" i="3" a="1"/>
  <c r="D53" i="3" a="1"/>
  <c r="E62" i="3" a="1"/>
  <c r="C71" i="3" a="1"/>
  <c r="E79" i="3" a="1"/>
  <c r="E96" i="3" a="1"/>
  <c r="D105" i="3" a="1"/>
  <c r="E113" i="3" a="1"/>
  <c r="D122" i="3" a="1"/>
  <c r="D147" i="3" a="1"/>
  <c r="C150" i="3" a="1"/>
  <c r="E152" i="3" a="1"/>
  <c r="C155" i="3" a="1"/>
  <c r="C157" i="3" a="1"/>
  <c r="D159" i="3" a="1"/>
  <c r="D161" i="3" a="1"/>
  <c r="E165" i="3" a="1"/>
  <c r="E167" i="3" a="1"/>
  <c r="C170" i="3" a="1"/>
  <c r="C172" i="3" a="1"/>
  <c r="D176" i="3" a="1"/>
  <c r="D178" i="3" a="1"/>
  <c r="E180" i="3" a="1"/>
  <c r="D182" i="3" a="1"/>
  <c r="C184" i="3" a="1"/>
  <c r="C186" i="3" a="1"/>
  <c r="E187" i="3" a="1"/>
  <c r="D189" i="3" a="1"/>
  <c r="D191" i="3" a="1"/>
  <c r="C193" i="3" a="1"/>
  <c r="E194" i="3" a="1"/>
  <c r="E196" i="3" a="1"/>
  <c r="D198" i="3" a="1"/>
  <c r="C200" i="3" a="1"/>
  <c r="C202" i="3" a="1"/>
  <c r="E203" i="3" a="1"/>
  <c r="D205" i="3" a="1"/>
  <c r="C207" i="3" a="1"/>
  <c r="D208" i="3" a="1"/>
  <c r="E209" i="3" a="1"/>
  <c r="C211" i="3" a="1"/>
  <c r="D212" i="3" a="1"/>
  <c r="E213" i="3" a="1"/>
  <c r="C215" i="3" a="1"/>
  <c r="D216" i="3" a="1"/>
  <c r="E217" i="3" a="1"/>
  <c r="C219" i="3" a="1"/>
  <c r="D63" i="3" a="1"/>
  <c r="C72" i="3" a="1"/>
  <c r="D80" i="3" a="1"/>
  <c r="C89" i="3" a="1"/>
  <c r="C106" i="3" a="1"/>
  <c r="E114" i="3" a="1"/>
  <c r="C123" i="3" a="1"/>
  <c r="E131" i="3" a="1"/>
  <c r="E138" i="3" a="1"/>
  <c r="C144" i="3" a="1"/>
  <c r="D155" i="3" a="1"/>
  <c r="D157" i="3" a="1"/>
  <c r="E161" i="3" a="1"/>
  <c r="E163" i="3" a="1"/>
  <c r="C166" i="3" a="1"/>
  <c r="C168" i="3" a="1"/>
  <c r="D172" i="3" a="1"/>
  <c r="D174" i="3" a="1"/>
  <c r="E176" i="3" a="1"/>
  <c r="E178" i="3" a="1"/>
  <c r="D184" i="3" a="1"/>
  <c r="E189" i="3" a="1"/>
  <c r="C195" i="3" a="1"/>
  <c r="D200" i="3" a="1"/>
  <c r="E205" i="3" a="1"/>
  <c r="C57" i="3" a="1"/>
  <c r="C74" i="3" a="1"/>
  <c r="E82" i="3" a="1"/>
  <c r="C91" i="3" a="1"/>
  <c r="E99" i="3" a="1"/>
  <c r="E116" i="3" a="1"/>
  <c r="D125" i="3" a="1"/>
  <c r="E133" i="3" a="1"/>
  <c r="C140" i="3" a="1"/>
  <c r="D148" i="3" a="1"/>
  <c r="C151" i="3" a="1"/>
  <c r="E153" i="3" a="1"/>
  <c r="E155" i="3" a="1"/>
  <c r="C158" i="3" a="1"/>
  <c r="C160" i="3" a="1"/>
  <c r="D164" i="3" a="1"/>
  <c r="D166" i="3" a="1"/>
  <c r="E168" i="3" a="1"/>
  <c r="E170" i="3" a="1"/>
  <c r="C175" i="3" a="1"/>
  <c r="C177" i="3" a="1"/>
  <c r="D179" i="3" a="1"/>
  <c r="C183" i="3" a="1"/>
  <c r="D188" i="3" a="1"/>
  <c r="E193" i="3" a="1"/>
  <c r="C199" i="3" a="1"/>
  <c r="D204" i="3" a="1"/>
  <c r="E42" i="3" a="1"/>
  <c r="D58" i="3" a="1"/>
  <c r="D75" i="3" a="1"/>
  <c r="C84" i="3" a="1"/>
  <c r="D92" i="3" a="1"/>
  <c r="C101" i="3" a="1"/>
  <c r="C118" i="3" a="1"/>
  <c r="E126" i="3" a="1"/>
  <c r="C135" i="3" a="1"/>
  <c r="D145" i="3" a="1"/>
  <c r="E148" i="3" a="1"/>
  <c r="D151" i="3" a="1"/>
  <c r="C154" i="3" a="1"/>
  <c r="C156" i="3" a="1"/>
  <c r="D160" i="3" a="1"/>
  <c r="D162" i="3" a="1"/>
  <c r="E164" i="3" a="1"/>
  <c r="E166" i="3" a="1"/>
  <c r="C171" i="3" a="1"/>
  <c r="C173" i="3" a="1"/>
  <c r="D175" i="3" a="1"/>
  <c r="D177" i="3" a="1"/>
  <c r="D181" i="3" a="1"/>
  <c r="D183" i="3" a="1"/>
  <c r="C185" i="3" a="1"/>
  <c r="E186" i="3" a="1"/>
  <c r="E188" i="3" a="1"/>
  <c r="D190" i="3" a="1"/>
  <c r="C192" i="3" a="1"/>
  <c r="C194" i="3" a="1"/>
  <c r="E195" i="3" a="1"/>
  <c r="D197" i="3" a="1"/>
  <c r="D199" i="3" a="1"/>
  <c r="C201" i="3" a="1"/>
  <c r="E202" i="3" a="1"/>
  <c r="E204" i="3" a="1"/>
  <c r="D206" i="3" a="1"/>
  <c r="E207" i="3" a="1"/>
  <c r="C209" i="3" a="1"/>
  <c r="D210" i="3" a="1"/>
  <c r="E211" i="3" a="1"/>
  <c r="C213" i="3" a="1"/>
  <c r="D37" i="3" a="1"/>
  <c r="E81" i="3" a="1"/>
  <c r="C116" i="3" a="1"/>
  <c r="E144" i="3" a="1"/>
  <c r="C164" i="3" a="1"/>
  <c r="E172" i="3" a="1"/>
  <c r="C181" i="3" a="1"/>
  <c r="C188" i="3" a="1"/>
  <c r="D195" i="3" a="1"/>
  <c r="D202" i="3" a="1"/>
  <c r="E208" i="3" a="1"/>
  <c r="C214" i="3" a="1"/>
  <c r="D220" i="3" a="1"/>
  <c r="E224" i="3" a="1"/>
  <c r="E226" i="3" a="1"/>
  <c r="C229" i="3" a="1"/>
  <c r="C231" i="3" a="1"/>
  <c r="D235" i="3" a="1"/>
  <c r="D237" i="3" a="1"/>
  <c r="E239" i="3" a="1"/>
  <c r="E241" i="3" a="1"/>
  <c r="C246" i="3" a="1"/>
  <c r="C248" i="3" a="1"/>
  <c r="D250" i="3" a="1"/>
  <c r="D252" i="3" a="1"/>
  <c r="E256" i="3" a="1"/>
  <c r="E258" i="3" a="1"/>
  <c r="C261" i="3" a="1"/>
  <c r="C263" i="3" a="1"/>
  <c r="D267" i="3" a="1"/>
  <c r="D269" i="3" a="1"/>
  <c r="E271" i="3" a="1"/>
  <c r="E273" i="3" a="1"/>
  <c r="E84" i="3" a="1"/>
  <c r="C146" i="3" a="1"/>
  <c r="D156" i="3" a="1"/>
  <c r="D173" i="3" a="1"/>
  <c r="E181" i="3" a="1"/>
  <c r="C203" i="3" a="1"/>
  <c r="D214" i="3" a="1"/>
  <c r="C218" i="3" a="1"/>
  <c r="E220" i="3" a="1"/>
  <c r="E222" i="3" a="1"/>
  <c r="C225" i="3" a="1"/>
  <c r="C227" i="3" a="1"/>
  <c r="D231" i="3" a="1"/>
  <c r="D233" i="3" a="1"/>
  <c r="E235" i="3" a="1"/>
  <c r="E237" i="3" a="1"/>
  <c r="C242" i="3" a="1"/>
  <c r="C244" i="3" a="1"/>
  <c r="D246" i="3" a="1"/>
  <c r="D248" i="3" a="1"/>
  <c r="E252" i="3" a="1"/>
  <c r="E254" i="3" a="1"/>
  <c r="C257" i="3" a="1"/>
  <c r="C259" i="3" a="1"/>
  <c r="D263" i="3" a="1"/>
  <c r="D265" i="3" a="1"/>
  <c r="E267" i="3" a="1"/>
  <c r="E269" i="3" a="1"/>
  <c r="D275" i="3" a="1"/>
  <c r="E276" i="3" a="1"/>
  <c r="C278" i="3" a="1"/>
  <c r="D279" i="3" a="1"/>
  <c r="E280" i="3" a="1"/>
  <c r="C282" i="3" a="1"/>
  <c r="D283" i="3" a="1"/>
  <c r="E284" i="3" a="1"/>
  <c r="C286" i="3" a="1"/>
  <c r="D287" i="3" a="1"/>
  <c r="E288" i="3" a="1"/>
  <c r="C290" i="3" a="1"/>
  <c r="D291" i="3" a="1"/>
  <c r="E292" i="3" a="1"/>
  <c r="C294" i="3" a="1"/>
  <c r="D295" i="3" a="1"/>
  <c r="E296" i="3" a="1"/>
  <c r="D90" i="3" a="1"/>
  <c r="D124" i="3" a="1"/>
  <c r="C148" i="3" a="1"/>
  <c r="E157" i="3" a="1"/>
  <c r="E174" i="3" a="1"/>
  <c r="E182" i="3" a="1"/>
  <c r="C190" i="3" a="1"/>
  <c r="C197" i="3" a="1"/>
  <c r="C204" i="3" a="1"/>
  <c r="C210" i="3" a="1"/>
  <c r="D218" i="3" a="1"/>
  <c r="C221" i="3" a="1"/>
  <c r="C223" i="3" a="1"/>
  <c r="D227" i="3" a="1"/>
  <c r="D229" i="3" a="1"/>
  <c r="E231" i="3" a="1"/>
  <c r="E233" i="3" a="1"/>
  <c r="C238" i="3" a="1"/>
  <c r="C240" i="3" a="1"/>
  <c r="D242" i="3" a="1"/>
  <c r="D244" i="3" a="1"/>
  <c r="E248" i="3" a="1"/>
  <c r="E250" i="3" a="1"/>
  <c r="C253" i="3" a="1"/>
  <c r="C255" i="3" a="1"/>
  <c r="D259" i="3" a="1"/>
  <c r="D261" i="3" a="1"/>
  <c r="E263" i="3" a="1"/>
  <c r="E265" i="3" a="1"/>
  <c r="C270" i="3" a="1"/>
  <c r="C272" i="3" a="1"/>
  <c r="C274" i="3" a="1"/>
  <c r="C59" i="3" a="1"/>
  <c r="D93" i="3" a="1"/>
  <c r="D127" i="3" a="1"/>
  <c r="D158" i="3" a="1"/>
  <c r="C167" i="3" a="1"/>
  <c r="E197" i="3" a="1"/>
  <c r="D215" i="3" a="1"/>
  <c r="D223" i="3" a="1"/>
  <c r="D225" i="3" a="1"/>
  <c r="E227" i="3" a="1"/>
  <c r="E229" i="3" a="1"/>
  <c r="C234" i="3" a="1"/>
  <c r="C236" i="3" a="1"/>
  <c r="D238" i="3" a="1"/>
  <c r="D240" i="3" a="1"/>
  <c r="E244" i="3" a="1"/>
  <c r="E246" i="3" a="1"/>
  <c r="C249" i="3" a="1"/>
  <c r="C251" i="3" a="1"/>
  <c r="D255" i="3" a="1"/>
  <c r="D257" i="3" a="1"/>
  <c r="E259" i="3" a="1"/>
  <c r="E261" i="3" a="1"/>
  <c r="C266" i="3" a="1"/>
  <c r="C268" i="3" a="1"/>
  <c r="D270" i="3" a="1"/>
  <c r="D272" i="3" a="1"/>
  <c r="D274" i="3" a="1"/>
  <c r="E275" i="3" a="1"/>
  <c r="C277" i="3" a="1"/>
  <c r="D278" i="3" a="1"/>
  <c r="E279" i="3" a="1"/>
  <c r="C281" i="3" a="1"/>
  <c r="D282" i="3" a="1"/>
  <c r="E283" i="3" a="1"/>
  <c r="C285" i="3" a="1"/>
  <c r="D286" i="3" a="1"/>
  <c r="E287" i="3" a="1"/>
  <c r="C289" i="3" a="1"/>
  <c r="D290" i="3" a="1"/>
  <c r="E291" i="3" a="1"/>
  <c r="C293" i="3" a="1"/>
  <c r="D294" i="3" a="1"/>
  <c r="E67" i="3" a="1"/>
  <c r="E101" i="3" a="1"/>
  <c r="C136" i="3" a="1"/>
  <c r="E160" i="3" a="1"/>
  <c r="C169" i="3" a="1"/>
  <c r="E177" i="3" a="1"/>
  <c r="D192" i="3" a="1"/>
  <c r="E219" i="3" a="1"/>
  <c r="E221" i="3" a="1"/>
  <c r="C226" i="3" a="1"/>
  <c r="C228" i="3" a="1"/>
  <c r="D230" i="3" a="1"/>
  <c r="D232" i="3" a="1"/>
  <c r="E236" i="3" a="1"/>
  <c r="E238" i="3" a="1"/>
  <c r="C241" i="3" a="1"/>
  <c r="C243" i="3" a="1"/>
  <c r="D247" i="3" a="1"/>
  <c r="D249" i="3" a="1"/>
  <c r="E251" i="3" a="1"/>
  <c r="E253" i="3" a="1"/>
  <c r="C258" i="3" a="1"/>
  <c r="C260" i="3" a="1"/>
  <c r="D262" i="3" a="1"/>
  <c r="D264" i="3" a="1"/>
  <c r="E268" i="3" a="1"/>
  <c r="E270" i="3" a="1"/>
  <c r="C273" i="3" a="1"/>
  <c r="E274" i="3" a="1"/>
  <c r="C276" i="3" a="1"/>
  <c r="D277" i="3" a="1"/>
  <c r="E278" i="3" a="1"/>
  <c r="C280" i="3" a="1"/>
  <c r="D281" i="3" a="1"/>
  <c r="E282" i="3" a="1"/>
  <c r="C284" i="3" a="1"/>
  <c r="D285" i="3" a="1"/>
  <c r="E286" i="3" a="1"/>
  <c r="C288" i="3" a="1"/>
  <c r="D289" i="3" a="1"/>
  <c r="E290" i="3" a="1"/>
  <c r="C292" i="3" a="1"/>
  <c r="D293" i="3" a="1"/>
  <c r="E294" i="3" a="1"/>
  <c r="C296" i="3" a="1"/>
  <c r="D73" i="3" a="1"/>
  <c r="D107" i="3" a="1"/>
  <c r="D153" i="3" a="1"/>
  <c r="C162" i="3" a="1"/>
  <c r="D170" i="3" a="1"/>
  <c r="C179" i="3" a="1"/>
  <c r="D186" i="3" a="1"/>
  <c r="D193" i="3" a="1"/>
  <c r="E200" i="3" a="1"/>
  <c r="D207" i="3" a="1"/>
  <c r="E212" i="3" a="1"/>
  <c r="E216" i="3" a="1"/>
  <c r="C222" i="3" a="1"/>
  <c r="C224" i="3" a="1"/>
  <c r="D226" i="3" a="1"/>
  <c r="D228" i="3" a="1"/>
  <c r="E232" i="3" a="1"/>
  <c r="E234" i="3" a="1"/>
  <c r="C237" i="3" a="1"/>
  <c r="C239" i="3" a="1"/>
  <c r="D243" i="3" a="1"/>
  <c r="D245" i="3" a="1"/>
  <c r="E247" i="3" a="1"/>
  <c r="E249" i="3" a="1"/>
  <c r="C254" i="3" a="1"/>
  <c r="C256" i="3" a="1"/>
  <c r="D258" i="3" a="1"/>
  <c r="D260" i="3" a="1"/>
  <c r="E264" i="3" a="1"/>
  <c r="E266" i="3" a="1"/>
  <c r="C269" i="3" a="1"/>
  <c r="C271" i="3" a="1"/>
  <c r="E64" i="3" a="1"/>
  <c r="E159" i="3" a="1"/>
  <c r="E191" i="3" a="1"/>
  <c r="E215" i="3" a="1"/>
  <c r="E225" i="3" a="1"/>
  <c r="D234" i="3" a="1"/>
  <c r="E242" i="3" a="1"/>
  <c r="D251" i="3" a="1"/>
  <c r="D268" i="3" a="1"/>
  <c r="D296" i="3" a="1"/>
  <c r="E298" i="3" a="1"/>
  <c r="C301" i="3" a="1"/>
  <c r="C303" i="3" a="1"/>
  <c r="D307" i="3" a="1"/>
  <c r="D309" i="3" a="1"/>
  <c r="E311" i="3" a="1"/>
  <c r="E313" i="3" a="1"/>
  <c r="C318" i="3" a="1"/>
  <c r="C320" i="3" a="1"/>
  <c r="D322" i="3" a="1"/>
  <c r="D324" i="3" a="1"/>
  <c r="E328" i="3" a="1"/>
  <c r="E330" i="3" a="1"/>
  <c r="C333" i="3" a="1"/>
  <c r="C335" i="3" a="1"/>
  <c r="D339" i="3" a="1"/>
  <c r="D341" i="3" a="1"/>
  <c r="E343" i="3" a="1"/>
  <c r="E345" i="3" a="1"/>
  <c r="E162" i="3" a="1"/>
  <c r="C217" i="3" a="1"/>
  <c r="C235" i="3" a="1"/>
  <c r="E243" i="3" a="1"/>
  <c r="C252" i="3" a="1"/>
  <c r="E260" i="3" a="1"/>
  <c r="D276" i="3" a="1"/>
  <c r="E281" i="3" a="1"/>
  <c r="C287" i="3" a="1"/>
  <c r="D292" i="3" a="1"/>
  <c r="C297" i="3" a="1"/>
  <c r="C299" i="3" a="1"/>
  <c r="D303" i="3" a="1"/>
  <c r="D305" i="3" a="1"/>
  <c r="E307" i="3" a="1"/>
  <c r="E309" i="3" a="1"/>
  <c r="C314" i="3" a="1"/>
  <c r="C316" i="3" a="1"/>
  <c r="D318" i="3" a="1"/>
  <c r="D320" i="3" a="1"/>
  <c r="E324" i="3" a="1"/>
  <c r="E326" i="3" a="1"/>
  <c r="C329" i="3" a="1"/>
  <c r="C331" i="3" a="1"/>
  <c r="D335" i="3" a="1"/>
  <c r="D337" i="3" a="1"/>
  <c r="E339" i="3" a="1"/>
  <c r="E341" i="3" a="1"/>
  <c r="C346" i="3" a="1"/>
  <c r="C348" i="3" a="1"/>
  <c r="C350" i="3" a="1"/>
  <c r="D351" i="3" a="1"/>
  <c r="E352" i="3" a="1"/>
  <c r="C354" i="3" a="1"/>
  <c r="D355" i="3" a="1"/>
  <c r="E356" i="3" a="1"/>
  <c r="C358" i="3" a="1"/>
  <c r="D359" i="3" a="1"/>
  <c r="E360" i="3" a="1"/>
  <c r="C362" i="3" a="1"/>
  <c r="D363" i="3" a="1"/>
  <c r="E364" i="3" a="1"/>
  <c r="C366" i="3" a="1"/>
  <c r="D367" i="3" a="1"/>
  <c r="E368" i="3" a="1"/>
  <c r="C370" i="3" a="1"/>
  <c r="D371" i="3" a="1"/>
  <c r="E372" i="3" a="1"/>
  <c r="C374" i="3" a="1"/>
  <c r="D375" i="3" a="1"/>
  <c r="E376" i="3" a="1"/>
  <c r="C378" i="3" a="1"/>
  <c r="D379" i="3" a="1"/>
  <c r="E380" i="3" a="1"/>
  <c r="C382" i="3" a="1"/>
  <c r="D383" i="3" a="1"/>
  <c r="E384" i="3" a="1"/>
  <c r="C386" i="3" a="1"/>
  <c r="D387" i="3" a="1"/>
  <c r="E388" i="3" a="1"/>
  <c r="D168" i="3" a="1"/>
  <c r="E198" i="3" a="1"/>
  <c r="D219" i="3" a="1"/>
  <c r="D236" i="3" a="1"/>
  <c r="C245" i="3" a="1"/>
  <c r="D253" i="3" a="1"/>
  <c r="C262" i="3" a="1"/>
  <c r="D299" i="3" a="1"/>
  <c r="D301" i="3" a="1"/>
  <c r="E303" i="3" a="1"/>
  <c r="E305" i="3" a="1"/>
  <c r="C310" i="3" a="1"/>
  <c r="C312" i="3" a="1"/>
  <c r="D314" i="3" a="1"/>
  <c r="D316" i="3" a="1"/>
  <c r="E320" i="3" a="1"/>
  <c r="E322" i="3" a="1"/>
  <c r="C325" i="3" a="1"/>
  <c r="C327" i="3" a="1"/>
  <c r="D331" i="3" a="1"/>
  <c r="D333" i="3" a="1"/>
  <c r="E335" i="3" a="1"/>
  <c r="E337" i="3" a="1"/>
  <c r="C342" i="3" a="1"/>
  <c r="C344" i="3" a="1"/>
  <c r="D346" i="3" a="1"/>
  <c r="D348" i="3" a="1"/>
  <c r="D110" i="3" a="1"/>
  <c r="D171" i="3" a="1"/>
  <c r="C220" i="3" a="1"/>
  <c r="E228" i="3" a="1"/>
  <c r="E245" i="3" a="1"/>
  <c r="D254" i="3" a="1"/>
  <c r="E262" i="3" a="1"/>
  <c r="D271" i="3" a="1"/>
  <c r="E277" i="3" a="1"/>
  <c r="C283" i="3" a="1"/>
  <c r="D288" i="3" a="1"/>
  <c r="E293" i="3" a="1"/>
  <c r="D297" i="3" a="1"/>
  <c r="E299" i="3" a="1"/>
  <c r="E301" i="3" a="1"/>
  <c r="C306" i="3" a="1"/>
  <c r="C308" i="3" a="1"/>
  <c r="D310" i="3" a="1"/>
  <c r="D312" i="3" a="1"/>
  <c r="E316" i="3" a="1"/>
  <c r="E318" i="3" a="1"/>
  <c r="C321" i="3" a="1"/>
  <c r="C323" i="3" a="1"/>
  <c r="D327" i="3" a="1"/>
  <c r="D329" i="3" a="1"/>
  <c r="E331" i="3" a="1"/>
  <c r="E333" i="3" a="1"/>
  <c r="C338" i="3" a="1"/>
  <c r="C340" i="3" a="1"/>
  <c r="D342" i="3" a="1"/>
  <c r="D344" i="3" a="1"/>
  <c r="E348" i="3" a="1"/>
  <c r="D350" i="3" a="1"/>
  <c r="E351" i="3" a="1"/>
  <c r="C353" i="3" a="1"/>
  <c r="D354" i="3" a="1"/>
  <c r="E355" i="3" a="1"/>
  <c r="C357" i="3" a="1"/>
  <c r="D358" i="3" a="1"/>
  <c r="E359" i="3" a="1"/>
  <c r="C361" i="3" a="1"/>
  <c r="D362" i="3" a="1"/>
  <c r="E363" i="3" a="1"/>
  <c r="C365" i="3" a="1"/>
  <c r="D366" i="3" a="1"/>
  <c r="E367" i="3" a="1"/>
  <c r="C369" i="3" a="1"/>
  <c r="D370" i="3" a="1"/>
  <c r="E371" i="3" a="1"/>
  <c r="C373" i="3" a="1"/>
  <c r="D374" i="3" a="1"/>
  <c r="E375" i="3" a="1"/>
  <c r="C377" i="3" a="1"/>
  <c r="D378" i="3" a="1"/>
  <c r="E379" i="3" a="1"/>
  <c r="C381" i="3" a="1"/>
  <c r="D382" i="3" a="1"/>
  <c r="E383" i="3" a="1"/>
  <c r="C385" i="3" a="1"/>
  <c r="D386" i="3" a="1"/>
  <c r="C133" i="3" a="1"/>
  <c r="C206" i="3" a="1"/>
  <c r="D221" i="3" a="1"/>
  <c r="C230" i="3" a="1"/>
  <c r="C247" i="3" a="1"/>
  <c r="E255" i="3" a="1"/>
  <c r="C264" i="3" a="1"/>
  <c r="E272" i="3" a="1"/>
  <c r="E297" i="3" a="1"/>
  <c r="C302" i="3" a="1"/>
  <c r="C304" i="3" a="1"/>
  <c r="D306" i="3" a="1"/>
  <c r="D308" i="3" a="1"/>
  <c r="E312" i="3" a="1"/>
  <c r="E314" i="3" a="1"/>
  <c r="C317" i="3" a="1"/>
  <c r="C319" i="3" a="1"/>
  <c r="D323" i="3" a="1"/>
  <c r="D325" i="3" a="1"/>
  <c r="E327" i="3" a="1"/>
  <c r="E329" i="3" a="1"/>
  <c r="C334" i="3" a="1"/>
  <c r="C336" i="3" a="1"/>
  <c r="D338" i="3" a="1"/>
  <c r="D340" i="3" a="1"/>
  <c r="E344" i="3" a="1"/>
  <c r="E346" i="3" a="1"/>
  <c r="C349" i="3" a="1"/>
  <c r="D141" i="3" a="1"/>
  <c r="E179" i="3" a="1"/>
  <c r="D222" i="3" a="1"/>
  <c r="E230" i="3" a="1"/>
  <c r="D239" i="3" a="1"/>
  <c r="D256" i="3" a="1"/>
  <c r="C265" i="3" a="1"/>
  <c r="D273" i="3" a="1"/>
  <c r="C279" i="3" a="1"/>
  <c r="D284" i="3" a="1"/>
  <c r="E289" i="3" a="1"/>
  <c r="C295" i="3" a="1"/>
  <c r="C298" i="3" a="1"/>
  <c r="C300" i="3" a="1"/>
  <c r="D302" i="3" a="1"/>
  <c r="D304" i="3" a="1"/>
  <c r="E308" i="3" a="1"/>
  <c r="E310" i="3" a="1"/>
  <c r="C313" i="3" a="1"/>
  <c r="C315" i="3" a="1"/>
  <c r="D319" i="3" a="1"/>
  <c r="D321" i="3" a="1"/>
  <c r="E323" i="3" a="1"/>
  <c r="E325" i="3" a="1"/>
  <c r="C330" i="3" a="1"/>
  <c r="C332" i="3" a="1"/>
  <c r="D334" i="3" a="1"/>
  <c r="D336" i="3" a="1"/>
  <c r="E340" i="3" a="1"/>
  <c r="E342" i="3" a="1"/>
  <c r="C345" i="3" a="1"/>
  <c r="C347" i="3" a="1"/>
  <c r="E350" i="3" a="1"/>
  <c r="C352" i="3" a="1"/>
  <c r="D353" i="3" a="1"/>
  <c r="E354" i="3" a="1"/>
  <c r="C356" i="3" a="1"/>
  <c r="D357" i="3" a="1"/>
  <c r="E358" i="3" a="1"/>
  <c r="C360" i="3" a="1"/>
  <c r="D361" i="3" a="1"/>
  <c r="E362" i="3" a="1"/>
  <c r="C364" i="3" a="1"/>
  <c r="D365" i="3" a="1"/>
  <c r="E366" i="3" a="1"/>
  <c r="C368" i="3" a="1"/>
  <c r="D369" i="3" a="1"/>
  <c r="E370" i="3" a="1"/>
  <c r="C372" i="3" a="1"/>
  <c r="D373" i="3" a="1"/>
  <c r="E374" i="3" a="1"/>
  <c r="C376" i="3" a="1"/>
  <c r="D377" i="3" a="1"/>
  <c r="E378" i="3" a="1"/>
  <c r="C380" i="3" a="1"/>
  <c r="D381" i="3" a="1"/>
  <c r="E382" i="3" a="1"/>
  <c r="C384" i="3" a="1"/>
  <c r="D385" i="3" a="1"/>
  <c r="E386" i="3" a="1"/>
  <c r="C388" i="3" a="1"/>
  <c r="E150" i="3" a="1"/>
  <c r="E184" i="3" a="1"/>
  <c r="D211" i="3" a="1"/>
  <c r="E223" i="3" a="1"/>
  <c r="C232" i="3" a="1"/>
  <c r="E240" i="3" a="1"/>
  <c r="E257" i="3" a="1"/>
  <c r="D266" i="3" a="1"/>
  <c r="E295" i="3" a="1"/>
  <c r="D298" i="3" a="1"/>
  <c r="D300" i="3" a="1"/>
  <c r="E304" i="3" a="1"/>
  <c r="E306" i="3" a="1"/>
  <c r="C309" i="3" a="1"/>
  <c r="C311" i="3" a="1"/>
  <c r="D315" i="3" a="1"/>
  <c r="D317" i="3" a="1"/>
  <c r="E319" i="3" a="1"/>
  <c r="E321" i="3" a="1"/>
  <c r="C326" i="3" a="1"/>
  <c r="C328" i="3" a="1"/>
  <c r="D330" i="3" a="1"/>
  <c r="D332" i="3" a="1"/>
  <c r="E336" i="3" a="1"/>
  <c r="E338" i="3" a="1"/>
  <c r="C341" i="3" a="1"/>
  <c r="C343" i="3" a="1"/>
  <c r="D347" i="3" a="1"/>
  <c r="D349" i="3" a="1"/>
  <c r="C267" i="3" a="1"/>
  <c r="E302" i="3" a="1"/>
  <c r="C337" i="3" a="1"/>
  <c r="D352" i="3" a="1"/>
  <c r="C363" i="3" a="1"/>
  <c r="E373" i="3" a="1"/>
  <c r="D384" i="3" a="1"/>
  <c r="C390" i="3" a="1"/>
  <c r="E392" i="3" a="1"/>
  <c r="D395" i="3" a="1"/>
  <c r="C398" i="3" a="1"/>
  <c r="E400" i="3" a="1"/>
  <c r="D403" i="3" a="1"/>
  <c r="C406" i="3" a="1"/>
  <c r="E408" i="3" a="1"/>
  <c r="D411" i="3" a="1"/>
  <c r="C414" i="3" a="1"/>
  <c r="E416" i="3" a="1"/>
  <c r="D419" i="3" a="1"/>
  <c r="C422" i="3" a="1"/>
  <c r="C187" i="3" a="1"/>
  <c r="C275" i="3" a="1"/>
  <c r="C305" i="3" a="1"/>
  <c r="C322" i="3" a="1"/>
  <c r="C339" i="3" a="1"/>
  <c r="E353" i="3" a="1"/>
  <c r="D364" i="3" a="1"/>
  <c r="C375" i="3" a="1"/>
  <c r="E385" i="3" a="1"/>
  <c r="D390" i="3" a="1"/>
  <c r="C393" i="3" a="1"/>
  <c r="E395" i="3" a="1"/>
  <c r="D398" i="3" a="1"/>
  <c r="C401" i="3" a="1"/>
  <c r="E403" i="3" a="1"/>
  <c r="D406" i="3" a="1"/>
  <c r="C409" i="3" a="1"/>
  <c r="E411" i="3" a="1"/>
  <c r="D414" i="3" a="1"/>
  <c r="C417" i="3" a="1"/>
  <c r="E419" i="3" a="1"/>
  <c r="D422" i="3" a="1"/>
  <c r="D424" i="3" a="1"/>
  <c r="E425" i="3" a="1"/>
  <c r="C427" i="3" a="1"/>
  <c r="D428" i="3" a="1"/>
  <c r="E429" i="3" a="1"/>
  <c r="C431" i="3" a="1"/>
  <c r="D432" i="3" a="1"/>
  <c r="E433" i="3" a="1"/>
  <c r="C435" i="3" a="1"/>
  <c r="D436" i="3" a="1"/>
  <c r="E437" i="3" a="1"/>
  <c r="C439" i="3" a="1"/>
  <c r="D440" i="3" a="1"/>
  <c r="E441" i="3" a="1"/>
  <c r="C443" i="3" a="1"/>
  <c r="D444" i="3" a="1"/>
  <c r="E445" i="3" a="1"/>
  <c r="C447" i="3" a="1"/>
  <c r="D448" i="3" a="1"/>
  <c r="E449" i="3" a="1"/>
  <c r="C451" i="3" a="1"/>
  <c r="D452" i="3" a="1"/>
  <c r="E453" i="3" a="1"/>
  <c r="C455" i="3" a="1"/>
  <c r="D456" i="3" a="1"/>
  <c r="E457" i="3" a="1"/>
  <c r="C459" i="3" a="1"/>
  <c r="D460" i="3" a="1"/>
  <c r="E461" i="3" a="1"/>
  <c r="C463" i="3" a="1"/>
  <c r="D464" i="3" a="1"/>
  <c r="E465" i="3" a="1"/>
  <c r="C467" i="3" a="1"/>
  <c r="D468" i="3" a="1"/>
  <c r="D280" i="3" a="1"/>
  <c r="C307" i="3" a="1"/>
  <c r="C324" i="3" a="1"/>
  <c r="C355" i="3" a="1"/>
  <c r="E365" i="3" a="1"/>
  <c r="D376" i="3" a="1"/>
  <c r="C387" i="3" a="1"/>
  <c r="E390" i="3" a="1"/>
  <c r="D393" i="3" a="1"/>
  <c r="C396" i="3" a="1"/>
  <c r="E398" i="3" a="1"/>
  <c r="D401" i="3" a="1"/>
  <c r="C404" i="3" a="1"/>
  <c r="E406" i="3" a="1"/>
  <c r="D409" i="3" a="1"/>
  <c r="C412" i="3" a="1"/>
  <c r="E414" i="3" a="1"/>
  <c r="D417" i="3" a="1"/>
  <c r="C420" i="3" a="1"/>
  <c r="E422" i="3" a="1"/>
  <c r="D224" i="3" a="1"/>
  <c r="E285" i="3" a="1"/>
  <c r="D326" i="3" a="1"/>
  <c r="D343" i="3" a="1"/>
  <c r="D356" i="3" a="1"/>
  <c r="C367" i="3" a="1"/>
  <c r="E377" i="3" a="1"/>
  <c r="E387" i="3" a="1"/>
  <c r="C391" i="3" a="1"/>
  <c r="E393" i="3" a="1"/>
  <c r="D396" i="3" a="1"/>
  <c r="C399" i="3" a="1"/>
  <c r="E401" i="3" a="1"/>
  <c r="D404" i="3" a="1"/>
  <c r="C407" i="3" a="1"/>
  <c r="E409" i="3" a="1"/>
  <c r="D412" i="3" a="1"/>
  <c r="C415" i="3" a="1"/>
  <c r="E417" i="3" a="1"/>
  <c r="D420" i="3" a="1"/>
  <c r="C423" i="3" a="1"/>
  <c r="E424" i="3" a="1"/>
  <c r="C426" i="3" a="1"/>
  <c r="D427" i="3" a="1"/>
  <c r="E428" i="3" a="1"/>
  <c r="C430" i="3" a="1"/>
  <c r="D431" i="3" a="1"/>
  <c r="E432" i="3" a="1"/>
  <c r="C434" i="3" a="1"/>
  <c r="D435" i="3" a="1"/>
  <c r="E436" i="3" a="1"/>
  <c r="C438" i="3" a="1"/>
  <c r="D439" i="3" a="1"/>
  <c r="E440" i="3" a="1"/>
  <c r="C442" i="3" a="1"/>
  <c r="D443" i="3" a="1"/>
  <c r="E444" i="3" a="1"/>
  <c r="C446" i="3" a="1"/>
  <c r="D447" i="3" a="1"/>
  <c r="E448" i="3" a="1"/>
  <c r="C450" i="3" a="1"/>
  <c r="D451" i="3" a="1"/>
  <c r="E452" i="3" a="1"/>
  <c r="C454" i="3" a="1"/>
  <c r="D455" i="3" a="1"/>
  <c r="E456" i="3" a="1"/>
  <c r="C458" i="3" a="1"/>
  <c r="D459" i="3" a="1"/>
  <c r="E460" i="3" a="1"/>
  <c r="C462" i="3" a="1"/>
  <c r="D463" i="3" a="1"/>
  <c r="E464" i="3" a="1"/>
  <c r="C233" i="3" a="1"/>
  <c r="C291" i="3" a="1"/>
  <c r="D311" i="3" a="1"/>
  <c r="D328" i="3" a="1"/>
  <c r="D345" i="3" a="1"/>
  <c r="E357" i="3" a="1"/>
  <c r="D368" i="3" a="1"/>
  <c r="C379" i="3" a="1"/>
  <c r="D388" i="3" a="1"/>
  <c r="D391" i="3" a="1"/>
  <c r="C394" i="3" a="1"/>
  <c r="E396" i="3" a="1"/>
  <c r="D399" i="3" a="1"/>
  <c r="C402" i="3" a="1"/>
  <c r="E404" i="3" a="1"/>
  <c r="D407" i="3" a="1"/>
  <c r="C410" i="3" a="1"/>
  <c r="E412" i="3" a="1"/>
  <c r="D415" i="3" a="1"/>
  <c r="C418" i="3" a="1"/>
  <c r="E420" i="3" a="1"/>
  <c r="D423" i="3" a="1"/>
  <c r="D241" i="3" a="1"/>
  <c r="D313" i="3" a="1"/>
  <c r="E347" i="3" a="1"/>
  <c r="C359" i="3" a="1"/>
  <c r="E369" i="3" a="1"/>
  <c r="D380" i="3" a="1"/>
  <c r="C389" i="3" a="1"/>
  <c r="E391" i="3" a="1"/>
  <c r="D394" i="3" a="1"/>
  <c r="C397" i="3" a="1"/>
  <c r="E399" i="3" a="1"/>
  <c r="D402" i="3" a="1"/>
  <c r="C405" i="3" a="1"/>
  <c r="E407" i="3" a="1"/>
  <c r="D410" i="3" a="1"/>
  <c r="C413" i="3" a="1"/>
  <c r="E415" i="3" a="1"/>
  <c r="D418" i="3" a="1"/>
  <c r="C421" i="3" a="1"/>
  <c r="E423" i="3" a="1"/>
  <c r="C425" i="3" a="1"/>
  <c r="D426" i="3" a="1"/>
  <c r="E427" i="3" a="1"/>
  <c r="C429" i="3" a="1"/>
  <c r="D430" i="3" a="1"/>
  <c r="E431" i="3" a="1"/>
  <c r="C433" i="3" a="1"/>
  <c r="D434" i="3" a="1"/>
  <c r="E435" i="3" a="1"/>
  <c r="C437" i="3" a="1"/>
  <c r="D438" i="3" a="1"/>
  <c r="E439" i="3" a="1"/>
  <c r="C441" i="3" a="1"/>
  <c r="D442" i="3" a="1"/>
  <c r="E443" i="3" a="1"/>
  <c r="C445" i="3" a="1"/>
  <c r="D446" i="3" a="1"/>
  <c r="E447" i="3" a="1"/>
  <c r="C449" i="3" a="1"/>
  <c r="D450" i="3" a="1"/>
  <c r="E451" i="3" a="1"/>
  <c r="C453" i="3" a="1"/>
  <c r="D454" i="3" a="1"/>
  <c r="E455" i="3" a="1"/>
  <c r="C457" i="3" a="1"/>
  <c r="D458" i="3" a="1"/>
  <c r="E459" i="3" a="1"/>
  <c r="C461" i="3" a="1"/>
  <c r="D462" i="3" a="1"/>
  <c r="E463" i="3" a="1"/>
  <c r="C465" i="3" a="1"/>
  <c r="D466" i="3" a="1"/>
  <c r="C250" i="3" a="1"/>
  <c r="E315" i="3" a="1"/>
  <c r="E332" i="3" a="1"/>
  <c r="E349" i="3" a="1"/>
  <c r="D360" i="3" a="1"/>
  <c r="C371" i="3" a="1"/>
  <c r="E381" i="3" a="1"/>
  <c r="D389" i="3" a="1"/>
  <c r="C392" i="3" a="1"/>
  <c r="E394" i="3" a="1"/>
  <c r="D397" i="3" a="1"/>
  <c r="C400" i="3" a="1"/>
  <c r="E402" i="3" a="1"/>
  <c r="D405" i="3" a="1"/>
  <c r="C408" i="3" a="1"/>
  <c r="E410" i="3" a="1"/>
  <c r="D413" i="3" a="1"/>
  <c r="C416" i="3" a="1"/>
  <c r="E418" i="3" a="1"/>
  <c r="D421" i="3" a="1"/>
  <c r="E389" i="3" a="1"/>
  <c r="C411" i="3" a="1"/>
  <c r="C428" i="3" a="1"/>
  <c r="E438" i="3" a="1"/>
  <c r="D449" i="3" a="1"/>
  <c r="C460" i="3" a="1"/>
  <c r="E467" i="3" a="1"/>
  <c r="E470" i="3" a="1"/>
  <c r="D473" i="3" a="1"/>
  <c r="C476" i="3" a="1"/>
  <c r="E478" i="3" a="1"/>
  <c r="D481" i="3" a="1"/>
  <c r="C484" i="3" a="1"/>
  <c r="E486" i="3" a="1"/>
  <c r="D489" i="3" a="1"/>
  <c r="C492" i="3" a="1"/>
  <c r="E494" i="3" a="1"/>
  <c r="D497" i="3" a="1"/>
  <c r="C500" i="3" a="1"/>
  <c r="E502" i="3" a="1"/>
  <c r="D505" i="3" a="1"/>
  <c r="C508" i="3" a="1"/>
  <c r="E510" i="3" a="1"/>
  <c r="D513" i="3" a="1"/>
  <c r="C516" i="3" a="1"/>
  <c r="E300" i="3" a="1"/>
  <c r="D392" i="3" a="1"/>
  <c r="E413" i="3" a="1"/>
  <c r="D429" i="3" a="1"/>
  <c r="C440" i="3" a="1"/>
  <c r="E450" i="3" a="1"/>
  <c r="D461" i="3" a="1"/>
  <c r="C468" i="3" a="1"/>
  <c r="C471" i="3" a="1"/>
  <c r="E473" i="3" a="1"/>
  <c r="D476" i="3" a="1"/>
  <c r="C479" i="3" a="1"/>
  <c r="E481" i="3" a="1"/>
  <c r="D484" i="3" a="1"/>
  <c r="C487" i="3" a="1"/>
  <c r="E489" i="3" a="1"/>
  <c r="D492" i="3" a="1"/>
  <c r="C495" i="3" a="1"/>
  <c r="E497" i="3" a="1"/>
  <c r="D500" i="3" a="1"/>
  <c r="C503" i="3" a="1"/>
  <c r="E505" i="3" a="1"/>
  <c r="D508" i="3" a="1"/>
  <c r="C511" i="3" a="1"/>
  <c r="E513" i="3" a="1"/>
  <c r="D516" i="3" a="1"/>
  <c r="E518" i="3" a="1"/>
  <c r="C520" i="3" a="1"/>
  <c r="D521" i="3" a="1"/>
  <c r="E522" i="3" a="1"/>
  <c r="C524" i="3" a="1"/>
  <c r="D525" i="3" a="1"/>
  <c r="E526" i="3" a="1"/>
  <c r="C528" i="3" a="1"/>
  <c r="D529" i="3" a="1"/>
  <c r="E530" i="3" a="1"/>
  <c r="C532" i="3" a="1"/>
  <c r="D533" i="3" a="1"/>
  <c r="E534" i="3" a="1"/>
  <c r="C536" i="3" a="1"/>
  <c r="D537" i="3" a="1"/>
  <c r="E538" i="3" a="1"/>
  <c r="C540" i="3" a="1"/>
  <c r="D541" i="3" a="1"/>
  <c r="E542" i="3" a="1"/>
  <c r="C544" i="3" a="1"/>
  <c r="D545" i="3" a="1"/>
  <c r="E546" i="3" a="1"/>
  <c r="C548" i="3" a="1"/>
  <c r="D549" i="3" a="1"/>
  <c r="E550" i="3" a="1"/>
  <c r="C552" i="3" a="1"/>
  <c r="D553" i="3" a="1"/>
  <c r="E554" i="3" a="1"/>
  <c r="C556" i="3" a="1"/>
  <c r="D557" i="3" a="1"/>
  <c r="E558" i="3" a="1"/>
  <c r="C560" i="3" a="1"/>
  <c r="D561" i="3" a="1"/>
  <c r="E562" i="3" a="1"/>
  <c r="C564" i="3" a="1"/>
  <c r="D565" i="3" a="1"/>
  <c r="E566" i="3" a="1"/>
  <c r="C568" i="3" a="1"/>
  <c r="D569" i="3" a="1"/>
  <c r="E570" i="3" a="1"/>
  <c r="C572" i="3" a="1"/>
  <c r="D573" i="3" a="1"/>
  <c r="E574" i="3" a="1"/>
  <c r="C576" i="3" a="1"/>
  <c r="E317" i="3" a="1"/>
  <c r="C395" i="3" a="1"/>
  <c r="D416" i="3" a="1"/>
  <c r="E430" i="3" a="1"/>
  <c r="D441" i="3" a="1"/>
  <c r="C452" i="3" a="1"/>
  <c r="E462" i="3" a="1"/>
  <c r="E468" i="3" a="1"/>
  <c r="D471" i="3" a="1"/>
  <c r="C474" i="3" a="1"/>
  <c r="E476" i="3" a="1"/>
  <c r="D479" i="3" a="1"/>
  <c r="C482" i="3" a="1"/>
  <c r="E484" i="3" a="1"/>
  <c r="D487" i="3" a="1"/>
  <c r="C490" i="3" a="1"/>
  <c r="E492" i="3" a="1"/>
  <c r="D495" i="3" a="1"/>
  <c r="C498" i="3" a="1"/>
  <c r="E500" i="3" a="1"/>
  <c r="D503" i="3" a="1"/>
  <c r="C506" i="3" a="1"/>
  <c r="E508" i="3" a="1"/>
  <c r="D511" i="3" a="1"/>
  <c r="C514" i="3" a="1"/>
  <c r="E516" i="3" a="1"/>
  <c r="E334" i="3" a="1"/>
  <c r="E397" i="3" a="1"/>
  <c r="C419" i="3" a="1"/>
  <c r="C432" i="3" a="1"/>
  <c r="E442" i="3" a="1"/>
  <c r="D453" i="3" a="1"/>
  <c r="C464" i="3" a="1"/>
  <c r="C469" i="3" a="1"/>
  <c r="E471" i="3" a="1"/>
  <c r="D474" i="3" a="1"/>
  <c r="C477" i="3" a="1"/>
  <c r="E479" i="3" a="1"/>
  <c r="D482" i="3" a="1"/>
  <c r="C485" i="3" a="1"/>
  <c r="E487" i="3" a="1"/>
  <c r="D490" i="3" a="1"/>
  <c r="C493" i="3" a="1"/>
  <c r="E495" i="3" a="1"/>
  <c r="D498" i="3" a="1"/>
  <c r="C501" i="3" a="1"/>
  <c r="E503" i="3" a="1"/>
  <c r="D506" i="3" a="1"/>
  <c r="C509" i="3" a="1"/>
  <c r="E511" i="3" a="1"/>
  <c r="D514" i="3" a="1"/>
  <c r="C517" i="3" a="1"/>
  <c r="C519" i="3" a="1"/>
  <c r="D520" i="3" a="1"/>
  <c r="E521" i="3" a="1"/>
  <c r="C523" i="3" a="1"/>
  <c r="D524" i="3" a="1"/>
  <c r="E525" i="3" a="1"/>
  <c r="C527" i="3" a="1"/>
  <c r="D528" i="3" a="1"/>
  <c r="E529" i="3" a="1"/>
  <c r="C531" i="3" a="1"/>
  <c r="D532" i="3" a="1"/>
  <c r="E533" i="3" a="1"/>
  <c r="C535" i="3" a="1"/>
  <c r="D536" i="3" a="1"/>
  <c r="E537" i="3" a="1"/>
  <c r="C539" i="3" a="1"/>
  <c r="D540" i="3" a="1"/>
  <c r="E541" i="3" a="1"/>
  <c r="C543" i="3" a="1"/>
  <c r="D544" i="3" a="1"/>
  <c r="E545" i="3" a="1"/>
  <c r="C547" i="3" a="1"/>
  <c r="D548" i="3" a="1"/>
  <c r="E549" i="3" a="1"/>
  <c r="C551" i="3" a="1"/>
  <c r="D552" i="3" a="1"/>
  <c r="E553" i="3" a="1"/>
  <c r="C555" i="3" a="1"/>
  <c r="D556" i="3" a="1"/>
  <c r="E557" i="3" a="1"/>
  <c r="C559" i="3" a="1"/>
  <c r="D560" i="3" a="1"/>
  <c r="E561" i="3" a="1"/>
  <c r="C563" i="3" a="1"/>
  <c r="D564" i="3" a="1"/>
  <c r="E565" i="3" a="1"/>
  <c r="C567" i="3" a="1"/>
  <c r="D568" i="3" a="1"/>
  <c r="E569" i="3" a="1"/>
  <c r="C571" i="3" a="1"/>
  <c r="D572" i="3" a="1"/>
  <c r="C351" i="3" a="1"/>
  <c r="D400" i="3" a="1"/>
  <c r="E421" i="3" a="1"/>
  <c r="D433" i="3" a="1"/>
  <c r="C444" i="3" a="1"/>
  <c r="E454" i="3" a="1"/>
  <c r="D465" i="3" a="1"/>
  <c r="D469" i="3" a="1"/>
  <c r="C472" i="3" a="1"/>
  <c r="E474" i="3" a="1"/>
  <c r="D477" i="3" a="1"/>
  <c r="C480" i="3" a="1"/>
  <c r="E482" i="3" a="1"/>
  <c r="D485" i="3" a="1"/>
  <c r="C488" i="3" a="1"/>
  <c r="E490" i="3" a="1"/>
  <c r="D493" i="3" a="1"/>
  <c r="C496" i="3" a="1"/>
  <c r="E498" i="3" a="1"/>
  <c r="D501" i="3" a="1"/>
  <c r="C504" i="3" a="1"/>
  <c r="E506" i="3" a="1"/>
  <c r="D509" i="3" a="1"/>
  <c r="C512" i="3" a="1"/>
  <c r="E514" i="3" a="1"/>
  <c r="D517" i="3" a="1"/>
  <c r="E361" i="3" a="1"/>
  <c r="C403" i="3" a="1"/>
  <c r="C424" i="3" a="1"/>
  <c r="E434" i="3" a="1"/>
  <c r="D445" i="3" a="1"/>
  <c r="C456" i="3" a="1"/>
  <c r="C466" i="3" a="1"/>
  <c r="E469" i="3" a="1"/>
  <c r="D472" i="3" a="1"/>
  <c r="C475" i="3" a="1"/>
  <c r="E477" i="3" a="1"/>
  <c r="D480" i="3" a="1"/>
  <c r="C483" i="3" a="1"/>
  <c r="E485" i="3" a="1"/>
  <c r="D488" i="3" a="1"/>
  <c r="C491" i="3" a="1"/>
  <c r="E493" i="3" a="1"/>
  <c r="D496" i="3" a="1"/>
  <c r="C499" i="3" a="1"/>
  <c r="E501" i="3" a="1"/>
  <c r="D504" i="3" a="1"/>
  <c r="C507" i="3" a="1"/>
  <c r="E509" i="3" a="1"/>
  <c r="D512" i="3" a="1"/>
  <c r="C515" i="3" a="1"/>
  <c r="E517" i="3" a="1"/>
  <c r="D519" i="3" a="1"/>
  <c r="E520" i="3" a="1"/>
  <c r="C522" i="3" a="1"/>
  <c r="D523" i="3" a="1"/>
  <c r="E524" i="3" a="1"/>
  <c r="C526" i="3" a="1"/>
  <c r="D527" i="3" a="1"/>
  <c r="E528" i="3" a="1"/>
  <c r="C530" i="3" a="1"/>
  <c r="D531" i="3" a="1"/>
  <c r="E532" i="3" a="1"/>
  <c r="C534" i="3" a="1"/>
  <c r="D535" i="3" a="1"/>
  <c r="E536" i="3" a="1"/>
  <c r="C538" i="3" a="1"/>
  <c r="D539" i="3" a="1"/>
  <c r="E540" i="3" a="1"/>
  <c r="C542" i="3" a="1"/>
  <c r="D543" i="3" a="1"/>
  <c r="E544" i="3" a="1"/>
  <c r="C546" i="3" a="1"/>
  <c r="D547" i="3" a="1"/>
  <c r="E548" i="3" a="1"/>
  <c r="C550" i="3" a="1"/>
  <c r="D551" i="3" a="1"/>
  <c r="E552" i="3" a="1"/>
  <c r="C554" i="3" a="1"/>
  <c r="D555" i="3" a="1"/>
  <c r="E556" i="3" a="1"/>
  <c r="C558" i="3" a="1"/>
  <c r="D559" i="3" a="1"/>
  <c r="E560" i="3" a="1"/>
  <c r="C562" i="3" a="1"/>
  <c r="D563" i="3" a="1"/>
  <c r="E564" i="3" a="1"/>
  <c r="C566" i="3" a="1"/>
  <c r="D567" i="3" a="1"/>
  <c r="E568" i="3" a="1"/>
  <c r="C570" i="3" a="1"/>
  <c r="D571" i="3" a="1"/>
  <c r="E572" i="3" a="1"/>
  <c r="C574" i="3" a="1"/>
  <c r="D575" i="3" a="1"/>
  <c r="D372" i="3" a="1"/>
  <c r="E405" i="3" a="1"/>
  <c r="D425" i="3" a="1"/>
  <c r="C436" i="3" a="1"/>
  <c r="E446" i="3" a="1"/>
  <c r="D457" i="3" a="1"/>
  <c r="E466" i="3" a="1"/>
  <c r="C470" i="3" a="1"/>
  <c r="E472" i="3" a="1"/>
  <c r="D475" i="3" a="1"/>
  <c r="C478" i="3" a="1"/>
  <c r="E480" i="3" a="1"/>
  <c r="D483" i="3" a="1"/>
  <c r="C486" i="3" a="1"/>
  <c r="E488" i="3" a="1"/>
  <c r="D491" i="3" a="1"/>
  <c r="C494" i="3" a="1"/>
  <c r="E496" i="3" a="1"/>
  <c r="D499" i="3" a="1"/>
  <c r="C502" i="3" a="1"/>
  <c r="E504" i="3" a="1"/>
  <c r="D507" i="3" a="1"/>
  <c r="C510" i="3" a="1"/>
  <c r="E512" i="3" a="1"/>
  <c r="D515" i="3" a="1"/>
  <c r="C518" i="3" a="1"/>
  <c r="C383" i="3" a="1"/>
  <c r="C473" i="3" a="1"/>
  <c r="D494" i="3" a="1"/>
  <c r="E515" i="3" a="1"/>
  <c r="E527" i="3" a="1"/>
  <c r="D538" i="3" a="1"/>
  <c r="C549" i="3" a="1"/>
  <c r="E559" i="3" a="1"/>
  <c r="D570" i="3" a="1"/>
  <c r="E576" i="3" a="1"/>
  <c r="D579" i="3" a="1"/>
  <c r="C582" i="3" a="1"/>
  <c r="E584" i="3" a="1"/>
  <c r="D587" i="3" a="1"/>
  <c r="C590" i="3" a="1"/>
  <c r="E592" i="3" a="1"/>
  <c r="D595" i="3" a="1"/>
  <c r="C598" i="3" a="1"/>
  <c r="E600" i="3" a="1"/>
  <c r="D603" i="3" a="1"/>
  <c r="C606" i="3" a="1"/>
  <c r="E608" i="3" a="1"/>
  <c r="D611" i="3" a="1"/>
  <c r="C614" i="3" a="1"/>
  <c r="E616" i="3" a="1"/>
  <c r="D619" i="3" a="1"/>
  <c r="C622" i="3" a="1"/>
  <c r="E624" i="3" a="1"/>
  <c r="D627" i="3" a="1"/>
  <c r="C630" i="3" a="1"/>
  <c r="E632" i="3" a="1"/>
  <c r="D635" i="3" a="1"/>
  <c r="C638" i="3" a="1"/>
  <c r="E640" i="3" a="1"/>
  <c r="D643" i="3" a="1"/>
  <c r="C646" i="3" a="1"/>
  <c r="E648" i="3" a="1"/>
  <c r="D651" i="3" a="1"/>
  <c r="C654" i="3" a="1"/>
  <c r="E656" i="3" a="1"/>
  <c r="D659" i="3" a="1"/>
  <c r="C662" i="3" a="1"/>
  <c r="E664" i="3" a="1"/>
  <c r="D667" i="3" a="1"/>
  <c r="C670" i="3" a="1"/>
  <c r="E672" i="3" a="1"/>
  <c r="D675" i="3" a="1"/>
  <c r="C678" i="3" a="1"/>
  <c r="E680" i="3" a="1"/>
  <c r="D683" i="3" a="1"/>
  <c r="C686" i="3" a="1"/>
  <c r="E688" i="3" a="1"/>
  <c r="D691" i="3" a="1"/>
  <c r="C694" i="3" a="1"/>
  <c r="E696" i="3" a="1"/>
  <c r="D699" i="3" a="1"/>
  <c r="C702" i="3" a="1"/>
  <c r="E704" i="3" a="1"/>
  <c r="D707" i="3" a="1"/>
  <c r="C710" i="3" a="1"/>
  <c r="E712" i="3" a="1"/>
  <c r="D715" i="3" a="1"/>
  <c r="C718" i="3" a="1"/>
  <c r="E720" i="3" a="1"/>
  <c r="D558" i="3" a="1"/>
  <c r="C579" i="3" a="1"/>
  <c r="C595" i="3" a="1"/>
  <c r="C611" i="3" a="1"/>
  <c r="C627" i="3" a="1"/>
  <c r="C643" i="3" a="1"/>
  <c r="C659" i="3" a="1"/>
  <c r="C675" i="3" a="1"/>
  <c r="C691" i="3" a="1"/>
  <c r="E709" i="3" a="1"/>
  <c r="E726" i="3" a="1"/>
  <c r="C736" i="3" a="1"/>
  <c r="D745" i="3" a="1"/>
  <c r="C756" i="3" a="1"/>
  <c r="D408" i="3" a="1"/>
  <c r="E475" i="3" a="1"/>
  <c r="C497" i="3" a="1"/>
  <c r="D518" i="3" a="1"/>
  <c r="C529" i="3" a="1"/>
  <c r="E539" i="3" a="1"/>
  <c r="D550" i="3" a="1"/>
  <c r="C561" i="3" a="1"/>
  <c r="E571" i="3" a="1"/>
  <c r="C577" i="3" a="1"/>
  <c r="E579" i="3" a="1"/>
  <c r="D582" i="3" a="1"/>
  <c r="C585" i="3" a="1"/>
  <c r="E587" i="3" a="1"/>
  <c r="D590" i="3" a="1"/>
  <c r="C593" i="3" a="1"/>
  <c r="E595" i="3" a="1"/>
  <c r="D598" i="3" a="1"/>
  <c r="C601" i="3" a="1"/>
  <c r="E603" i="3" a="1"/>
  <c r="D606" i="3" a="1"/>
  <c r="C609" i="3" a="1"/>
  <c r="E611" i="3" a="1"/>
  <c r="D614" i="3" a="1"/>
  <c r="C617" i="3" a="1"/>
  <c r="E619" i="3" a="1"/>
  <c r="D622" i="3" a="1"/>
  <c r="C625" i="3" a="1"/>
  <c r="E627" i="3" a="1"/>
  <c r="D630" i="3" a="1"/>
  <c r="C633" i="3" a="1"/>
  <c r="E635" i="3" a="1"/>
  <c r="D638" i="3" a="1"/>
  <c r="C641" i="3" a="1"/>
  <c r="E643" i="3" a="1"/>
  <c r="D646" i="3" a="1"/>
  <c r="C649" i="3" a="1"/>
  <c r="E651" i="3" a="1"/>
  <c r="D654" i="3" a="1"/>
  <c r="C657" i="3" a="1"/>
  <c r="E659" i="3" a="1"/>
  <c r="D662" i="3" a="1"/>
  <c r="C665" i="3" a="1"/>
  <c r="E667" i="3" a="1"/>
  <c r="D670" i="3" a="1"/>
  <c r="C673" i="3" a="1"/>
  <c r="E675" i="3" a="1"/>
  <c r="D678" i="3" a="1"/>
  <c r="C681" i="3" a="1"/>
  <c r="E683" i="3" a="1"/>
  <c r="D686" i="3" a="1"/>
  <c r="C689" i="3" a="1"/>
  <c r="E691" i="3" a="1"/>
  <c r="D694" i="3" a="1"/>
  <c r="C697" i="3" a="1"/>
  <c r="E699" i="3" a="1"/>
  <c r="D702" i="3" a="1"/>
  <c r="C705" i="3" a="1"/>
  <c r="E707" i="3" a="1"/>
  <c r="D710" i="3" a="1"/>
  <c r="C713" i="3" a="1"/>
  <c r="E715" i="3" a="1"/>
  <c r="D718" i="3" a="1"/>
  <c r="C721" i="3" a="1"/>
  <c r="C723" i="3" a="1"/>
  <c r="D724" i="3" a="1"/>
  <c r="E725" i="3" a="1"/>
  <c r="C727" i="3" a="1"/>
  <c r="D728" i="3" a="1"/>
  <c r="E729" i="3" a="1"/>
  <c r="C731" i="3" a="1"/>
  <c r="D732" i="3" a="1"/>
  <c r="E733" i="3" a="1"/>
  <c r="C735" i="3" a="1"/>
  <c r="D736" i="3" a="1"/>
  <c r="E737" i="3" a="1"/>
  <c r="C739" i="3" a="1"/>
  <c r="D740" i="3" a="1"/>
  <c r="E741" i="3" a="1"/>
  <c r="C743" i="3" a="1"/>
  <c r="D744" i="3" a="1"/>
  <c r="E745" i="3" a="1"/>
  <c r="C747" i="3" a="1"/>
  <c r="D748" i="3" a="1"/>
  <c r="E749" i="3" a="1"/>
  <c r="C751" i="3" a="1"/>
  <c r="D752" i="3" a="1"/>
  <c r="E753" i="3" a="1"/>
  <c r="C755" i="3" a="1"/>
  <c r="D756" i="3" a="1"/>
  <c r="E757" i="3" a="1"/>
  <c r="C759" i="3" a="1"/>
  <c r="E547" i="3" a="1"/>
  <c r="D584" i="3" a="1"/>
  <c r="D600" i="3" a="1"/>
  <c r="C619" i="3" a="1"/>
  <c r="E637" i="3" a="1"/>
  <c r="E653" i="3" a="1"/>
  <c r="E669" i="3" a="1"/>
  <c r="E685" i="3" a="1"/>
  <c r="C699" i="3" a="1"/>
  <c r="E717" i="3" a="1"/>
  <c r="C728" i="3" a="1"/>
  <c r="E734" i="3" a="1"/>
  <c r="C744" i="3" a="1"/>
  <c r="C752" i="3" a="1"/>
  <c r="E426" i="3" a="1"/>
  <c r="D478" i="3" a="1"/>
  <c r="E499" i="3" a="1"/>
  <c r="E519" i="3" a="1"/>
  <c r="D530" i="3" a="1"/>
  <c r="C541" i="3" a="1"/>
  <c r="E551" i="3" a="1"/>
  <c r="D562" i="3" a="1"/>
  <c r="C573" i="3" a="1"/>
  <c r="D577" i="3" a="1"/>
  <c r="C580" i="3" a="1"/>
  <c r="E582" i="3" a="1"/>
  <c r="D585" i="3" a="1"/>
  <c r="C588" i="3" a="1"/>
  <c r="E590" i="3" a="1"/>
  <c r="D593" i="3" a="1"/>
  <c r="C596" i="3" a="1"/>
  <c r="E598" i="3" a="1"/>
  <c r="D601" i="3" a="1"/>
  <c r="C604" i="3" a="1"/>
  <c r="E606" i="3" a="1"/>
  <c r="D609" i="3" a="1"/>
  <c r="C612" i="3" a="1"/>
  <c r="E614" i="3" a="1"/>
  <c r="D617" i="3" a="1"/>
  <c r="C620" i="3" a="1"/>
  <c r="E622" i="3" a="1"/>
  <c r="D625" i="3" a="1"/>
  <c r="C628" i="3" a="1"/>
  <c r="E630" i="3" a="1"/>
  <c r="D633" i="3" a="1"/>
  <c r="C636" i="3" a="1"/>
  <c r="E638" i="3" a="1"/>
  <c r="D641" i="3" a="1"/>
  <c r="C644" i="3" a="1"/>
  <c r="E646" i="3" a="1"/>
  <c r="D649" i="3" a="1"/>
  <c r="C652" i="3" a="1"/>
  <c r="E654" i="3" a="1"/>
  <c r="D657" i="3" a="1"/>
  <c r="C660" i="3" a="1"/>
  <c r="E662" i="3" a="1"/>
  <c r="D665" i="3" a="1"/>
  <c r="C668" i="3" a="1"/>
  <c r="E670" i="3" a="1"/>
  <c r="D673" i="3" a="1"/>
  <c r="C676" i="3" a="1"/>
  <c r="E678" i="3" a="1"/>
  <c r="D681" i="3" a="1"/>
  <c r="C684" i="3" a="1"/>
  <c r="E686" i="3" a="1"/>
  <c r="D689" i="3" a="1"/>
  <c r="C692" i="3" a="1"/>
  <c r="E694" i="3" a="1"/>
  <c r="D697" i="3" a="1"/>
  <c r="C700" i="3" a="1"/>
  <c r="E702" i="3" a="1"/>
  <c r="D705" i="3" a="1"/>
  <c r="C708" i="3" a="1"/>
  <c r="E710" i="3" a="1"/>
  <c r="D713" i="3" a="1"/>
  <c r="C716" i="3" a="1"/>
  <c r="E718" i="3" a="1"/>
  <c r="D721" i="3" a="1"/>
  <c r="D526" i="3" a="1"/>
  <c r="E589" i="3" a="1"/>
  <c r="D608" i="3" a="1"/>
  <c r="E629" i="3" a="1"/>
  <c r="D648" i="3" a="1"/>
  <c r="D664" i="3" a="1"/>
  <c r="C683" i="3" a="1"/>
  <c r="E701" i="3" a="1"/>
  <c r="D720" i="3" a="1"/>
  <c r="E730" i="3" a="1"/>
  <c r="C740" i="3" a="1"/>
  <c r="C748" i="3" a="1"/>
  <c r="E758" i="3" a="1"/>
  <c r="D437" i="3" a="1"/>
  <c r="C481" i="3" a="1"/>
  <c r="D502" i="3" a="1"/>
  <c r="C521" i="3" a="1"/>
  <c r="E531" i="3" a="1"/>
  <c r="D542" i="3" a="1"/>
  <c r="C553" i="3" a="1"/>
  <c r="E563" i="3" a="1"/>
  <c r="E573" i="3" a="1"/>
  <c r="E577" i="3" a="1"/>
  <c r="D580" i="3" a="1"/>
  <c r="C583" i="3" a="1"/>
  <c r="E585" i="3" a="1"/>
  <c r="D588" i="3" a="1"/>
  <c r="C591" i="3" a="1"/>
  <c r="E593" i="3" a="1"/>
  <c r="D596" i="3" a="1"/>
  <c r="C599" i="3" a="1"/>
  <c r="E601" i="3" a="1"/>
  <c r="D604" i="3" a="1"/>
  <c r="C607" i="3" a="1"/>
  <c r="E609" i="3" a="1"/>
  <c r="D612" i="3" a="1"/>
  <c r="C615" i="3" a="1"/>
  <c r="E617" i="3" a="1"/>
  <c r="D620" i="3" a="1"/>
  <c r="C623" i="3" a="1"/>
  <c r="E625" i="3" a="1"/>
  <c r="D628" i="3" a="1"/>
  <c r="C631" i="3" a="1"/>
  <c r="E633" i="3" a="1"/>
  <c r="D636" i="3" a="1"/>
  <c r="C639" i="3" a="1"/>
  <c r="E641" i="3" a="1"/>
  <c r="D644" i="3" a="1"/>
  <c r="C647" i="3" a="1"/>
  <c r="E649" i="3" a="1"/>
  <c r="D652" i="3" a="1"/>
  <c r="C655" i="3" a="1"/>
  <c r="E657" i="3" a="1"/>
  <c r="D660" i="3" a="1"/>
  <c r="C663" i="3" a="1"/>
  <c r="E665" i="3" a="1"/>
  <c r="D668" i="3" a="1"/>
  <c r="C671" i="3" a="1"/>
  <c r="E673" i="3" a="1"/>
  <c r="D676" i="3" a="1"/>
  <c r="C679" i="3" a="1"/>
  <c r="E681" i="3" a="1"/>
  <c r="D684" i="3" a="1"/>
  <c r="C687" i="3" a="1"/>
  <c r="E689" i="3" a="1"/>
  <c r="D692" i="3" a="1"/>
  <c r="C695" i="3" a="1"/>
  <c r="E697" i="3" a="1"/>
  <c r="D700" i="3" a="1"/>
  <c r="C703" i="3" a="1"/>
  <c r="E705" i="3" a="1"/>
  <c r="D708" i="3" a="1"/>
  <c r="C711" i="3" a="1"/>
  <c r="E713" i="3" a="1"/>
  <c r="D716" i="3" a="1"/>
  <c r="C719" i="3" a="1"/>
  <c r="E721" i="3" a="1"/>
  <c r="D723" i="3" a="1"/>
  <c r="E724" i="3" a="1"/>
  <c r="C726" i="3" a="1"/>
  <c r="D727" i="3" a="1"/>
  <c r="E728" i="3" a="1"/>
  <c r="C730" i="3" a="1"/>
  <c r="D731" i="3" a="1"/>
  <c r="E732" i="3" a="1"/>
  <c r="C734" i="3" a="1"/>
  <c r="D735" i="3" a="1"/>
  <c r="E736" i="3" a="1"/>
  <c r="C738" i="3" a="1"/>
  <c r="D739" i="3" a="1"/>
  <c r="E740" i="3" a="1"/>
  <c r="C742" i="3" a="1"/>
  <c r="D743" i="3" a="1"/>
  <c r="E744" i="3" a="1"/>
  <c r="C746" i="3" a="1"/>
  <c r="D747" i="3" a="1"/>
  <c r="E748" i="3" a="1"/>
  <c r="C750" i="3" a="1"/>
  <c r="D751" i="3" a="1"/>
  <c r="E752" i="3" a="1"/>
  <c r="C754" i="3" a="1"/>
  <c r="D755" i="3" a="1"/>
  <c r="E756" i="3" a="1"/>
  <c r="C758" i="3" a="1"/>
  <c r="D759" i="3" a="1"/>
  <c r="C537" i="3" a="1"/>
  <c r="C569" i="3" a="1"/>
  <c r="D592" i="3" a="1"/>
  <c r="E605" i="3" a="1"/>
  <c r="D624" i="3" a="1"/>
  <c r="E645" i="3" a="1"/>
  <c r="C667" i="3" a="1"/>
  <c r="D688" i="3" a="1"/>
  <c r="C707" i="3" a="1"/>
  <c r="D725" i="3" a="1"/>
  <c r="D737" i="3" a="1"/>
  <c r="E750" i="3" a="1"/>
  <c r="C448" i="3" a="1"/>
  <c r="E483" i="3" a="1"/>
  <c r="C505" i="3" a="1"/>
  <c r="D522" i="3" a="1"/>
  <c r="C533" i="3" a="1"/>
  <c r="E543" i="3" a="1"/>
  <c r="D554" i="3" a="1"/>
  <c r="C565" i="3" a="1"/>
  <c r="D574" i="3" a="1"/>
  <c r="C578" i="3" a="1"/>
  <c r="E580" i="3" a="1"/>
  <c r="D583" i="3" a="1"/>
  <c r="C586" i="3" a="1"/>
  <c r="E588" i="3" a="1"/>
  <c r="D591" i="3" a="1"/>
  <c r="C594" i="3" a="1"/>
  <c r="E596" i="3" a="1"/>
  <c r="D599" i="3" a="1"/>
  <c r="C602" i="3" a="1"/>
  <c r="E604" i="3" a="1"/>
  <c r="D607" i="3" a="1"/>
  <c r="C610" i="3" a="1"/>
  <c r="E612" i="3" a="1"/>
  <c r="D615" i="3" a="1"/>
  <c r="C618" i="3" a="1"/>
  <c r="E620" i="3" a="1"/>
  <c r="D623" i="3" a="1"/>
  <c r="C626" i="3" a="1"/>
  <c r="E628" i="3" a="1"/>
  <c r="D631" i="3" a="1"/>
  <c r="C634" i="3" a="1"/>
  <c r="E636" i="3" a="1"/>
  <c r="D639" i="3" a="1"/>
  <c r="C642" i="3" a="1"/>
  <c r="E644" i="3" a="1"/>
  <c r="D647" i="3" a="1"/>
  <c r="C650" i="3" a="1"/>
  <c r="E652" i="3" a="1"/>
  <c r="D655" i="3" a="1"/>
  <c r="C658" i="3" a="1"/>
  <c r="E660" i="3" a="1"/>
  <c r="D663" i="3" a="1"/>
  <c r="C666" i="3" a="1"/>
  <c r="E668" i="3" a="1"/>
  <c r="D671" i="3" a="1"/>
  <c r="C674" i="3" a="1"/>
  <c r="E676" i="3" a="1"/>
  <c r="D679" i="3" a="1"/>
  <c r="C682" i="3" a="1"/>
  <c r="E684" i="3" a="1"/>
  <c r="D687" i="3" a="1"/>
  <c r="C690" i="3" a="1"/>
  <c r="E692" i="3" a="1"/>
  <c r="D695" i="3" a="1"/>
  <c r="C698" i="3" a="1"/>
  <c r="E700" i="3" a="1"/>
  <c r="D703" i="3" a="1"/>
  <c r="C706" i="3" a="1"/>
  <c r="E708" i="3" a="1"/>
  <c r="D711" i="3" a="1"/>
  <c r="C714" i="3" a="1"/>
  <c r="E716" i="3" a="1"/>
  <c r="D719" i="3" a="1"/>
  <c r="C722" i="3" a="1"/>
  <c r="C513" i="3" a="1"/>
  <c r="D576" i="3" a="1"/>
  <c r="E597" i="3" a="1"/>
  <c r="D616" i="3" a="1"/>
  <c r="D632" i="3" a="1"/>
  <c r="C651" i="3" a="1"/>
  <c r="D672" i="3" a="1"/>
  <c r="E693" i="3" a="1"/>
  <c r="C715" i="3" a="1"/>
  <c r="D729" i="3" a="1"/>
  <c r="E738" i="3" a="1"/>
  <c r="E746" i="3" a="1"/>
  <c r="E754" i="3" a="1"/>
  <c r="E458" i="3" a="1"/>
  <c r="D486" i="3" a="1"/>
  <c r="E507" i="3" a="1"/>
  <c r="E523" i="3" a="1"/>
  <c r="D534" i="3" a="1"/>
  <c r="C545" i="3" a="1"/>
  <c r="E555" i="3" a="1"/>
  <c r="D566" i="3" a="1"/>
  <c r="C575" i="3" a="1"/>
  <c r="D578" i="3" a="1"/>
  <c r="C581" i="3" a="1"/>
  <c r="E583" i="3" a="1"/>
  <c r="D586" i="3" a="1"/>
  <c r="C589" i="3" a="1"/>
  <c r="E591" i="3" a="1"/>
  <c r="D594" i="3" a="1"/>
  <c r="C597" i="3" a="1"/>
  <c r="E599" i="3" a="1"/>
  <c r="D602" i="3" a="1"/>
  <c r="C605" i="3" a="1"/>
  <c r="E607" i="3" a="1"/>
  <c r="D610" i="3" a="1"/>
  <c r="C613" i="3" a="1"/>
  <c r="E615" i="3" a="1"/>
  <c r="D618" i="3" a="1"/>
  <c r="C621" i="3" a="1"/>
  <c r="E623" i="3" a="1"/>
  <c r="D626" i="3" a="1"/>
  <c r="C629" i="3" a="1"/>
  <c r="E631" i="3" a="1"/>
  <c r="D634" i="3" a="1"/>
  <c r="C637" i="3" a="1"/>
  <c r="E639" i="3" a="1"/>
  <c r="D642" i="3" a="1"/>
  <c r="C645" i="3" a="1"/>
  <c r="E647" i="3" a="1"/>
  <c r="D650" i="3" a="1"/>
  <c r="C653" i="3" a="1"/>
  <c r="E655" i="3" a="1"/>
  <c r="D658" i="3" a="1"/>
  <c r="C661" i="3" a="1"/>
  <c r="E663" i="3" a="1"/>
  <c r="D666" i="3" a="1"/>
  <c r="C669" i="3" a="1"/>
  <c r="E671" i="3" a="1"/>
  <c r="D674" i="3" a="1"/>
  <c r="C677" i="3" a="1"/>
  <c r="E679" i="3" a="1"/>
  <c r="D682" i="3" a="1"/>
  <c r="C685" i="3" a="1"/>
  <c r="E687" i="3" a="1"/>
  <c r="D690" i="3" a="1"/>
  <c r="C693" i="3" a="1"/>
  <c r="E695" i="3" a="1"/>
  <c r="D698" i="3" a="1"/>
  <c r="C701" i="3" a="1"/>
  <c r="E703" i="3" a="1"/>
  <c r="D706" i="3" a="1"/>
  <c r="C709" i="3" a="1"/>
  <c r="E711" i="3" a="1"/>
  <c r="D714" i="3" a="1"/>
  <c r="C717" i="3" a="1"/>
  <c r="E719" i="3" a="1"/>
  <c r="D722" i="3" a="1"/>
  <c r="E723" i="3" a="1"/>
  <c r="C725" i="3" a="1"/>
  <c r="D726" i="3" a="1"/>
  <c r="E727" i="3" a="1"/>
  <c r="C729" i="3" a="1"/>
  <c r="D730" i="3" a="1"/>
  <c r="E731" i="3" a="1"/>
  <c r="C733" i="3" a="1"/>
  <c r="D734" i="3" a="1"/>
  <c r="E735" i="3" a="1"/>
  <c r="C737" i="3" a="1"/>
  <c r="D738" i="3" a="1"/>
  <c r="E739" i="3" a="1"/>
  <c r="C741" i="3" a="1"/>
  <c r="D742" i="3" a="1"/>
  <c r="E743" i="3" a="1"/>
  <c r="C745" i="3" a="1"/>
  <c r="D746" i="3" a="1"/>
  <c r="E747" i="3" a="1"/>
  <c r="C749" i="3" a="1"/>
  <c r="D750" i="3" a="1"/>
  <c r="E751" i="3" a="1"/>
  <c r="C753" i="3" a="1"/>
  <c r="D754" i="3" a="1"/>
  <c r="E755" i="3" a="1"/>
  <c r="C757" i="3" a="1"/>
  <c r="D758" i="3" a="1"/>
  <c r="E759" i="3" a="1"/>
  <c r="E491" i="3" a="1"/>
  <c r="E581" i="3" a="1"/>
  <c r="C603" i="3" a="1"/>
  <c r="E621" i="3" a="1"/>
  <c r="D640" i="3" a="1"/>
  <c r="E661" i="3" a="1"/>
  <c r="D680" i="3" a="1"/>
  <c r="D696" i="3" a="1"/>
  <c r="D712" i="3" a="1"/>
  <c r="C724" i="3" a="1"/>
  <c r="C732" i="3" a="1"/>
  <c r="D741" i="3" a="1"/>
  <c r="D749" i="3" a="1"/>
  <c r="D757" i="3" a="1"/>
  <c r="D467" i="3" a="1"/>
  <c r="C489" i="3" a="1"/>
  <c r="D510" i="3" a="1"/>
  <c r="C525" i="3" a="1"/>
  <c r="E535" i="3" a="1"/>
  <c r="D546" i="3" a="1"/>
  <c r="C557" i="3" a="1"/>
  <c r="E567" i="3" a="1"/>
  <c r="E575" i="3" a="1"/>
  <c r="E578" i="3" a="1"/>
  <c r="D581" i="3" a="1"/>
  <c r="C584" i="3" a="1"/>
  <c r="E586" i="3" a="1"/>
  <c r="D589" i="3" a="1"/>
  <c r="C592" i="3" a="1"/>
  <c r="E594" i="3" a="1"/>
  <c r="D597" i="3" a="1"/>
  <c r="C600" i="3" a="1"/>
  <c r="E602" i="3" a="1"/>
  <c r="D605" i="3" a="1"/>
  <c r="C608" i="3" a="1"/>
  <c r="E610" i="3" a="1"/>
  <c r="D613" i="3" a="1"/>
  <c r="C616" i="3" a="1"/>
  <c r="E618" i="3" a="1"/>
  <c r="D621" i="3" a="1"/>
  <c r="C624" i="3" a="1"/>
  <c r="E626" i="3" a="1"/>
  <c r="D629" i="3" a="1"/>
  <c r="C632" i="3" a="1"/>
  <c r="E634" i="3" a="1"/>
  <c r="D637" i="3" a="1"/>
  <c r="C640" i="3" a="1"/>
  <c r="E642" i="3" a="1"/>
  <c r="D645" i="3" a="1"/>
  <c r="C648" i="3" a="1"/>
  <c r="E650" i="3" a="1"/>
  <c r="D653" i="3" a="1"/>
  <c r="C656" i="3" a="1"/>
  <c r="E658" i="3" a="1"/>
  <c r="D661" i="3" a="1"/>
  <c r="C664" i="3" a="1"/>
  <c r="E666" i="3" a="1"/>
  <c r="D669" i="3" a="1"/>
  <c r="C672" i="3" a="1"/>
  <c r="E674" i="3" a="1"/>
  <c r="D677" i="3" a="1"/>
  <c r="C680" i="3" a="1"/>
  <c r="E682" i="3" a="1"/>
  <c r="D685" i="3" a="1"/>
  <c r="C688" i="3" a="1"/>
  <c r="E690" i="3" a="1"/>
  <c r="D693" i="3" a="1"/>
  <c r="C696" i="3" a="1"/>
  <c r="E698" i="3" a="1"/>
  <c r="D701" i="3" a="1"/>
  <c r="C704" i="3" a="1"/>
  <c r="E706" i="3" a="1"/>
  <c r="D709" i="3" a="1"/>
  <c r="C712" i="3" a="1"/>
  <c r="E714" i="3" a="1"/>
  <c r="D717" i="3" a="1"/>
  <c r="C720" i="3" a="1"/>
  <c r="D470" i="3" a="1"/>
  <c r="C587" i="3" a="1"/>
  <c r="E613" i="3" a="1"/>
  <c r="C635" i="3" a="1"/>
  <c r="D656" i="3" a="1"/>
  <c r="E677" i="3" a="1"/>
  <c r="D704" i="3" a="1"/>
  <c r="E722" i="3" a="1"/>
  <c r="D733" i="3" a="1"/>
  <c r="E742" i="3" a="1"/>
  <c r="D753" i="3" a="1"/>
  <c r="D22" i="3" a="1"/>
  <c r="E22" i="3" a="1"/>
  <c r="C22" i="3" a="1"/>
  <c r="C78" i="1"/>
  <c r="C110" i="1"/>
  <c r="C142" i="1"/>
  <c r="C174" i="1"/>
  <c r="C206" i="1"/>
  <c r="C238" i="1"/>
  <c r="C270" i="1"/>
  <c r="C302" i="1"/>
  <c r="C334" i="1"/>
  <c r="D30" i="1"/>
  <c r="D62" i="1"/>
  <c r="D94" i="1"/>
  <c r="D126" i="1"/>
  <c r="D158" i="1"/>
  <c r="D190" i="1"/>
  <c r="D222" i="1"/>
  <c r="D254" i="1"/>
  <c r="D286" i="1"/>
  <c r="C71" i="1"/>
  <c r="C103" i="1"/>
  <c r="C135" i="1"/>
  <c r="C167" i="1"/>
  <c r="C199" i="1"/>
  <c r="C231" i="1"/>
  <c r="C263" i="1"/>
  <c r="C295" i="1"/>
  <c r="C327" i="1"/>
  <c r="D55" i="1"/>
  <c r="D87" i="1"/>
  <c r="D119" i="1"/>
  <c r="D151" i="1"/>
  <c r="D183" i="1"/>
  <c r="D215" i="1"/>
  <c r="D247" i="1"/>
  <c r="D279" i="1"/>
  <c r="C60" i="1"/>
  <c r="C92" i="1"/>
  <c r="C124" i="1"/>
  <c r="C156" i="1"/>
  <c r="C188" i="1"/>
  <c r="C220" i="1"/>
  <c r="C252" i="1"/>
  <c r="C284" i="1"/>
  <c r="C316" i="1"/>
  <c r="C348" i="1"/>
  <c r="C380" i="1"/>
  <c r="C412" i="1"/>
  <c r="C444" i="1"/>
  <c r="C476" i="1"/>
  <c r="C508" i="1"/>
  <c r="D32" i="1"/>
  <c r="D64" i="1"/>
  <c r="D96" i="1"/>
  <c r="D128" i="1"/>
  <c r="D160" i="1"/>
  <c r="D192" i="1"/>
  <c r="D224" i="1"/>
  <c r="D256" i="1"/>
  <c r="D288" i="1"/>
  <c r="D320" i="1"/>
  <c r="D352" i="1"/>
  <c r="C121" i="1"/>
  <c r="C249" i="1"/>
  <c r="D339" i="1"/>
  <c r="D383" i="1"/>
  <c r="D420" i="1"/>
  <c r="C457" i="1"/>
  <c r="D493" i="1"/>
  <c r="D105" i="1"/>
  <c r="D233" i="1"/>
  <c r="C333" i="1"/>
  <c r="D379" i="1"/>
  <c r="D416" i="1"/>
  <c r="C453" i="1"/>
  <c r="D489" i="1"/>
  <c r="C77" i="1"/>
  <c r="C205" i="1"/>
  <c r="D317" i="1"/>
  <c r="C371" i="1"/>
  <c r="D407" i="1"/>
  <c r="D444" i="1"/>
  <c r="C481" i="1"/>
  <c r="D77" i="1"/>
  <c r="D205" i="1"/>
  <c r="D318" i="1"/>
  <c r="D371" i="1"/>
  <c r="D408" i="1"/>
  <c r="C445" i="1"/>
  <c r="D481" i="1"/>
  <c r="C518" i="1"/>
  <c r="C81" i="1"/>
  <c r="C209" i="1"/>
  <c r="D319" i="1"/>
  <c r="D372" i="1"/>
  <c r="C409" i="1"/>
  <c r="D445" i="1"/>
  <c r="C482" i="1"/>
  <c r="D65" i="1"/>
  <c r="D193" i="1"/>
  <c r="C313" i="1"/>
  <c r="D368" i="1"/>
  <c r="C405" i="1"/>
  <c r="D441" i="1"/>
  <c r="C478" i="1"/>
  <c r="D514" i="1"/>
  <c r="D548" i="1"/>
  <c r="D580" i="1"/>
  <c r="D612" i="1"/>
  <c r="D644" i="1"/>
  <c r="D676" i="1"/>
  <c r="D708" i="1"/>
  <c r="D740" i="1"/>
  <c r="C85" i="1"/>
  <c r="C293" i="1"/>
  <c r="D469" i="1"/>
  <c r="C54" i="1"/>
  <c r="C86" i="1"/>
  <c r="C118" i="1"/>
  <c r="C150" i="1"/>
  <c r="C182" i="1"/>
  <c r="C214" i="1"/>
  <c r="C246" i="1"/>
  <c r="C278" i="1"/>
  <c r="C310" i="1"/>
  <c r="C342" i="1"/>
  <c r="D38" i="1"/>
  <c r="D70" i="1"/>
  <c r="D102" i="1"/>
  <c r="D134" i="1"/>
  <c r="D166" i="1"/>
  <c r="D198" i="1"/>
  <c r="D230" i="1"/>
  <c r="D262" i="1"/>
  <c r="D294" i="1"/>
  <c r="C79" i="1"/>
  <c r="C111" i="1"/>
  <c r="C143" i="1"/>
  <c r="C175" i="1"/>
  <c r="C207" i="1"/>
  <c r="C239" i="1"/>
  <c r="C271" i="1"/>
  <c r="C303" i="1"/>
  <c r="C335" i="1"/>
  <c r="D31" i="1"/>
  <c r="D63" i="1"/>
  <c r="D95" i="1"/>
  <c r="D127" i="1"/>
  <c r="D159" i="1"/>
  <c r="D191" i="1"/>
  <c r="D223" i="1"/>
  <c r="D255" i="1"/>
  <c r="D287" i="1"/>
  <c r="C68" i="1"/>
  <c r="C100" i="1"/>
  <c r="C132" i="1"/>
  <c r="C164" i="1"/>
  <c r="C196" i="1"/>
  <c r="C228" i="1"/>
  <c r="C260" i="1"/>
  <c r="C292" i="1"/>
  <c r="C324" i="1"/>
  <c r="C356" i="1"/>
  <c r="C388" i="1"/>
  <c r="C420" i="1"/>
  <c r="C452" i="1"/>
  <c r="C484" i="1"/>
  <c r="C516" i="1"/>
  <c r="D40" i="1"/>
  <c r="D72" i="1"/>
  <c r="D104" i="1"/>
  <c r="D136" i="1"/>
  <c r="D168" i="1"/>
  <c r="D200" i="1"/>
  <c r="D232" i="1"/>
  <c r="D264" i="1"/>
  <c r="D296" i="1"/>
  <c r="D328" i="1"/>
  <c r="C153" i="1"/>
  <c r="C281" i="1"/>
  <c r="D355" i="1"/>
  <c r="C393" i="1"/>
  <c r="D429" i="1"/>
  <c r="C466" i="1"/>
  <c r="D502" i="1"/>
  <c r="D137" i="1"/>
  <c r="D265" i="1"/>
  <c r="C349" i="1"/>
  <c r="C389" i="1"/>
  <c r="D425" i="1"/>
  <c r="C462" i="1"/>
  <c r="D498" i="1"/>
  <c r="C109" i="1"/>
  <c r="C237" i="1"/>
  <c r="D333" i="1"/>
  <c r="D380" i="1"/>
  <c r="C417" i="1"/>
  <c r="D453" i="1"/>
  <c r="C490" i="1"/>
  <c r="D109" i="1"/>
  <c r="D237" i="1"/>
  <c r="D334" i="1"/>
  <c r="C381" i="1"/>
  <c r="D417" i="1"/>
  <c r="C454" i="1"/>
  <c r="D490" i="1"/>
  <c r="C527" i="1"/>
  <c r="C113" i="1"/>
  <c r="C241" i="1"/>
  <c r="D335" i="1"/>
  <c r="D381" i="1"/>
  <c r="C418" i="1"/>
  <c r="D454" i="1"/>
  <c r="C491" i="1"/>
  <c r="D97" i="1"/>
  <c r="D225" i="1"/>
  <c r="C329" i="1"/>
  <c r="D377" i="1"/>
  <c r="C414" i="1"/>
  <c r="D450" i="1"/>
  <c r="C487" i="1"/>
  <c r="D523" i="1"/>
  <c r="D556" i="1"/>
  <c r="D588" i="1"/>
  <c r="D620" i="1"/>
  <c r="D652" i="1"/>
  <c r="D684" i="1"/>
  <c r="D716" i="1"/>
  <c r="D748" i="1"/>
  <c r="C117" i="1"/>
  <c r="D359" i="1"/>
  <c r="D503" i="1"/>
  <c r="D549" i="1"/>
  <c r="C586" i="1"/>
  <c r="D622" i="1"/>
  <c r="C659" i="1"/>
  <c r="D695" i="1"/>
  <c r="C732" i="1"/>
  <c r="C523" i="1"/>
  <c r="C58" i="1"/>
  <c r="C90" i="1"/>
  <c r="C122" i="1"/>
  <c r="C154" i="1"/>
  <c r="C186" i="1"/>
  <c r="C218" i="1"/>
  <c r="C250" i="1"/>
  <c r="C282" i="1"/>
  <c r="C314" i="1"/>
  <c r="C346" i="1"/>
  <c r="D42" i="1"/>
  <c r="D74" i="1"/>
  <c r="D106" i="1"/>
  <c r="D138" i="1"/>
  <c r="D170" i="1"/>
  <c r="D202" i="1"/>
  <c r="D234" i="1"/>
  <c r="D266" i="1"/>
  <c r="D298" i="1"/>
  <c r="C51" i="1"/>
  <c r="C83" i="1"/>
  <c r="C115" i="1"/>
  <c r="C147" i="1"/>
  <c r="C179" i="1"/>
  <c r="C211" i="1"/>
  <c r="C243" i="1"/>
  <c r="C275" i="1"/>
  <c r="C307" i="1"/>
  <c r="C339" i="1"/>
  <c r="D35" i="1"/>
  <c r="D67" i="1"/>
  <c r="D99" i="1"/>
  <c r="D131" i="1"/>
  <c r="D163" i="1"/>
  <c r="D195" i="1"/>
  <c r="D227" i="1"/>
  <c r="D259" i="1"/>
  <c r="D291" i="1"/>
  <c r="C72" i="1"/>
  <c r="C104" i="1"/>
  <c r="C136" i="1"/>
  <c r="C168" i="1"/>
  <c r="C200" i="1"/>
  <c r="C232" i="1"/>
  <c r="C264" i="1"/>
  <c r="C296" i="1"/>
  <c r="C328" i="1"/>
  <c r="C360" i="1"/>
  <c r="C392" i="1"/>
  <c r="C424" i="1"/>
  <c r="C456" i="1"/>
  <c r="C488" i="1"/>
  <c r="C520" i="1"/>
  <c r="D44" i="1"/>
  <c r="D76" i="1"/>
  <c r="D108" i="1"/>
  <c r="D140" i="1"/>
  <c r="D172" i="1"/>
  <c r="D204" i="1"/>
  <c r="D236" i="1"/>
  <c r="D268" i="1"/>
  <c r="D300" i="1"/>
  <c r="D332" i="1"/>
  <c r="C169" i="1"/>
  <c r="C297" i="1"/>
  <c r="C361" i="1"/>
  <c r="D397" i="1"/>
  <c r="C434" i="1"/>
  <c r="D470" i="1"/>
  <c r="D153" i="1"/>
  <c r="D281" i="1"/>
  <c r="C357" i="1"/>
  <c r="D393" i="1"/>
  <c r="C430" i="1"/>
  <c r="D466" i="1"/>
  <c r="C503" i="1"/>
  <c r="C125" i="1"/>
  <c r="C253" i="1"/>
  <c r="D341" i="1"/>
  <c r="C385" i="1"/>
  <c r="D421" i="1"/>
  <c r="C458" i="1"/>
  <c r="D494" i="1"/>
  <c r="D125" i="1"/>
  <c r="D253" i="1"/>
  <c r="D342" i="1"/>
  <c r="D385" i="1"/>
  <c r="C422" i="1"/>
  <c r="D458" i="1"/>
  <c r="C495" i="1"/>
  <c r="D531" i="1"/>
  <c r="C129" i="1"/>
  <c r="C257" i="1"/>
  <c r="D343" i="1"/>
  <c r="C386" i="1"/>
  <c r="D422" i="1"/>
  <c r="C459" i="1"/>
  <c r="D495" i="1"/>
  <c r="D113" i="1"/>
  <c r="D241" i="1"/>
  <c r="C337" i="1"/>
  <c r="C382" i="1"/>
  <c r="D418" i="1"/>
  <c r="C66" i="1"/>
  <c r="C98" i="1"/>
  <c r="C130" i="1"/>
  <c r="C162" i="1"/>
  <c r="C194" i="1"/>
  <c r="C226" i="1"/>
  <c r="C258" i="1"/>
  <c r="C290" i="1"/>
  <c r="C322" i="1"/>
  <c r="C354" i="1"/>
  <c r="D50" i="1"/>
  <c r="D82" i="1"/>
  <c r="D114" i="1"/>
  <c r="D146" i="1"/>
  <c r="D178" i="1"/>
  <c r="D210" i="1"/>
  <c r="D242" i="1"/>
  <c r="D274" i="1"/>
  <c r="C59" i="1"/>
  <c r="C91" i="1"/>
  <c r="C123" i="1"/>
  <c r="C155" i="1"/>
  <c r="C187" i="1"/>
  <c r="C219" i="1"/>
  <c r="C251" i="1"/>
  <c r="C283" i="1"/>
  <c r="C315" i="1"/>
  <c r="C347" i="1"/>
  <c r="D43" i="1"/>
  <c r="D75" i="1"/>
  <c r="D107" i="1"/>
  <c r="D139" i="1"/>
  <c r="D171" i="1"/>
  <c r="D203" i="1"/>
  <c r="D235" i="1"/>
  <c r="D267" i="1"/>
  <c r="D299" i="1"/>
  <c r="C80" i="1"/>
  <c r="C112" i="1"/>
  <c r="C144" i="1"/>
  <c r="C176" i="1"/>
  <c r="C208" i="1"/>
  <c r="C240" i="1"/>
  <c r="C272" i="1"/>
  <c r="C304" i="1"/>
  <c r="C336" i="1"/>
  <c r="C368" i="1"/>
  <c r="C400" i="1"/>
  <c r="C432" i="1"/>
  <c r="C464" i="1"/>
  <c r="C496" i="1"/>
  <c r="C528" i="1"/>
  <c r="D52" i="1"/>
  <c r="D84" i="1"/>
  <c r="D116" i="1"/>
  <c r="D148" i="1"/>
  <c r="D180" i="1"/>
  <c r="D212" i="1"/>
  <c r="D244" i="1"/>
  <c r="D276" i="1"/>
  <c r="D308" i="1"/>
  <c r="D340" i="1"/>
  <c r="C73" i="1"/>
  <c r="C201" i="1"/>
  <c r="D315" i="1"/>
  <c r="C370" i="1"/>
  <c r="D406" i="1"/>
  <c r="C443" i="1"/>
  <c r="D479" i="1"/>
  <c r="D57" i="1"/>
  <c r="D185" i="1"/>
  <c r="C309" i="1"/>
  <c r="C366" i="1"/>
  <c r="D402" i="1"/>
  <c r="C439" i="1"/>
  <c r="D475" i="1"/>
  <c r="C157" i="1"/>
  <c r="C285" i="1"/>
  <c r="D357" i="1"/>
  <c r="C394" i="1"/>
  <c r="D430" i="1"/>
  <c r="C467" i="1"/>
  <c r="D29" i="1"/>
  <c r="D157" i="1"/>
  <c r="D285" i="1"/>
  <c r="C358" i="1"/>
  <c r="D394" i="1"/>
  <c r="C431" i="1"/>
  <c r="D467" i="1"/>
  <c r="D504" i="1"/>
  <c r="C161" i="1"/>
  <c r="C289" i="1"/>
  <c r="D358" i="1"/>
  <c r="C395" i="1"/>
  <c r="D431" i="1"/>
  <c r="D468" i="1"/>
  <c r="C505" i="1"/>
  <c r="D145" i="1"/>
  <c r="D273" i="1"/>
  <c r="C353" i="1"/>
  <c r="C391" i="1"/>
  <c r="D427" i="1"/>
  <c r="D464" i="1"/>
  <c r="C501" i="1"/>
  <c r="D536" i="1"/>
  <c r="D568" i="1"/>
  <c r="D600" i="1"/>
  <c r="D632" i="1"/>
  <c r="D664" i="1"/>
  <c r="D696" i="1"/>
  <c r="D728" i="1"/>
  <c r="D37" i="1"/>
  <c r="D414" i="1"/>
  <c r="D524" i="1"/>
  <c r="C563" i="1"/>
  <c r="D599" i="1"/>
  <c r="C636" i="1"/>
  <c r="C673" i="1"/>
  <c r="D709" i="1"/>
  <c r="C746" i="1"/>
  <c r="D603" i="1"/>
  <c r="C70" i="1"/>
  <c r="C102" i="1"/>
  <c r="C134" i="1"/>
  <c r="C166" i="1"/>
  <c r="C198" i="1"/>
  <c r="C230" i="1"/>
  <c r="C262" i="1"/>
  <c r="C294" i="1"/>
  <c r="C326" i="1"/>
  <c r="D54" i="1"/>
  <c r="D86" i="1"/>
  <c r="D118" i="1"/>
  <c r="D150" i="1"/>
  <c r="D182" i="1"/>
  <c r="D214" i="1"/>
  <c r="D246" i="1"/>
  <c r="D278" i="1"/>
  <c r="C63" i="1"/>
  <c r="C95" i="1"/>
  <c r="C127" i="1"/>
  <c r="C159" i="1"/>
  <c r="C191" i="1"/>
  <c r="C223" i="1"/>
  <c r="C255" i="1"/>
  <c r="C287" i="1"/>
  <c r="C319" i="1"/>
  <c r="C351" i="1"/>
  <c r="D47" i="1"/>
  <c r="D79" i="1"/>
  <c r="D111" i="1"/>
  <c r="D143" i="1"/>
  <c r="D175" i="1"/>
  <c r="D207" i="1"/>
  <c r="D239" i="1"/>
  <c r="D271" i="1"/>
  <c r="D303" i="1"/>
  <c r="C52" i="1"/>
  <c r="C84" i="1"/>
  <c r="C116" i="1"/>
  <c r="C148" i="1"/>
  <c r="C180" i="1"/>
  <c r="C212" i="1"/>
  <c r="C244" i="1"/>
  <c r="C276" i="1"/>
  <c r="C308" i="1"/>
  <c r="C340" i="1"/>
  <c r="C372" i="1"/>
  <c r="C404" i="1"/>
  <c r="C436" i="1"/>
  <c r="C468" i="1"/>
  <c r="C500" i="1"/>
  <c r="D56" i="1"/>
  <c r="D88" i="1"/>
  <c r="D120" i="1"/>
  <c r="D152" i="1"/>
  <c r="D184" i="1"/>
  <c r="D216" i="1"/>
  <c r="D248" i="1"/>
  <c r="D280" i="1"/>
  <c r="D312" i="1"/>
  <c r="D344" i="1"/>
  <c r="C89" i="1"/>
  <c r="C217" i="1"/>
  <c r="D323" i="1"/>
  <c r="D374" i="1"/>
  <c r="C411" i="1"/>
  <c r="D447" i="1"/>
  <c r="D484" i="1"/>
  <c r="D73" i="1"/>
  <c r="D201" i="1"/>
  <c r="C317" i="1"/>
  <c r="D370" i="1"/>
  <c r="C407" i="1"/>
  <c r="D443" i="1"/>
  <c r="D480" i="1"/>
  <c r="C173" i="1"/>
  <c r="C301" i="1"/>
  <c r="C362" i="1"/>
  <c r="D398" i="1"/>
  <c r="C435" i="1"/>
  <c r="D471" i="1"/>
  <c r="D45" i="1"/>
  <c r="D173" i="1"/>
  <c r="D301" i="1"/>
  <c r="D362" i="1"/>
  <c r="C399" i="1"/>
  <c r="D435" i="1"/>
  <c r="D472" i="1"/>
  <c r="C509" i="1"/>
  <c r="C177" i="1"/>
  <c r="D302" i="1"/>
  <c r="C363" i="1"/>
  <c r="D399" i="1"/>
  <c r="D436" i="1"/>
  <c r="C473" i="1"/>
  <c r="D33" i="1"/>
  <c r="D161" i="1"/>
  <c r="D289" i="1"/>
  <c r="C359" i="1"/>
  <c r="D395" i="1"/>
  <c r="C74" i="1"/>
  <c r="C106" i="1"/>
  <c r="C138" i="1"/>
  <c r="C170" i="1"/>
  <c r="C202" i="1"/>
  <c r="C234" i="1"/>
  <c r="C266" i="1"/>
  <c r="C298" i="1"/>
  <c r="C330" i="1"/>
  <c r="D58" i="1"/>
  <c r="D90" i="1"/>
  <c r="D122" i="1"/>
  <c r="D154" i="1"/>
  <c r="D186" i="1"/>
  <c r="D218" i="1"/>
  <c r="D250" i="1"/>
  <c r="D282" i="1"/>
  <c r="C67" i="1"/>
  <c r="C99" i="1"/>
  <c r="C131" i="1"/>
  <c r="C163" i="1"/>
  <c r="C195" i="1"/>
  <c r="C227" i="1"/>
  <c r="C259" i="1"/>
  <c r="C291" i="1"/>
  <c r="C323" i="1"/>
  <c r="C355" i="1"/>
  <c r="D51" i="1"/>
  <c r="D83" i="1"/>
  <c r="D115" i="1"/>
  <c r="D147" i="1"/>
  <c r="D179" i="1"/>
  <c r="D211" i="1"/>
  <c r="D243" i="1"/>
  <c r="D275" i="1"/>
  <c r="C56" i="1"/>
  <c r="C88" i="1"/>
  <c r="C120" i="1"/>
  <c r="C152" i="1"/>
  <c r="C184" i="1"/>
  <c r="C216" i="1"/>
  <c r="C248" i="1"/>
  <c r="C280" i="1"/>
  <c r="C312" i="1"/>
  <c r="C344" i="1"/>
  <c r="C376" i="1"/>
  <c r="C408" i="1"/>
  <c r="C440" i="1"/>
  <c r="C472" i="1"/>
  <c r="C504" i="1"/>
  <c r="D28" i="1"/>
  <c r="D60" i="1"/>
  <c r="D92" i="1"/>
  <c r="D124" i="1"/>
  <c r="D156" i="1"/>
  <c r="D188" i="1"/>
  <c r="D220" i="1"/>
  <c r="D252" i="1"/>
  <c r="D284" i="1"/>
  <c r="D316" i="1"/>
  <c r="D348" i="1"/>
  <c r="C105" i="1"/>
  <c r="C233" i="1"/>
  <c r="D331" i="1"/>
  <c r="C379" i="1"/>
  <c r="D415" i="1"/>
  <c r="D452" i="1"/>
  <c r="C489" i="1"/>
  <c r="D89" i="1"/>
  <c r="D217" i="1"/>
  <c r="C325" i="1"/>
  <c r="C375" i="1"/>
  <c r="D411" i="1"/>
  <c r="D448" i="1"/>
  <c r="C485" i="1"/>
  <c r="C61" i="1"/>
  <c r="C189" i="1"/>
  <c r="D309" i="1"/>
  <c r="D366" i="1"/>
  <c r="C403" i="1"/>
  <c r="D439" i="1"/>
  <c r="D476" i="1"/>
  <c r="D61" i="1"/>
  <c r="D189" i="1"/>
  <c r="D310" i="1"/>
  <c r="C367" i="1"/>
  <c r="D403" i="1"/>
  <c r="D440" i="1"/>
  <c r="C477" i="1"/>
  <c r="D513" i="1"/>
  <c r="C65" i="1"/>
  <c r="C193" i="1"/>
  <c r="D311" i="1"/>
  <c r="D367" i="1"/>
  <c r="D404" i="1"/>
  <c r="C441" i="1"/>
  <c r="D477" i="1"/>
  <c r="D49" i="1"/>
  <c r="D177" i="1"/>
  <c r="C305" i="1"/>
  <c r="D363" i="1"/>
  <c r="D400" i="1"/>
  <c r="C437" i="1"/>
  <c r="D473" i="1"/>
  <c r="C510" i="1"/>
  <c r="D544" i="1"/>
  <c r="D576" i="1"/>
  <c r="D608" i="1"/>
  <c r="D640" i="1"/>
  <c r="D672" i="1"/>
  <c r="D704" i="1"/>
  <c r="D736" i="1"/>
  <c r="C69" i="1"/>
  <c r="C229" i="1"/>
  <c r="C451" i="1"/>
  <c r="C535" i="1"/>
  <c r="C572" i="1"/>
  <c r="C609" i="1"/>
  <c r="D645" i="1"/>
  <c r="C62" i="1"/>
  <c r="C190" i="1"/>
  <c r="C318" i="1"/>
  <c r="D110" i="1"/>
  <c r="D238" i="1"/>
  <c r="C87" i="1"/>
  <c r="C215" i="1"/>
  <c r="C343" i="1"/>
  <c r="D135" i="1"/>
  <c r="D263" i="1"/>
  <c r="C108" i="1"/>
  <c r="C236" i="1"/>
  <c r="C364" i="1"/>
  <c r="C492" i="1"/>
  <c r="D112" i="1"/>
  <c r="D240" i="1"/>
  <c r="C57" i="1"/>
  <c r="C402" i="1"/>
  <c r="D169" i="1"/>
  <c r="D434" i="1"/>
  <c r="C269" i="1"/>
  <c r="D462" i="1"/>
  <c r="D350" i="1"/>
  <c r="D499" i="1"/>
  <c r="D351" i="1"/>
  <c r="D500" i="1"/>
  <c r="D386" i="1"/>
  <c r="D482" i="1"/>
  <c r="D552" i="1"/>
  <c r="D616" i="1"/>
  <c r="D680" i="1"/>
  <c r="D744" i="1"/>
  <c r="D329" i="1"/>
  <c r="C540" i="1"/>
  <c r="C595" i="1"/>
  <c r="D654" i="1"/>
  <c r="C705" i="1"/>
  <c r="C755" i="1"/>
  <c r="D731" i="1"/>
  <c r="C397" i="1"/>
  <c r="D518" i="1"/>
  <c r="C559" i="1"/>
  <c r="D595" i="1"/>
  <c r="C632" i="1"/>
  <c r="C669" i="1"/>
  <c r="D705" i="1"/>
  <c r="C742" i="1"/>
  <c r="C576" i="1"/>
  <c r="C181" i="1"/>
  <c r="D437" i="1"/>
  <c r="C531" i="1"/>
  <c r="C569" i="1"/>
  <c r="D605" i="1"/>
  <c r="C642" i="1"/>
  <c r="D678" i="1"/>
  <c r="C715" i="1"/>
  <c r="D751" i="1"/>
  <c r="C640" i="1"/>
  <c r="D306" i="1"/>
  <c r="D474" i="1"/>
  <c r="C542" i="1"/>
  <c r="D578" i="1"/>
  <c r="C615" i="1"/>
  <c r="D651" i="1"/>
  <c r="C688" i="1"/>
  <c r="C725" i="1"/>
  <c r="D734" i="1"/>
  <c r="C502" i="1"/>
  <c r="C727" i="1"/>
  <c r="C387" i="1"/>
  <c r="C515" i="1"/>
  <c r="C556" i="1"/>
  <c r="C593" i="1"/>
  <c r="D629" i="1"/>
  <c r="C666" i="1"/>
  <c r="D702" i="1"/>
  <c r="C748" i="1"/>
  <c r="C558" i="1"/>
  <c r="D117" i="1"/>
  <c r="D424" i="1"/>
  <c r="D527" i="1"/>
  <c r="C566" i="1"/>
  <c r="D602" i="1"/>
  <c r="C639" i="1"/>
  <c r="D675" i="1"/>
  <c r="C712" i="1"/>
  <c r="C749" i="1"/>
  <c r="D373" i="1"/>
  <c r="D510" i="1"/>
  <c r="C553" i="1"/>
  <c r="D589" i="1"/>
  <c r="C626" i="1"/>
  <c r="D662" i="1"/>
  <c r="C699" i="1"/>
  <c r="D277" i="1"/>
  <c r="D690" i="1"/>
  <c r="D630" i="1"/>
  <c r="D703" i="1"/>
  <c r="D713" i="1"/>
  <c r="D687" i="1"/>
  <c r="C365" i="1"/>
  <c r="D587" i="1"/>
  <c r="D697" i="1"/>
  <c r="C567" i="1"/>
  <c r="D423" i="1"/>
  <c r="C602" i="1"/>
  <c r="D711" i="1"/>
  <c r="D261" i="1"/>
  <c r="C575" i="1"/>
  <c r="C685" i="1"/>
  <c r="C410" i="1"/>
  <c r="D598" i="1"/>
  <c r="C741" i="1"/>
  <c r="D389" i="1"/>
  <c r="C519" i="1"/>
  <c r="D487" i="1"/>
  <c r="D293" i="1"/>
  <c r="C687" i="1"/>
  <c r="D550" i="1"/>
  <c r="D534" i="1"/>
  <c r="D633" i="1"/>
  <c r="C622" i="1"/>
  <c r="D647" i="1"/>
  <c r="D497" i="1"/>
  <c r="C694" i="1"/>
  <c r="D607" i="1"/>
  <c r="C82" i="1"/>
  <c r="C210" i="1"/>
  <c r="C338" i="1"/>
  <c r="D130" i="1"/>
  <c r="D258" i="1"/>
  <c r="C107" i="1"/>
  <c r="C235" i="1"/>
  <c r="D155" i="1"/>
  <c r="D283" i="1"/>
  <c r="C128" i="1"/>
  <c r="C256" i="1"/>
  <c r="C384" i="1"/>
  <c r="C512" i="1"/>
  <c r="D132" i="1"/>
  <c r="D260" i="1"/>
  <c r="C137" i="1"/>
  <c r="C425" i="1"/>
  <c r="D249" i="1"/>
  <c r="D457" i="1"/>
  <c r="D325" i="1"/>
  <c r="D485" i="1"/>
  <c r="D376" i="1"/>
  <c r="D522" i="1"/>
  <c r="C377" i="1"/>
  <c r="D81" i="1"/>
  <c r="D409" i="1"/>
  <c r="D491" i="1"/>
  <c r="D560" i="1"/>
  <c r="D624" i="1"/>
  <c r="D688" i="1"/>
  <c r="D752" i="1"/>
  <c r="C378" i="1"/>
  <c r="C545" i="1"/>
  <c r="C604" i="1"/>
  <c r="D663" i="1"/>
  <c r="C714" i="1"/>
  <c r="D322" i="1"/>
  <c r="D53" i="1"/>
  <c r="C415" i="1"/>
  <c r="C525" i="1"/>
  <c r="D563" i="1"/>
  <c r="C600" i="1"/>
  <c r="C637" i="1"/>
  <c r="D673" i="1"/>
  <c r="C710" i="1"/>
  <c r="D746" i="1"/>
  <c r="C613" i="1"/>
  <c r="C245" i="1"/>
  <c r="D455" i="1"/>
  <c r="C537" i="1"/>
  <c r="D573" i="1"/>
  <c r="C610" i="1"/>
  <c r="D646" i="1"/>
  <c r="C683" i="1"/>
  <c r="D719" i="1"/>
  <c r="C756" i="1"/>
  <c r="C672" i="1"/>
  <c r="D338" i="1"/>
  <c r="C493" i="1"/>
  <c r="D546" i="1"/>
  <c r="C583" i="1"/>
  <c r="D619" i="1"/>
  <c r="C656" i="1"/>
  <c r="C693" i="1"/>
  <c r="D729" i="1"/>
  <c r="D743" i="1"/>
  <c r="D539" i="1"/>
  <c r="D754" i="1"/>
  <c r="D405" i="1"/>
  <c r="C521" i="1"/>
  <c r="C561" i="1"/>
  <c r="D597" i="1"/>
  <c r="C634" i="1"/>
  <c r="D670" i="1"/>
  <c r="C707" i="1"/>
  <c r="D757" i="1"/>
  <c r="D585" i="1"/>
  <c r="D197" i="1"/>
  <c r="D442" i="1"/>
  <c r="D533" i="1"/>
  <c r="D570" i="1"/>
  <c r="C607" i="1"/>
  <c r="D643" i="1"/>
  <c r="C680" i="1"/>
  <c r="C717" i="1"/>
  <c r="D753" i="1"/>
  <c r="D391" i="1"/>
  <c r="D516" i="1"/>
  <c r="D557" i="1"/>
  <c r="C594" i="1"/>
  <c r="C667" i="1"/>
  <c r="C429" i="1"/>
  <c r="D614" i="1"/>
  <c r="C507" i="1"/>
  <c r="C624" i="1"/>
  <c r="C734" i="1"/>
  <c r="D101" i="1"/>
  <c r="D565" i="1"/>
  <c r="C675" i="1"/>
  <c r="C608" i="1"/>
  <c r="D538" i="1"/>
  <c r="D611" i="1"/>
  <c r="D721" i="1"/>
  <c r="C522" i="1"/>
  <c r="C635" i="1"/>
  <c r="C475" i="1"/>
  <c r="C446" i="1"/>
  <c r="D567" i="1"/>
  <c r="C541" i="1"/>
  <c r="D354" i="1"/>
  <c r="D623" i="1"/>
  <c r="D401" i="1"/>
  <c r="D706" i="1"/>
  <c r="C538" i="1"/>
  <c r="C754" i="1"/>
  <c r="C621" i="1"/>
  <c r="C534" i="1"/>
  <c r="D571" i="1"/>
  <c r="C94" i="1"/>
  <c r="C222" i="1"/>
  <c r="C350" i="1"/>
  <c r="D142" i="1"/>
  <c r="D270" i="1"/>
  <c r="C119" i="1"/>
  <c r="C247" i="1"/>
  <c r="D39" i="1"/>
  <c r="D167" i="1"/>
  <c r="D295" i="1"/>
  <c r="C140" i="1"/>
  <c r="C268" i="1"/>
  <c r="C396" i="1"/>
  <c r="C524" i="1"/>
  <c r="D144" i="1"/>
  <c r="D272" i="1"/>
  <c r="C185" i="1"/>
  <c r="D438" i="1"/>
  <c r="D297" i="1"/>
  <c r="C471" i="1"/>
  <c r="D349" i="1"/>
  <c r="C499" i="1"/>
  <c r="C390" i="1"/>
  <c r="D535" i="1"/>
  <c r="D390" i="1"/>
  <c r="D129" i="1"/>
  <c r="C423" i="1"/>
  <c r="D496" i="1"/>
  <c r="D564" i="1"/>
  <c r="D628" i="1"/>
  <c r="D692" i="1"/>
  <c r="D756" i="1"/>
  <c r="D396" i="1"/>
  <c r="C554" i="1"/>
  <c r="D613" i="1"/>
  <c r="C668" i="1"/>
  <c r="D718" i="1"/>
  <c r="C447" i="1"/>
  <c r="D165" i="1"/>
  <c r="D433" i="1"/>
  <c r="D530" i="1"/>
  <c r="C568" i="1"/>
  <c r="C605" i="1"/>
  <c r="D641" i="1"/>
  <c r="C678" i="1"/>
  <c r="D714" i="1"/>
  <c r="C751" i="1"/>
  <c r="C645" i="1"/>
  <c r="D305" i="1"/>
  <c r="C474" i="1"/>
  <c r="D541" i="1"/>
  <c r="C578" i="1"/>
  <c r="C651" i="1"/>
  <c r="C724" i="1"/>
  <c r="C374" i="1"/>
  <c r="D699" i="1"/>
  <c r="C551" i="1"/>
  <c r="C661" i="1"/>
  <c r="C753" i="1"/>
  <c r="D526" i="1"/>
  <c r="D638" i="1"/>
  <c r="D726" i="1"/>
  <c r="C461" i="1"/>
  <c r="C648" i="1"/>
  <c r="C758" i="1"/>
  <c r="C562" i="1"/>
  <c r="C708" i="1"/>
  <c r="D507" i="1"/>
  <c r="D257" i="1"/>
  <c r="C101" i="1"/>
  <c r="C581" i="1"/>
  <c r="D650" i="1"/>
  <c r="D506" i="1"/>
  <c r="D733" i="1"/>
  <c r="C597" i="1"/>
  <c r="D735" i="1"/>
  <c r="D574" i="1"/>
  <c r="C654" i="1"/>
  <c r="D657" i="1"/>
  <c r="C571" i="1"/>
  <c r="C114" i="1"/>
  <c r="C242" i="1"/>
  <c r="D34" i="1"/>
  <c r="D162" i="1"/>
  <c r="D290" i="1"/>
  <c r="C139" i="1"/>
  <c r="C267" i="1"/>
  <c r="D59" i="1"/>
  <c r="D187" i="1"/>
  <c r="C160" i="1"/>
  <c r="C288" i="1"/>
  <c r="C416" i="1"/>
  <c r="D36" i="1"/>
  <c r="D164" i="1"/>
  <c r="D292" i="1"/>
  <c r="C265" i="1"/>
  <c r="D461" i="1"/>
  <c r="C341" i="1"/>
  <c r="C494" i="1"/>
  <c r="D375" i="1"/>
  <c r="D93" i="1"/>
  <c r="C413" i="1"/>
  <c r="C97" i="1"/>
  <c r="D413" i="1"/>
  <c r="D209" i="1"/>
  <c r="D432" i="1"/>
  <c r="D505" i="1"/>
  <c r="D572" i="1"/>
  <c r="D636" i="1"/>
  <c r="D700" i="1"/>
  <c r="C53" i="1"/>
  <c r="C433" i="1"/>
  <c r="D558" i="1"/>
  <c r="C618" i="1"/>
  <c r="D677" i="1"/>
  <c r="C723" i="1"/>
  <c r="D553" i="1"/>
  <c r="D229" i="1"/>
  <c r="D451" i="1"/>
  <c r="C536" i="1"/>
  <c r="C573" i="1"/>
  <c r="D609" i="1"/>
  <c r="C646" i="1"/>
  <c r="D682" i="1"/>
  <c r="C719" i="1"/>
  <c r="D755" i="1"/>
  <c r="D667" i="1"/>
  <c r="D337" i="1"/>
  <c r="D492" i="1"/>
  <c r="C546" i="1"/>
  <c r="D582" i="1"/>
  <c r="C619" i="1"/>
  <c r="D655" i="1"/>
  <c r="C692" i="1"/>
  <c r="C729" i="1"/>
  <c r="D483" i="1"/>
  <c r="D722" i="1"/>
  <c r="C383" i="1"/>
  <c r="C514" i="1"/>
  <c r="D555" i="1"/>
  <c r="C592" i="1"/>
  <c r="C629" i="1"/>
  <c r="D665" i="1"/>
  <c r="C702" i="1"/>
  <c r="D738" i="1"/>
  <c r="D717" i="1"/>
  <c r="D594" i="1"/>
  <c r="C197" i="1"/>
  <c r="C442" i="1"/>
  <c r="C533" i="1"/>
  <c r="C570" i="1"/>
  <c r="D606" i="1"/>
  <c r="C643" i="1"/>
  <c r="D679" i="1"/>
  <c r="C716" i="1"/>
  <c r="C740" i="1"/>
  <c r="C631" i="1"/>
  <c r="D314" i="1"/>
  <c r="C479" i="1"/>
  <c r="C543" i="1"/>
  <c r="D579" i="1"/>
  <c r="C616" i="1"/>
  <c r="C653" i="1"/>
  <c r="D689" i="1"/>
  <c r="C726" i="1"/>
  <c r="D133" i="1"/>
  <c r="D428" i="1"/>
  <c r="C529" i="1"/>
  <c r="D566" i="1"/>
  <c r="C603" i="1"/>
  <c r="D639" i="1"/>
  <c r="C676" i="1"/>
  <c r="C713" i="1"/>
  <c r="C549" i="1"/>
  <c r="C126" i="1"/>
  <c r="C254" i="1"/>
  <c r="D46" i="1"/>
  <c r="D174" i="1"/>
  <c r="C151" i="1"/>
  <c r="C279" i="1"/>
  <c r="D71" i="1"/>
  <c r="D199" i="1"/>
  <c r="C172" i="1"/>
  <c r="C300" i="1"/>
  <c r="C428" i="1"/>
  <c r="D48" i="1"/>
  <c r="D176" i="1"/>
  <c r="D307" i="1"/>
  <c r="D141" i="1"/>
  <c r="D426" i="1"/>
  <c r="C145" i="1"/>
  <c r="C427" i="1"/>
  <c r="D584" i="1"/>
  <c r="C682" i="1"/>
  <c r="D577" i="1"/>
  <c r="D681" i="1"/>
  <c r="C697" i="1"/>
  <c r="C560" i="1"/>
  <c r="C261" i="1"/>
  <c r="C684" i="1"/>
  <c r="D547" i="1"/>
  <c r="C213" i="1"/>
  <c r="C722" i="1"/>
  <c r="C158" i="1"/>
  <c r="C286" i="1"/>
  <c r="D78" i="1"/>
  <c r="D206" i="1"/>
  <c r="C55" i="1"/>
  <c r="C183" i="1"/>
  <c r="C311" i="1"/>
  <c r="D103" i="1"/>
  <c r="D231" i="1"/>
  <c r="C76" i="1"/>
  <c r="C204" i="1"/>
  <c r="C332" i="1"/>
  <c r="C460" i="1"/>
  <c r="D80" i="1"/>
  <c r="D208" i="1"/>
  <c r="D336" i="1"/>
  <c r="D365" i="1"/>
  <c r="D41" i="1"/>
  <c r="C398" i="1"/>
  <c r="C141" i="1"/>
  <c r="C426" i="1"/>
  <c r="D269" i="1"/>
  <c r="C463" i="1"/>
  <c r="C273" i="1"/>
  <c r="D463" i="1"/>
  <c r="C345" i="1"/>
  <c r="D459" i="1"/>
  <c r="D532" i="1"/>
  <c r="D596" i="1"/>
  <c r="D660" i="1"/>
  <c r="D724" i="1"/>
  <c r="C149" i="1"/>
  <c r="D517" i="1"/>
  <c r="D581" i="1"/>
  <c r="C641" i="1"/>
  <c r="C691" i="1"/>
  <c r="D741" i="1"/>
  <c r="C663" i="1"/>
  <c r="D360" i="1"/>
  <c r="C506" i="1"/>
  <c r="C550" i="1"/>
  <c r="D586" i="1"/>
  <c r="C623" i="1"/>
  <c r="D659" i="1"/>
  <c r="C696" i="1"/>
  <c r="C733" i="1"/>
  <c r="C511" i="1"/>
  <c r="C736" i="1"/>
  <c r="C401" i="1"/>
  <c r="D519" i="1"/>
  <c r="D559" i="1"/>
  <c r="C596" i="1"/>
  <c r="C633" i="1"/>
  <c r="D669" i="1"/>
  <c r="C706" i="1"/>
  <c r="D742" i="1"/>
  <c r="C590" i="1"/>
  <c r="D181" i="1"/>
  <c r="C438" i="1"/>
  <c r="C532" i="1"/>
  <c r="D569" i="1"/>
  <c r="C606" i="1"/>
  <c r="D642" i="1"/>
  <c r="C679" i="1"/>
  <c r="D715" i="1"/>
  <c r="C752" i="1"/>
  <c r="D149" i="1"/>
  <c r="C677" i="1"/>
  <c r="D345" i="1"/>
  <c r="C497" i="1"/>
  <c r="C547" i="1"/>
  <c r="D583" i="1"/>
  <c r="C620" i="1"/>
  <c r="C657" i="1"/>
  <c r="D693" i="1"/>
  <c r="C730" i="1"/>
  <c r="D465" i="1"/>
  <c r="C718" i="1"/>
  <c r="D387" i="1"/>
  <c r="D515" i="1"/>
  <c r="C557" i="1"/>
  <c r="D593" i="1"/>
  <c r="C630" i="1"/>
  <c r="D666" i="1"/>
  <c r="C703" i="1"/>
  <c r="D739" i="1"/>
  <c r="D321" i="1"/>
  <c r="C483" i="1"/>
  <c r="D543" i="1"/>
  <c r="C580" i="1"/>
  <c r="C617" i="1"/>
  <c r="D653" i="1"/>
  <c r="C690" i="1"/>
  <c r="C745" i="1"/>
  <c r="D626" i="1"/>
  <c r="C574" i="1"/>
  <c r="D683" i="1"/>
  <c r="C757" i="1"/>
  <c r="C704" i="1"/>
  <c r="D508" i="1"/>
  <c r="C588" i="1"/>
  <c r="D661" i="1"/>
  <c r="C739" i="1"/>
  <c r="C750" i="1"/>
  <c r="D521" i="1"/>
  <c r="C598" i="1"/>
  <c r="C671" i="1"/>
  <c r="C744" i="1"/>
  <c r="D501" i="1"/>
  <c r="C585" i="1"/>
  <c r="C658" i="1"/>
  <c r="D758" i="1"/>
  <c r="D671" i="1"/>
  <c r="D304" i="1"/>
  <c r="D712" i="1"/>
  <c r="D727" i="1"/>
  <c r="C614" i="1"/>
  <c r="D364" i="1"/>
  <c r="C660" i="1"/>
  <c r="D520" i="1"/>
  <c r="C743" i="1"/>
  <c r="C611" i="1"/>
  <c r="D346" i="1"/>
  <c r="D730" i="1"/>
  <c r="C644" i="1"/>
  <c r="C178" i="1"/>
  <c r="C306" i="1"/>
  <c r="D98" i="1"/>
  <c r="D226" i="1"/>
  <c r="C75" i="1"/>
  <c r="C203" i="1"/>
  <c r="C331" i="1"/>
  <c r="D123" i="1"/>
  <c r="D251" i="1"/>
  <c r="C96" i="1"/>
  <c r="C224" i="1"/>
  <c r="C352" i="1"/>
  <c r="C480" i="1"/>
  <c r="D100" i="1"/>
  <c r="D228" i="1"/>
  <c r="D356" i="1"/>
  <c r="D388" i="1"/>
  <c r="D121" i="1"/>
  <c r="C421" i="1"/>
  <c r="C221" i="1"/>
  <c r="C449" i="1"/>
  <c r="D326" i="1"/>
  <c r="C486" i="1"/>
  <c r="D327" i="1"/>
  <c r="D486" i="1"/>
  <c r="C373" i="1"/>
  <c r="C469" i="1"/>
  <c r="D540" i="1"/>
  <c r="D604" i="1"/>
  <c r="D668" i="1"/>
  <c r="D732" i="1"/>
  <c r="C165" i="1"/>
  <c r="C530" i="1"/>
  <c r="D590" i="1"/>
  <c r="C650" i="1"/>
  <c r="C700" i="1"/>
  <c r="D750" i="1"/>
  <c r="C695" i="1"/>
  <c r="D378" i="1"/>
  <c r="D512" i="1"/>
  <c r="D554" i="1"/>
  <c r="C591" i="1"/>
  <c r="D627" i="1"/>
  <c r="C664" i="1"/>
  <c r="C701" i="1"/>
  <c r="D737" i="1"/>
  <c r="C544" i="1"/>
  <c r="D69" i="1"/>
  <c r="C419" i="1"/>
  <c r="D525" i="1"/>
  <c r="C564" i="1"/>
  <c r="C601" i="1"/>
  <c r="D637" i="1"/>
  <c r="C674" i="1"/>
  <c r="D710" i="1"/>
  <c r="C747" i="1"/>
  <c r="D617" i="1"/>
  <c r="D245" i="1"/>
  <c r="D456" i="1"/>
  <c r="D537" i="1"/>
  <c r="D610" i="1"/>
  <c r="C647" i="1"/>
  <c r="C720" i="1"/>
  <c r="D392" i="1"/>
  <c r="C369" i="1"/>
  <c r="D551" i="1"/>
  <c r="C625" i="1"/>
  <c r="C698" i="1"/>
  <c r="D529" i="1"/>
  <c r="C406" i="1"/>
  <c r="D561" i="1"/>
  <c r="D634" i="1"/>
  <c r="D707" i="1"/>
  <c r="D353" i="1"/>
  <c r="C548" i="1"/>
  <c r="D621" i="1"/>
  <c r="D694" i="1"/>
  <c r="D658" i="1"/>
  <c r="C517" i="1"/>
  <c r="D361" i="1"/>
  <c r="D648" i="1"/>
  <c r="C627" i="1"/>
  <c r="C470" i="1"/>
  <c r="D723" i="1"/>
  <c r="C587" i="1"/>
  <c r="D745" i="1"/>
  <c r="C670" i="1"/>
  <c r="D460" i="1"/>
  <c r="C721" i="1"/>
  <c r="C584" i="1"/>
  <c r="D446" i="1"/>
  <c r="C681" i="1"/>
  <c r="C146" i="1"/>
  <c r="D219" i="1"/>
  <c r="D347" i="1"/>
  <c r="C450" i="1"/>
  <c r="D511" i="1"/>
  <c r="D545" i="1"/>
  <c r="D382" i="1"/>
  <c r="D562" i="1"/>
  <c r="C711" i="1"/>
  <c r="D615" i="1"/>
  <c r="C552" i="1"/>
  <c r="C539" i="1"/>
  <c r="D369" i="1"/>
  <c r="D488" i="1"/>
  <c r="D509" i="1"/>
  <c r="C274" i="1"/>
  <c r="C64" i="1"/>
  <c r="C498" i="1"/>
  <c r="C321" i="1"/>
  <c r="C577" i="1"/>
  <c r="C582" i="1"/>
  <c r="C513" i="1"/>
  <c r="D85" i="1"/>
  <c r="D747" i="1"/>
  <c r="C652" i="1"/>
  <c r="C589" i="1"/>
  <c r="D575" i="1"/>
  <c r="C649" i="1"/>
  <c r="D91" i="1"/>
  <c r="C579" i="1"/>
  <c r="D66" i="1"/>
  <c r="C192" i="1"/>
  <c r="D384" i="1"/>
  <c r="C455" i="1"/>
  <c r="D631" i="1"/>
  <c r="D618" i="1"/>
  <c r="C555" i="1"/>
  <c r="D419" i="1"/>
  <c r="D749" i="1"/>
  <c r="C689" i="1"/>
  <c r="D625" i="1"/>
  <c r="C612" i="1"/>
  <c r="C662" i="1"/>
  <c r="C277" i="1"/>
  <c r="C133" i="1"/>
  <c r="D194" i="1"/>
  <c r="C320" i="1"/>
  <c r="C93" i="1"/>
  <c r="D528" i="1"/>
  <c r="D686" i="1"/>
  <c r="C655" i="1"/>
  <c r="D591" i="1"/>
  <c r="C526" i="1"/>
  <c r="D649" i="1"/>
  <c r="D725" i="1"/>
  <c r="C599" i="1"/>
  <c r="C738" i="1"/>
  <c r="C448" i="1"/>
  <c r="D412" i="1"/>
  <c r="D592" i="1"/>
  <c r="C737" i="1"/>
  <c r="D691" i="1"/>
  <c r="C628" i="1"/>
  <c r="C565" i="1"/>
  <c r="D313" i="1"/>
  <c r="D213" i="1"/>
  <c r="D698" i="1"/>
  <c r="D685" i="1"/>
  <c r="C686" i="1"/>
  <c r="C731" i="1"/>
  <c r="C225" i="1"/>
  <c r="C171" i="1"/>
  <c r="D68" i="1"/>
  <c r="D221" i="1"/>
  <c r="D656" i="1"/>
  <c r="D635" i="1"/>
  <c r="C728" i="1"/>
  <c r="C665" i="1"/>
  <c r="D601" i="1"/>
  <c r="D478" i="1"/>
  <c r="C735" i="1"/>
  <c r="D324" i="1"/>
  <c r="D674" i="1"/>
  <c r="C299" i="1"/>
  <c r="D196" i="1"/>
  <c r="D449" i="1"/>
  <c r="D720" i="1"/>
  <c r="D330" i="1"/>
  <c r="D410" i="1"/>
  <c r="D701" i="1"/>
  <c r="C638" i="1"/>
  <c r="D542" i="1"/>
  <c r="C709" i="1"/>
  <c r="C465" i="1"/>
  <c r="C627" i="4" l="1"/>
  <c r="C759" i="4"/>
  <c r="D705" i="4"/>
  <c r="C679" i="4"/>
  <c r="D667" i="4"/>
  <c r="C645" i="4"/>
  <c r="C638" i="4"/>
  <c r="C630" i="4"/>
  <c r="C538" i="4"/>
  <c r="C751" i="4"/>
  <c r="C732" i="4"/>
  <c r="D712" i="4"/>
  <c r="C684" i="4"/>
  <c r="D479" i="4"/>
  <c r="C742" i="4"/>
  <c r="D737" i="4"/>
  <c r="C719" i="4"/>
  <c r="C705" i="4"/>
  <c r="D699" i="4"/>
  <c r="C689" i="4"/>
  <c r="D683" i="4"/>
  <c r="D659" i="4"/>
  <c r="D652" i="4"/>
  <c r="D644" i="4"/>
  <c r="C614" i="4"/>
  <c r="C757" i="4"/>
  <c r="D742" i="4"/>
  <c r="C735" i="4"/>
  <c r="D700" i="4"/>
  <c r="C673" i="4"/>
  <c r="D756" i="4"/>
  <c r="D754" i="4"/>
  <c r="D748" i="4"/>
  <c r="D746" i="4"/>
  <c r="D739" i="4"/>
  <c r="C737" i="4"/>
  <c r="D734" i="4"/>
  <c r="D731" i="4"/>
  <c r="D728" i="4"/>
  <c r="D725" i="4"/>
  <c r="C722" i="4"/>
  <c r="D704" i="4"/>
  <c r="D693" i="4"/>
  <c r="C683" i="4"/>
  <c r="D677" i="4"/>
  <c r="D658" i="4"/>
  <c r="D628" i="4"/>
  <c r="C611" i="4"/>
  <c r="C559" i="4"/>
  <c r="D531" i="4"/>
  <c r="D760" i="4"/>
  <c r="D752" i="4"/>
  <c r="C744" i="4"/>
  <c r="C734" i="4"/>
  <c r="C728" i="4"/>
  <c r="C693" i="4"/>
  <c r="C682" i="4"/>
  <c r="D665" i="4"/>
  <c r="D642" i="4"/>
  <c r="D635" i="4"/>
  <c r="C756" i="4"/>
  <c r="C754" i="4"/>
  <c r="C748" i="4"/>
  <c r="C741" i="4"/>
  <c r="D736" i="4"/>
  <c r="D730" i="4"/>
  <c r="D727" i="4"/>
  <c r="D724" i="4"/>
  <c r="C721" i="4"/>
  <c r="C714" i="4"/>
  <c r="C707" i="4"/>
  <c r="D703" i="4"/>
  <c r="C687" i="4"/>
  <c r="C681" i="4"/>
  <c r="C676" i="4"/>
  <c r="C641" i="4"/>
  <c r="C625" i="4"/>
  <c r="C579" i="4"/>
  <c r="C413" i="4"/>
  <c r="D758" i="4"/>
  <c r="C750" i="4"/>
  <c r="C739" i="4"/>
  <c r="C731" i="4"/>
  <c r="C437" i="4"/>
  <c r="C760" i="4"/>
  <c r="D743" i="4"/>
  <c r="C736" i="4"/>
  <c r="D733" i="4"/>
  <c r="D717" i="4"/>
  <c r="D710" i="4"/>
  <c r="D697" i="4"/>
  <c r="D691" i="4"/>
  <c r="C686" i="4"/>
  <c r="C675" i="4"/>
  <c r="D655" i="4"/>
  <c r="D602" i="4"/>
  <c r="C381" i="4"/>
  <c r="D759" i="4"/>
  <c r="D753" i="4"/>
  <c r="D751" i="4"/>
  <c r="D745" i="4"/>
  <c r="C738" i="4"/>
  <c r="D720" i="4"/>
  <c r="D706" i="4"/>
  <c r="D685" i="4"/>
  <c r="C680" i="4"/>
  <c r="C647" i="4"/>
  <c r="D639" i="4"/>
  <c r="D632" i="4"/>
  <c r="D572" i="4"/>
  <c r="C335" i="4"/>
  <c r="D757" i="4"/>
  <c r="D755" i="4"/>
  <c r="C753" i="4"/>
  <c r="D749" i="4"/>
  <c r="C747" i="4"/>
  <c r="C745" i="4"/>
  <c r="D740" i="4"/>
  <c r="D726" i="4"/>
  <c r="D723" i="4"/>
  <c r="C720" i="4"/>
  <c r="C706" i="4"/>
  <c r="D701" i="4"/>
  <c r="C690" i="4"/>
  <c r="C685" i="4"/>
  <c r="C661" i="4"/>
  <c r="D646" i="4"/>
  <c r="C631" i="4"/>
  <c r="C251" i="4"/>
  <c r="C749" i="4"/>
  <c r="C746" i="4"/>
  <c r="C743" i="4"/>
  <c r="C740" i="4"/>
  <c r="D738" i="4"/>
  <c r="D735" i="4"/>
  <c r="D732" i="4"/>
  <c r="D729" i="4"/>
  <c r="C718" i="4"/>
  <c r="D714" i="4"/>
  <c r="C711" i="4"/>
  <c r="D709" i="4"/>
  <c r="C704" i="4"/>
  <c r="C702" i="4"/>
  <c r="C696" i="4"/>
  <c r="C694" i="4"/>
  <c r="C688" i="4"/>
  <c r="C662" i="4"/>
  <c r="C659" i="4"/>
  <c r="D650" i="4"/>
  <c r="D636" i="4"/>
  <c r="D630" i="4"/>
  <c r="C622" i="4"/>
  <c r="D619" i="4"/>
  <c r="D616" i="4"/>
  <c r="C605" i="4"/>
  <c r="C602" i="4"/>
  <c r="D599" i="4"/>
  <c r="D592" i="4"/>
  <c r="D568" i="4"/>
  <c r="C558" i="4"/>
  <c r="C555" i="4"/>
  <c r="D548" i="4"/>
  <c r="C534" i="4"/>
  <c r="D527" i="4"/>
  <c r="C514" i="4"/>
  <c r="C507" i="4"/>
  <c r="C471" i="4"/>
  <c r="D452" i="4"/>
  <c r="C411" i="4"/>
  <c r="C758" i="4"/>
  <c r="C755" i="4"/>
  <c r="C752" i="4"/>
  <c r="D750" i="4"/>
  <c r="D747" i="4"/>
  <c r="D744" i="4"/>
  <c r="D741" i="4"/>
  <c r="C729" i="4"/>
  <c r="C726" i="4"/>
  <c r="C723" i="4"/>
  <c r="D721" i="4"/>
  <c r="C716" i="4"/>
  <c r="C709" i="4"/>
  <c r="D707" i="4"/>
  <c r="D679" i="4"/>
  <c r="D675" i="4"/>
  <c r="D673" i="4"/>
  <c r="D671" i="4"/>
  <c r="D669" i="4"/>
  <c r="C667" i="4"/>
  <c r="D664" i="4"/>
  <c r="C653" i="4"/>
  <c r="C650" i="4"/>
  <c r="C639" i="4"/>
  <c r="D627" i="4"/>
  <c r="C613" i="4"/>
  <c r="D610" i="4"/>
  <c r="D607" i="4"/>
  <c r="D595" i="4"/>
  <c r="C551" i="4"/>
  <c r="D547" i="4"/>
  <c r="D544" i="4"/>
  <c r="D523" i="4"/>
  <c r="C510" i="4"/>
  <c r="D503" i="4"/>
  <c r="D496" i="4"/>
  <c r="C469" i="4"/>
  <c r="D408" i="4"/>
  <c r="C234" i="4"/>
  <c r="D618" i="4"/>
  <c r="D604" i="4"/>
  <c r="C598" i="4"/>
  <c r="D591" i="4"/>
  <c r="C578" i="4"/>
  <c r="C571" i="4"/>
  <c r="C547" i="4"/>
  <c r="D540" i="4"/>
  <c r="C527" i="4"/>
  <c r="C506" i="4"/>
  <c r="D499" i="4"/>
  <c r="C466" i="4"/>
  <c r="D449" i="4"/>
  <c r="C401" i="4"/>
  <c r="D225" i="4"/>
  <c r="C621" i="4"/>
  <c r="C618" i="4"/>
  <c r="C607" i="4"/>
  <c r="D587" i="4"/>
  <c r="C574" i="4"/>
  <c r="D567" i="4"/>
  <c r="D560" i="4"/>
  <c r="D536" i="4"/>
  <c r="C526" i="4"/>
  <c r="C523" i="4"/>
  <c r="D516" i="4"/>
  <c r="C502" i="4"/>
  <c r="D495" i="4"/>
  <c r="C482" i="4"/>
  <c r="D193" i="4"/>
  <c r="C733" i="4"/>
  <c r="C730" i="4"/>
  <c r="C727" i="4"/>
  <c r="C724" i="4"/>
  <c r="C717" i="4"/>
  <c r="D715" i="4"/>
  <c r="C712" i="4"/>
  <c r="C710" i="4"/>
  <c r="D708" i="4"/>
  <c r="C699" i="4"/>
  <c r="C697" i="4"/>
  <c r="C691" i="4"/>
  <c r="D670" i="4"/>
  <c r="C655" i="4"/>
  <c r="D643" i="4"/>
  <c r="C629" i="4"/>
  <c r="D626" i="4"/>
  <c r="D623" i="4"/>
  <c r="C615" i="4"/>
  <c r="D612" i="4"/>
  <c r="C609" i="4"/>
  <c r="C591" i="4"/>
  <c r="C570" i="4"/>
  <c r="D563" i="4"/>
  <c r="C519" i="4"/>
  <c r="D515" i="4"/>
  <c r="D512" i="4"/>
  <c r="D491" i="4"/>
  <c r="C463" i="4"/>
  <c r="C394" i="4"/>
  <c r="C351" i="4"/>
  <c r="C170" i="4"/>
  <c r="D682" i="4"/>
  <c r="D678" i="4"/>
  <c r="D676" i="4"/>
  <c r="D674" i="4"/>
  <c r="D672" i="4"/>
  <c r="D668" i="4"/>
  <c r="C663" i="4"/>
  <c r="D660" i="4"/>
  <c r="C657" i="4"/>
  <c r="C646" i="4"/>
  <c r="C643" i="4"/>
  <c r="D634" i="4"/>
  <c r="D620" i="4"/>
  <c r="D614" i="4"/>
  <c r="C606" i="4"/>
  <c r="D603" i="4"/>
  <c r="D600" i="4"/>
  <c r="C590" i="4"/>
  <c r="C587" i="4"/>
  <c r="D580" i="4"/>
  <c r="C566" i="4"/>
  <c r="D559" i="4"/>
  <c r="C546" i="4"/>
  <c r="C539" i="4"/>
  <c r="C515" i="4"/>
  <c r="D508" i="4"/>
  <c r="C495" i="4"/>
  <c r="C343" i="4"/>
  <c r="D288" i="4"/>
  <c r="D153" i="4"/>
  <c r="C725" i="4"/>
  <c r="D718" i="4"/>
  <c r="C715" i="4"/>
  <c r="C713" i="4"/>
  <c r="D711" i="4"/>
  <c r="C708" i="4"/>
  <c r="D702" i="4"/>
  <c r="D696" i="4"/>
  <c r="D694" i="4"/>
  <c r="D688" i="4"/>
  <c r="D686" i="4"/>
  <c r="D680" i="4"/>
  <c r="C678" i="4"/>
  <c r="C672" i="4"/>
  <c r="C670" i="4"/>
  <c r="D662" i="4"/>
  <c r="C654" i="4"/>
  <c r="D651" i="4"/>
  <c r="D648" i="4"/>
  <c r="C637" i="4"/>
  <c r="C634" i="4"/>
  <c r="C623" i="4"/>
  <c r="D611" i="4"/>
  <c r="C583" i="4"/>
  <c r="D579" i="4"/>
  <c r="D576" i="4"/>
  <c r="D555" i="4"/>
  <c r="C542" i="4"/>
  <c r="D535" i="4"/>
  <c r="D528" i="4"/>
  <c r="D504" i="4"/>
  <c r="C494" i="4"/>
  <c r="C491" i="4"/>
  <c r="C269" i="4"/>
  <c r="C665" i="4"/>
  <c r="D663" i="4"/>
  <c r="C658" i="4"/>
  <c r="D656" i="4"/>
  <c r="D654" i="4"/>
  <c r="C651" i="4"/>
  <c r="C649" i="4"/>
  <c r="D647" i="4"/>
  <c r="C642" i="4"/>
  <c r="D640" i="4"/>
  <c r="D638" i="4"/>
  <c r="C635" i="4"/>
  <c r="C633" i="4"/>
  <c r="D631" i="4"/>
  <c r="C626" i="4"/>
  <c r="D624" i="4"/>
  <c r="D622" i="4"/>
  <c r="C619" i="4"/>
  <c r="C617" i="4"/>
  <c r="D615" i="4"/>
  <c r="C610" i="4"/>
  <c r="D608" i="4"/>
  <c r="D606" i="4"/>
  <c r="C603" i="4"/>
  <c r="C601" i="4"/>
  <c r="C595" i="4"/>
  <c r="D584" i="4"/>
  <c r="C582" i="4"/>
  <c r="D571" i="4"/>
  <c r="C563" i="4"/>
  <c r="D552" i="4"/>
  <c r="C550" i="4"/>
  <c r="D539" i="4"/>
  <c r="C531" i="4"/>
  <c r="D520" i="4"/>
  <c r="C518" i="4"/>
  <c r="D507" i="4"/>
  <c r="C499" i="4"/>
  <c r="D487" i="4"/>
  <c r="C460" i="4"/>
  <c r="C406" i="4"/>
  <c r="D359" i="4"/>
  <c r="C703" i="4"/>
  <c r="C700" i="4"/>
  <c r="D698" i="4"/>
  <c r="D695" i="4"/>
  <c r="D692" i="4"/>
  <c r="D689" i="4"/>
  <c r="C677" i="4"/>
  <c r="C674" i="4"/>
  <c r="C671" i="4"/>
  <c r="C668" i="4"/>
  <c r="D666" i="4"/>
  <c r="C599" i="4"/>
  <c r="D588" i="4"/>
  <c r="C586" i="4"/>
  <c r="D575" i="4"/>
  <c r="C567" i="4"/>
  <c r="D556" i="4"/>
  <c r="C554" i="4"/>
  <c r="D543" i="4"/>
  <c r="C535" i="4"/>
  <c r="D524" i="4"/>
  <c r="C522" i="4"/>
  <c r="D511" i="4"/>
  <c r="C503" i="4"/>
  <c r="D492" i="4"/>
  <c r="C490" i="4"/>
  <c r="D483" i="4"/>
  <c r="D458" i="4"/>
  <c r="C434" i="4"/>
  <c r="D321" i="4"/>
  <c r="C276" i="4"/>
  <c r="D205" i="4"/>
  <c r="D722" i="4"/>
  <c r="D719" i="4"/>
  <c r="D716" i="4"/>
  <c r="D713" i="4"/>
  <c r="C701" i="4"/>
  <c r="C698" i="4"/>
  <c r="C695" i="4"/>
  <c r="C692" i="4"/>
  <c r="D690" i="4"/>
  <c r="D687" i="4"/>
  <c r="D684" i="4"/>
  <c r="D681" i="4"/>
  <c r="C669" i="4"/>
  <c r="C666" i="4"/>
  <c r="D596" i="4"/>
  <c r="C594" i="4"/>
  <c r="D583" i="4"/>
  <c r="C575" i="4"/>
  <c r="D564" i="4"/>
  <c r="C562" i="4"/>
  <c r="D551" i="4"/>
  <c r="C543" i="4"/>
  <c r="D532" i="4"/>
  <c r="C530" i="4"/>
  <c r="D519" i="4"/>
  <c r="C511" i="4"/>
  <c r="D500" i="4"/>
  <c r="C498" i="4"/>
  <c r="C486" i="4"/>
  <c r="D455" i="4"/>
  <c r="C431" i="4"/>
  <c r="C399" i="4"/>
  <c r="C260" i="4"/>
  <c r="C182" i="4"/>
  <c r="C96" i="4"/>
  <c r="C664" i="4"/>
  <c r="D661" i="4"/>
  <c r="C660" i="4"/>
  <c r="D657" i="4"/>
  <c r="C656" i="4"/>
  <c r="D653" i="4"/>
  <c r="C652" i="4"/>
  <c r="D649" i="4"/>
  <c r="C648" i="4"/>
  <c r="D645" i="4"/>
  <c r="C644" i="4"/>
  <c r="D641" i="4"/>
  <c r="C640" i="4"/>
  <c r="D637" i="4"/>
  <c r="C636" i="4"/>
  <c r="D633" i="4"/>
  <c r="C632" i="4"/>
  <c r="D629" i="4"/>
  <c r="C628" i="4"/>
  <c r="D625" i="4"/>
  <c r="C624" i="4"/>
  <c r="D621" i="4"/>
  <c r="C620" i="4"/>
  <c r="D617" i="4"/>
  <c r="C616" i="4"/>
  <c r="D613" i="4"/>
  <c r="C612" i="4"/>
  <c r="D609" i="4"/>
  <c r="C608" i="4"/>
  <c r="D605" i="4"/>
  <c r="C604" i="4"/>
  <c r="D601" i="4"/>
  <c r="C600" i="4"/>
  <c r="D597" i="4"/>
  <c r="C596" i="4"/>
  <c r="D593" i="4"/>
  <c r="C592" i="4"/>
  <c r="D589" i="4"/>
  <c r="C588" i="4"/>
  <c r="D585" i="4"/>
  <c r="C584" i="4"/>
  <c r="D581" i="4"/>
  <c r="C580" i="4"/>
  <c r="D577" i="4"/>
  <c r="C576" i="4"/>
  <c r="D573" i="4"/>
  <c r="C572" i="4"/>
  <c r="D569" i="4"/>
  <c r="C568" i="4"/>
  <c r="D565" i="4"/>
  <c r="C564" i="4"/>
  <c r="D561" i="4"/>
  <c r="C560" i="4"/>
  <c r="D557" i="4"/>
  <c r="C556" i="4"/>
  <c r="D553" i="4"/>
  <c r="C552" i="4"/>
  <c r="D549" i="4"/>
  <c r="C548" i="4"/>
  <c r="D545" i="4"/>
  <c r="C544" i="4"/>
  <c r="D541" i="4"/>
  <c r="C540" i="4"/>
  <c r="D537" i="4"/>
  <c r="C536" i="4"/>
  <c r="D533" i="4"/>
  <c r="C532" i="4"/>
  <c r="D529" i="4"/>
  <c r="C528" i="4"/>
  <c r="D525" i="4"/>
  <c r="C524" i="4"/>
  <c r="D521" i="4"/>
  <c r="C520" i="4"/>
  <c r="D517" i="4"/>
  <c r="C516" i="4"/>
  <c r="D513" i="4"/>
  <c r="C512" i="4"/>
  <c r="D509" i="4"/>
  <c r="C508" i="4"/>
  <c r="D505" i="4"/>
  <c r="C504" i="4"/>
  <c r="D501" i="4"/>
  <c r="C500" i="4"/>
  <c r="D497" i="4"/>
  <c r="C496" i="4"/>
  <c r="D493" i="4"/>
  <c r="C492" i="4"/>
  <c r="D489" i="4"/>
  <c r="C488" i="4"/>
  <c r="D485" i="4"/>
  <c r="C484" i="4"/>
  <c r="D481" i="4"/>
  <c r="C480" i="4"/>
  <c r="D477" i="4"/>
  <c r="C476" i="4"/>
  <c r="D473" i="4"/>
  <c r="C472" i="4"/>
  <c r="D470" i="4"/>
  <c r="D467" i="4"/>
  <c r="D464" i="4"/>
  <c r="D461" i="4"/>
  <c r="C449" i="4"/>
  <c r="C446" i="4"/>
  <c r="C443" i="4"/>
  <c r="C440" i="4"/>
  <c r="D438" i="4"/>
  <c r="D435" i="4"/>
  <c r="D432" i="4"/>
  <c r="C429" i="4"/>
  <c r="D427" i="4"/>
  <c r="C422" i="4"/>
  <c r="D420" i="4"/>
  <c r="D418" i="4"/>
  <c r="C415" i="4"/>
  <c r="D410" i="4"/>
  <c r="D403" i="4"/>
  <c r="D396" i="4"/>
  <c r="C389" i="4"/>
  <c r="D386" i="4"/>
  <c r="D383" i="4"/>
  <c r="C374" i="4"/>
  <c r="D370" i="4"/>
  <c r="C367" i="4"/>
  <c r="C363" i="4"/>
  <c r="C355" i="4"/>
  <c r="D334" i="4"/>
  <c r="C316" i="4"/>
  <c r="C311" i="4"/>
  <c r="C282" i="4"/>
  <c r="C268" i="4"/>
  <c r="C259" i="4"/>
  <c r="C242" i="4"/>
  <c r="D169" i="4"/>
  <c r="C461" i="4"/>
  <c r="C458" i="4"/>
  <c r="C455" i="4"/>
  <c r="C452" i="4"/>
  <c r="D450" i="4"/>
  <c r="D447" i="4"/>
  <c r="D444" i="4"/>
  <c r="D441" i="4"/>
  <c r="C410" i="4"/>
  <c r="C403" i="4"/>
  <c r="D398" i="4"/>
  <c r="D391" i="4"/>
  <c r="D380" i="4"/>
  <c r="C373" i="4"/>
  <c r="C366" i="4"/>
  <c r="C358" i="4"/>
  <c r="C304" i="4"/>
  <c r="D280" i="4"/>
  <c r="C248" i="4"/>
  <c r="D231" i="4"/>
  <c r="C223" i="4"/>
  <c r="C166" i="4"/>
  <c r="D598" i="4"/>
  <c r="C597" i="4"/>
  <c r="D594" i="4"/>
  <c r="C593" i="4"/>
  <c r="D590" i="4"/>
  <c r="C589" i="4"/>
  <c r="D586" i="4"/>
  <c r="C585" i="4"/>
  <c r="D582" i="4"/>
  <c r="C581" i="4"/>
  <c r="D578" i="4"/>
  <c r="C577" i="4"/>
  <c r="D574" i="4"/>
  <c r="C573" i="4"/>
  <c r="D570" i="4"/>
  <c r="C569" i="4"/>
  <c r="D566" i="4"/>
  <c r="C565" i="4"/>
  <c r="D562" i="4"/>
  <c r="C561" i="4"/>
  <c r="D558" i="4"/>
  <c r="C557" i="4"/>
  <c r="D554" i="4"/>
  <c r="C553" i="4"/>
  <c r="D550" i="4"/>
  <c r="C549" i="4"/>
  <c r="D546" i="4"/>
  <c r="C545" i="4"/>
  <c r="D542" i="4"/>
  <c r="C541" i="4"/>
  <c r="D538" i="4"/>
  <c r="C537" i="4"/>
  <c r="D534" i="4"/>
  <c r="C533" i="4"/>
  <c r="D530" i="4"/>
  <c r="C529" i="4"/>
  <c r="D526" i="4"/>
  <c r="C525" i="4"/>
  <c r="D522" i="4"/>
  <c r="C521" i="4"/>
  <c r="D518" i="4"/>
  <c r="C517" i="4"/>
  <c r="D514" i="4"/>
  <c r="C513" i="4"/>
  <c r="D510" i="4"/>
  <c r="C509" i="4"/>
  <c r="D506" i="4"/>
  <c r="C505" i="4"/>
  <c r="D502" i="4"/>
  <c r="C501" i="4"/>
  <c r="D498" i="4"/>
  <c r="C497" i="4"/>
  <c r="D494" i="4"/>
  <c r="C493" i="4"/>
  <c r="D490" i="4"/>
  <c r="C489" i="4"/>
  <c r="D486" i="4"/>
  <c r="C485" i="4"/>
  <c r="D482" i="4"/>
  <c r="C481" i="4"/>
  <c r="D478" i="4"/>
  <c r="C477" i="4"/>
  <c r="D474" i="4"/>
  <c r="C473" i="4"/>
  <c r="C470" i="4"/>
  <c r="C467" i="4"/>
  <c r="C464" i="4"/>
  <c r="D462" i="4"/>
  <c r="D459" i="4"/>
  <c r="D456" i="4"/>
  <c r="D453" i="4"/>
  <c r="C441" i="4"/>
  <c r="C438" i="4"/>
  <c r="C435" i="4"/>
  <c r="C432" i="4"/>
  <c r="D430" i="4"/>
  <c r="C427" i="4"/>
  <c r="C425" i="4"/>
  <c r="D423" i="4"/>
  <c r="C418" i="4"/>
  <c r="D416" i="4"/>
  <c r="D414" i="4"/>
  <c r="D412" i="4"/>
  <c r="C405" i="4"/>
  <c r="C398" i="4"/>
  <c r="C391" i="4"/>
  <c r="C383" i="4"/>
  <c r="D376" i="4"/>
  <c r="C369" i="4"/>
  <c r="D357" i="4"/>
  <c r="D349" i="4"/>
  <c r="C345" i="4"/>
  <c r="D341" i="4"/>
  <c r="C337" i="4"/>
  <c r="C319" i="4"/>
  <c r="D297" i="4"/>
  <c r="C286" i="4"/>
  <c r="C239" i="4"/>
  <c r="D221" i="4"/>
  <c r="C189" i="4"/>
  <c r="C118" i="4"/>
  <c r="D471" i="4"/>
  <c r="D468" i="4"/>
  <c r="D465" i="4"/>
  <c r="C453" i="4"/>
  <c r="C450" i="4"/>
  <c r="C447" i="4"/>
  <c r="C444" i="4"/>
  <c r="D442" i="4"/>
  <c r="D439" i="4"/>
  <c r="D436" i="4"/>
  <c r="D433" i="4"/>
  <c r="D407" i="4"/>
  <c r="D402" i="4"/>
  <c r="D400" i="4"/>
  <c r="D395" i="4"/>
  <c r="C393" i="4"/>
  <c r="D390" i="4"/>
  <c r="D388" i="4"/>
  <c r="C385" i="4"/>
  <c r="D361" i="4"/>
  <c r="C357" i="4"/>
  <c r="D353" i="4"/>
  <c r="C349" i="4"/>
  <c r="C341" i="4"/>
  <c r="D328" i="4"/>
  <c r="C314" i="4"/>
  <c r="D291" i="4"/>
  <c r="C272" i="4"/>
  <c r="D264" i="4"/>
  <c r="D247" i="4"/>
  <c r="D229" i="4"/>
  <c r="C188" i="4"/>
  <c r="D175" i="4"/>
  <c r="C141" i="4"/>
  <c r="C478" i="4"/>
  <c r="D475" i="4"/>
  <c r="C474" i="4"/>
  <c r="C465" i="4"/>
  <c r="C462" i="4"/>
  <c r="C459" i="4"/>
  <c r="C456" i="4"/>
  <c r="D454" i="4"/>
  <c r="D451" i="4"/>
  <c r="D448" i="4"/>
  <c r="D445" i="4"/>
  <c r="C433" i="4"/>
  <c r="C430" i="4"/>
  <c r="D428" i="4"/>
  <c r="D426" i="4"/>
  <c r="C423" i="4"/>
  <c r="C421" i="4"/>
  <c r="D419" i="4"/>
  <c r="C414" i="4"/>
  <c r="C407" i="4"/>
  <c r="C382" i="4"/>
  <c r="D379" i="4"/>
  <c r="D372" i="4"/>
  <c r="C361" i="4"/>
  <c r="D323" i="4"/>
  <c r="C308" i="4"/>
  <c r="D285" i="4"/>
  <c r="C264" i="4"/>
  <c r="D255" i="4"/>
  <c r="D237" i="4"/>
  <c r="C229" i="4"/>
  <c r="C212" i="4"/>
  <c r="D186" i="4"/>
  <c r="C468" i="4"/>
  <c r="D466" i="4"/>
  <c r="D463" i="4"/>
  <c r="D460" i="4"/>
  <c r="D457" i="4"/>
  <c r="C445" i="4"/>
  <c r="C442" i="4"/>
  <c r="C439" i="4"/>
  <c r="C436" i="4"/>
  <c r="D434" i="4"/>
  <c r="D431" i="4"/>
  <c r="D411" i="4"/>
  <c r="C409" i="4"/>
  <c r="D406" i="4"/>
  <c r="D404" i="4"/>
  <c r="C402" i="4"/>
  <c r="D399" i="4"/>
  <c r="C397" i="4"/>
  <c r="C395" i="4"/>
  <c r="D392" i="4"/>
  <c r="C390" i="4"/>
  <c r="D387" i="4"/>
  <c r="D378" i="4"/>
  <c r="C375" i="4"/>
  <c r="D371" i="4"/>
  <c r="C360" i="4"/>
  <c r="C352" i="4"/>
  <c r="D331" i="4"/>
  <c r="C322" i="4"/>
  <c r="D317" i="4"/>
  <c r="C284" i="4"/>
  <c r="D277" i="4"/>
  <c r="D261" i="4"/>
  <c r="D218" i="4"/>
  <c r="C184" i="4"/>
  <c r="C35" i="4"/>
  <c r="D488" i="4"/>
  <c r="C487" i="4"/>
  <c r="D484" i="4"/>
  <c r="C483" i="4"/>
  <c r="D480" i="4"/>
  <c r="C479" i="4"/>
  <c r="D476" i="4"/>
  <c r="C475" i="4"/>
  <c r="D472" i="4"/>
  <c r="D469" i="4"/>
  <c r="C457" i="4"/>
  <c r="C454" i="4"/>
  <c r="C451" i="4"/>
  <c r="C448" i="4"/>
  <c r="D446" i="4"/>
  <c r="D443" i="4"/>
  <c r="D440" i="4"/>
  <c r="D437" i="4"/>
  <c r="C426" i="4"/>
  <c r="D424" i="4"/>
  <c r="D422" i="4"/>
  <c r="C419" i="4"/>
  <c r="C417" i="4"/>
  <c r="D415" i="4"/>
  <c r="D394" i="4"/>
  <c r="C387" i="4"/>
  <c r="C378" i="4"/>
  <c r="D374" i="4"/>
  <c r="C371" i="4"/>
  <c r="D367" i="4"/>
  <c r="D363" i="4"/>
  <c r="D355" i="4"/>
  <c r="D347" i="4"/>
  <c r="C339" i="4"/>
  <c r="C331" i="4"/>
  <c r="D326" i="4"/>
  <c r="D311" i="4"/>
  <c r="D300" i="4"/>
  <c r="C261" i="4"/>
  <c r="C252" i="4"/>
  <c r="C243" i="4"/>
  <c r="D234" i="4"/>
  <c r="C226" i="4"/>
  <c r="D217" i="4"/>
  <c r="D207" i="4"/>
  <c r="D194" i="4"/>
  <c r="D182" i="4"/>
  <c r="D170" i="4"/>
  <c r="C156" i="4"/>
  <c r="D346" i="4"/>
  <c r="D340" i="4"/>
  <c r="D338" i="4"/>
  <c r="D332" i="4"/>
  <c r="D330" i="4"/>
  <c r="C328" i="4"/>
  <c r="D325" i="4"/>
  <c r="C313" i="4"/>
  <c r="C302" i="4"/>
  <c r="C299" i="4"/>
  <c r="C288" i="4"/>
  <c r="C278" i="4"/>
  <c r="D267" i="4"/>
  <c r="D263" i="4"/>
  <c r="C255" i="4"/>
  <c r="D250" i="4"/>
  <c r="C237" i="4"/>
  <c r="D220" i="4"/>
  <c r="C205" i="4"/>
  <c r="C193" i="4"/>
  <c r="C161" i="4"/>
  <c r="D135" i="4"/>
  <c r="C84" i="4"/>
  <c r="C386" i="4"/>
  <c r="D384" i="4"/>
  <c r="D382" i="4"/>
  <c r="C379" i="4"/>
  <c r="C377" i="4"/>
  <c r="D375" i="4"/>
  <c r="C370" i="4"/>
  <c r="D368" i="4"/>
  <c r="D366" i="4"/>
  <c r="D360" i="4"/>
  <c r="D358" i="4"/>
  <c r="D352" i="4"/>
  <c r="D350" i="4"/>
  <c r="D344" i="4"/>
  <c r="C342" i="4"/>
  <c r="C336" i="4"/>
  <c r="C334" i="4"/>
  <c r="C325" i="4"/>
  <c r="D320" i="4"/>
  <c r="D307" i="4"/>
  <c r="D304" i="4"/>
  <c r="D293" i="4"/>
  <c r="C290" i="4"/>
  <c r="D284" i="4"/>
  <c r="D281" i="4"/>
  <c r="C263" i="4"/>
  <c r="D258" i="4"/>
  <c r="C245" i="4"/>
  <c r="C232" i="4"/>
  <c r="D228" i="4"/>
  <c r="D219" i="4"/>
  <c r="D215" i="4"/>
  <c r="D209" i="4"/>
  <c r="C198" i="4"/>
  <c r="C186" i="4"/>
  <c r="C174" i="4"/>
  <c r="D97" i="4"/>
  <c r="D364" i="4"/>
  <c r="D362" i="4"/>
  <c r="D356" i="4"/>
  <c r="C354" i="4"/>
  <c r="C348" i="4"/>
  <c r="C346" i="4"/>
  <c r="C340" i="4"/>
  <c r="C338" i="4"/>
  <c r="C332" i="4"/>
  <c r="D327" i="4"/>
  <c r="D295" i="4"/>
  <c r="C274" i="4"/>
  <c r="D266" i="4"/>
  <c r="D253" i="4"/>
  <c r="C240" i="4"/>
  <c r="D223" i="4"/>
  <c r="D203" i="4"/>
  <c r="C173" i="4"/>
  <c r="C158" i="4"/>
  <c r="C364" i="4"/>
  <c r="D343" i="4"/>
  <c r="D337" i="4"/>
  <c r="D335" i="4"/>
  <c r="D329" i="4"/>
  <c r="D324" i="4"/>
  <c r="C317" i="4"/>
  <c r="D314" i="4"/>
  <c r="D309" i="4"/>
  <c r="C306" i="4"/>
  <c r="C295" i="4"/>
  <c r="C292" i="4"/>
  <c r="C280" i="4"/>
  <c r="D276" i="4"/>
  <c r="D269" i="4"/>
  <c r="C231" i="4"/>
  <c r="D226" i="4"/>
  <c r="C213" i="4"/>
  <c r="D201" i="4"/>
  <c r="D189" i="4"/>
  <c r="D177" i="4"/>
  <c r="C107" i="4"/>
  <c r="D137" i="4"/>
  <c r="D104" i="4"/>
  <c r="D429" i="4"/>
  <c r="C428" i="4"/>
  <c r="D425" i="4"/>
  <c r="C424" i="4"/>
  <c r="D421" i="4"/>
  <c r="C420" i="4"/>
  <c r="D417" i="4"/>
  <c r="C416" i="4"/>
  <c r="D413" i="4"/>
  <c r="C412" i="4"/>
  <c r="D409" i="4"/>
  <c r="C408" i="4"/>
  <c r="D405" i="4"/>
  <c r="C404" i="4"/>
  <c r="D401" i="4"/>
  <c r="C400" i="4"/>
  <c r="D397" i="4"/>
  <c r="C396" i="4"/>
  <c r="D393" i="4"/>
  <c r="C392" i="4"/>
  <c r="D389" i="4"/>
  <c r="C388" i="4"/>
  <c r="D385" i="4"/>
  <c r="C384" i="4"/>
  <c r="D381" i="4"/>
  <c r="C380" i="4"/>
  <c r="D377" i="4"/>
  <c r="C376" i="4"/>
  <c r="D373" i="4"/>
  <c r="C372" i="4"/>
  <c r="D369" i="4"/>
  <c r="C368" i="4"/>
  <c r="D365" i="4"/>
  <c r="C353" i="4"/>
  <c r="C350" i="4"/>
  <c r="C347" i="4"/>
  <c r="C344" i="4"/>
  <c r="D342" i="4"/>
  <c r="D339" i="4"/>
  <c r="D336" i="4"/>
  <c r="D333" i="4"/>
  <c r="C321" i="4"/>
  <c r="C318" i="4"/>
  <c r="C315" i="4"/>
  <c r="C312" i="4"/>
  <c r="C310" i="4"/>
  <c r="D308" i="4"/>
  <c r="C303" i="4"/>
  <c r="D301" i="4"/>
  <c r="D299" i="4"/>
  <c r="C296" i="4"/>
  <c r="C294" i="4"/>
  <c r="D292" i="4"/>
  <c r="C287" i="4"/>
  <c r="C283" i="4"/>
  <c r="C279" i="4"/>
  <c r="C275" i="4"/>
  <c r="D270" i="4"/>
  <c r="C265" i="4"/>
  <c r="C257" i="4"/>
  <c r="C249" i="4"/>
  <c r="D216" i="4"/>
  <c r="D210" i="4"/>
  <c r="D195" i="4"/>
  <c r="D191" i="4"/>
  <c r="C180" i="4"/>
  <c r="C172" i="4"/>
  <c r="C144" i="4"/>
  <c r="D138" i="4"/>
  <c r="C365" i="4"/>
  <c r="C362" i="4"/>
  <c r="C359" i="4"/>
  <c r="C356" i="4"/>
  <c r="D354" i="4"/>
  <c r="D351" i="4"/>
  <c r="D348" i="4"/>
  <c r="D345" i="4"/>
  <c r="C333" i="4"/>
  <c r="C330" i="4"/>
  <c r="C327" i="4"/>
  <c r="C324" i="4"/>
  <c r="D322" i="4"/>
  <c r="D319" i="4"/>
  <c r="D316" i="4"/>
  <c r="D313" i="4"/>
  <c r="D272" i="4"/>
  <c r="C262" i="4"/>
  <c r="C254" i="4"/>
  <c r="C246" i="4"/>
  <c r="C216" i="4"/>
  <c r="C206" i="4"/>
  <c r="D202" i="4"/>
  <c r="D198" i="4"/>
  <c r="D187" i="4"/>
  <c r="D179" i="4"/>
  <c r="C168" i="4"/>
  <c r="D163" i="4"/>
  <c r="C154" i="4"/>
  <c r="C149" i="4"/>
  <c r="C329" i="4"/>
  <c r="C326" i="4"/>
  <c r="C323" i="4"/>
  <c r="C320" i="4"/>
  <c r="D318" i="4"/>
  <c r="D315" i="4"/>
  <c r="D312" i="4"/>
  <c r="C307" i="4"/>
  <c r="D305" i="4"/>
  <c r="D303" i="4"/>
  <c r="C300" i="4"/>
  <c r="C298" i="4"/>
  <c r="D296" i="4"/>
  <c r="C291" i="4"/>
  <c r="D289" i="4"/>
  <c r="D287" i="4"/>
  <c r="D283" i="4"/>
  <c r="D279" i="4"/>
  <c r="D275" i="4"/>
  <c r="D273" i="4"/>
  <c r="C271" i="4"/>
  <c r="C266" i="4"/>
  <c r="D260" i="4"/>
  <c r="C258" i="4"/>
  <c r="D252" i="4"/>
  <c r="D244" i="4"/>
  <c r="D222" i="4"/>
  <c r="D214" i="4"/>
  <c r="C200" i="4"/>
  <c r="C196" i="4"/>
  <c r="C181" i="4"/>
  <c r="C177" i="4"/>
  <c r="C165" i="4"/>
  <c r="C140" i="4"/>
  <c r="D96" i="4"/>
  <c r="D24" i="4"/>
  <c r="D88" i="4"/>
  <c r="C75" i="4"/>
  <c r="D257" i="4"/>
  <c r="D251" i="4"/>
  <c r="D249" i="4"/>
  <c r="D243" i="4"/>
  <c r="D241" i="4"/>
  <c r="D235" i="4"/>
  <c r="C233" i="4"/>
  <c r="C227" i="4"/>
  <c r="C225" i="4"/>
  <c r="C219" i="4"/>
  <c r="C217" i="4"/>
  <c r="D146" i="4"/>
  <c r="C134" i="4"/>
  <c r="C131" i="4"/>
  <c r="C128" i="4"/>
  <c r="D92" i="4"/>
  <c r="C83" i="4"/>
  <c r="D56" i="4"/>
  <c r="C51" i="4"/>
  <c r="D77" i="4"/>
  <c r="D72" i="4"/>
  <c r="C67" i="4"/>
  <c r="D162" i="4"/>
  <c r="D157" i="4"/>
  <c r="D155" i="4"/>
  <c r="D150" i="4"/>
  <c r="C148" i="4"/>
  <c r="C145" i="4"/>
  <c r="D142" i="4"/>
  <c r="D136" i="4"/>
  <c r="D133" i="4"/>
  <c r="D130" i="4"/>
  <c r="D123" i="4"/>
  <c r="D120" i="4"/>
  <c r="C117" i="4"/>
  <c r="D109" i="4"/>
  <c r="C95" i="4"/>
  <c r="C43" i="4"/>
  <c r="D32" i="4"/>
  <c r="D254" i="4"/>
  <c r="D248" i="4"/>
  <c r="D246" i="4"/>
  <c r="D240" i="4"/>
  <c r="D238" i="4"/>
  <c r="C236" i="4"/>
  <c r="D232" i="4"/>
  <c r="C230" i="4"/>
  <c r="C228" i="4"/>
  <c r="C222" i="4"/>
  <c r="C220" i="4"/>
  <c r="C214" i="4"/>
  <c r="D129" i="4"/>
  <c r="D126" i="4"/>
  <c r="C99" i="4"/>
  <c r="C76" i="4"/>
  <c r="D211" i="4"/>
  <c r="C209" i="4"/>
  <c r="C204" i="4"/>
  <c r="C202" i="4"/>
  <c r="C197" i="4"/>
  <c r="C190" i="4"/>
  <c r="D185" i="4"/>
  <c r="D178" i="4"/>
  <c r="D173" i="4"/>
  <c r="D171" i="4"/>
  <c r="D166" i="4"/>
  <c r="C164" i="4"/>
  <c r="D161" i="4"/>
  <c r="D159" i="4"/>
  <c r="C157" i="4"/>
  <c r="D154" i="4"/>
  <c r="C152" i="4"/>
  <c r="C150" i="4"/>
  <c r="C126" i="4"/>
  <c r="C123" i="4"/>
  <c r="C119" i="4"/>
  <c r="C116" i="4"/>
  <c r="C103" i="4"/>
  <c r="D85" i="4"/>
  <c r="C80" i="4"/>
  <c r="D64" i="4"/>
  <c r="C59" i="4"/>
  <c r="C273" i="4"/>
  <c r="C270" i="4"/>
  <c r="C267" i="4"/>
  <c r="D265" i="4"/>
  <c r="D262" i="4"/>
  <c r="D259" i="4"/>
  <c r="D256" i="4"/>
  <c r="C244" i="4"/>
  <c r="C241" i="4"/>
  <c r="C238" i="4"/>
  <c r="C235" i="4"/>
  <c r="D233" i="4"/>
  <c r="D230" i="4"/>
  <c r="D227" i="4"/>
  <c r="D224" i="4"/>
  <c r="D141" i="4"/>
  <c r="D132" i="4"/>
  <c r="C125" i="4"/>
  <c r="D115" i="4"/>
  <c r="C112" i="4"/>
  <c r="D105" i="4"/>
  <c r="D84" i="4"/>
  <c r="D40" i="4"/>
  <c r="D310" i="4"/>
  <c r="C309" i="4"/>
  <c r="D306" i="4"/>
  <c r="C305" i="4"/>
  <c r="D302" i="4"/>
  <c r="C301" i="4"/>
  <c r="D298" i="4"/>
  <c r="C297" i="4"/>
  <c r="D294" i="4"/>
  <c r="C293" i="4"/>
  <c r="D290" i="4"/>
  <c r="C289" i="4"/>
  <c r="D286" i="4"/>
  <c r="C285" i="4"/>
  <c r="D282" i="4"/>
  <c r="C281" i="4"/>
  <c r="D278" i="4"/>
  <c r="C277" i="4"/>
  <c r="D274" i="4"/>
  <c r="D271" i="4"/>
  <c r="D268" i="4"/>
  <c r="C256" i="4"/>
  <c r="C253" i="4"/>
  <c r="C250" i="4"/>
  <c r="C247" i="4"/>
  <c r="D245" i="4"/>
  <c r="D242" i="4"/>
  <c r="D239" i="4"/>
  <c r="D236" i="4"/>
  <c r="C224" i="4"/>
  <c r="C221" i="4"/>
  <c r="C218" i="4"/>
  <c r="C215" i="4"/>
  <c r="D213" i="4"/>
  <c r="C210" i="4"/>
  <c r="C208" i="4"/>
  <c r="D206" i="4"/>
  <c r="C201" i="4"/>
  <c r="D199" i="4"/>
  <c r="D197" i="4"/>
  <c r="C194" i="4"/>
  <c r="C192" i="4"/>
  <c r="D190" i="4"/>
  <c r="C185" i="4"/>
  <c r="D183" i="4"/>
  <c r="D181" i="4"/>
  <c r="C178" i="4"/>
  <c r="C176" i="4"/>
  <c r="D174" i="4"/>
  <c r="C169" i="4"/>
  <c r="D167" i="4"/>
  <c r="D165" i="4"/>
  <c r="C162" i="4"/>
  <c r="C160" i="4"/>
  <c r="D158" i="4"/>
  <c r="C153" i="4"/>
  <c r="D151" i="4"/>
  <c r="D149" i="4"/>
  <c r="D145" i="4"/>
  <c r="C137" i="4"/>
  <c r="D134" i="4"/>
  <c r="C122" i="4"/>
  <c r="C120" i="4"/>
  <c r="D117" i="4"/>
  <c r="C115" i="4"/>
  <c r="C108" i="4"/>
  <c r="D101" i="4"/>
  <c r="C88" i="4"/>
  <c r="D48" i="4"/>
  <c r="C27" i="4"/>
  <c r="D212" i="4"/>
  <c r="C211" i="4"/>
  <c r="D208" i="4"/>
  <c r="C207" i="4"/>
  <c r="D204" i="4"/>
  <c r="C203" i="4"/>
  <c r="D200" i="4"/>
  <c r="C199" i="4"/>
  <c r="D196" i="4"/>
  <c r="C195" i="4"/>
  <c r="D192" i="4"/>
  <c r="C191" i="4"/>
  <c r="D188" i="4"/>
  <c r="C187" i="4"/>
  <c r="D184" i="4"/>
  <c r="C183" i="4"/>
  <c r="D180" i="4"/>
  <c r="C179" i="4"/>
  <c r="D176" i="4"/>
  <c r="C175" i="4"/>
  <c r="D172" i="4"/>
  <c r="C171" i="4"/>
  <c r="D168" i="4"/>
  <c r="C167" i="4"/>
  <c r="D164" i="4"/>
  <c r="C163" i="4"/>
  <c r="D160" i="4"/>
  <c r="C159" i="4"/>
  <c r="D156" i="4"/>
  <c r="C155" i="4"/>
  <c r="D152" i="4"/>
  <c r="C151" i="4"/>
  <c r="D148" i="4"/>
  <c r="C147" i="4"/>
  <c r="D144" i="4"/>
  <c r="C143" i="4"/>
  <c r="D140" i="4"/>
  <c r="C139" i="4"/>
  <c r="C130" i="4"/>
  <c r="C127" i="4"/>
  <c r="C124" i="4"/>
  <c r="C121" i="4"/>
  <c r="D119" i="4"/>
  <c r="D116" i="4"/>
  <c r="D108" i="4"/>
  <c r="C100" i="4"/>
  <c r="D89" i="4"/>
  <c r="C87" i="4"/>
  <c r="D76" i="4"/>
  <c r="C136" i="4"/>
  <c r="C133" i="4"/>
  <c r="D131" i="4"/>
  <c r="D128" i="4"/>
  <c r="D125" i="4"/>
  <c r="D122" i="4"/>
  <c r="D112" i="4"/>
  <c r="C104" i="4"/>
  <c r="D93" i="4"/>
  <c r="C91" i="4"/>
  <c r="D80" i="4"/>
  <c r="C71" i="4"/>
  <c r="D68" i="4"/>
  <c r="C63" i="4"/>
  <c r="D60" i="4"/>
  <c r="C55" i="4"/>
  <c r="D52" i="4"/>
  <c r="C47" i="4"/>
  <c r="D44" i="4"/>
  <c r="C39" i="4"/>
  <c r="D36" i="4"/>
  <c r="C31" i="4"/>
  <c r="D28" i="4"/>
  <c r="D147" i="4"/>
  <c r="C146" i="4"/>
  <c r="D143" i="4"/>
  <c r="C142" i="4"/>
  <c r="D139" i="4"/>
  <c r="C138" i="4"/>
  <c r="C135" i="4"/>
  <c r="C132" i="4"/>
  <c r="C129" i="4"/>
  <c r="D127" i="4"/>
  <c r="D124" i="4"/>
  <c r="D121" i="4"/>
  <c r="D118" i="4"/>
  <c r="D113" i="4"/>
  <c r="C111" i="4"/>
  <c r="D100" i="4"/>
  <c r="C92" i="4"/>
  <c r="D81" i="4"/>
  <c r="C79" i="4"/>
  <c r="D114" i="4"/>
  <c r="C113" i="4"/>
  <c r="D110" i="4"/>
  <c r="C109" i="4"/>
  <c r="D106" i="4"/>
  <c r="C105" i="4"/>
  <c r="D102" i="4"/>
  <c r="C101" i="4"/>
  <c r="D98" i="4"/>
  <c r="C97" i="4"/>
  <c r="D94" i="4"/>
  <c r="C93" i="4"/>
  <c r="D90" i="4"/>
  <c r="C89" i="4"/>
  <c r="D86" i="4"/>
  <c r="C85" i="4"/>
  <c r="D82" i="4"/>
  <c r="C81" i="4"/>
  <c r="D78" i="4"/>
  <c r="C77" i="4"/>
  <c r="D74" i="4"/>
  <c r="C73" i="4"/>
  <c r="D70" i="4"/>
  <c r="C69" i="4"/>
  <c r="D66" i="4"/>
  <c r="C65" i="4"/>
  <c r="D62" i="4"/>
  <c r="C61" i="4"/>
  <c r="D58" i="4"/>
  <c r="C57" i="4"/>
  <c r="D54" i="4"/>
  <c r="C53" i="4"/>
  <c r="D50" i="4"/>
  <c r="C49" i="4"/>
  <c r="D46" i="4"/>
  <c r="C45" i="4"/>
  <c r="D42" i="4"/>
  <c r="C41" i="4"/>
  <c r="D38" i="4"/>
  <c r="C37" i="4"/>
  <c r="D34" i="4"/>
  <c r="C33" i="4"/>
  <c r="D30" i="4"/>
  <c r="C29" i="4"/>
  <c r="D26" i="4"/>
  <c r="C25" i="4"/>
  <c r="C114" i="4"/>
  <c r="D111" i="4"/>
  <c r="C110" i="4"/>
  <c r="D107" i="4"/>
  <c r="C106" i="4"/>
  <c r="D103" i="4"/>
  <c r="C102" i="4"/>
  <c r="D99" i="4"/>
  <c r="C98" i="4"/>
  <c r="D95" i="4"/>
  <c r="C94" i="4"/>
  <c r="D91" i="4"/>
  <c r="C90" i="4"/>
  <c r="D87" i="4"/>
  <c r="C86" i="4"/>
  <c r="D83" i="4"/>
  <c r="C82" i="4"/>
  <c r="D79" i="4"/>
  <c r="C78" i="4"/>
  <c r="D75" i="4"/>
  <c r="C74" i="4"/>
  <c r="D71" i="4"/>
  <c r="C70" i="4"/>
  <c r="D67" i="4"/>
  <c r="C66" i="4"/>
  <c r="D63" i="4"/>
  <c r="C62" i="4"/>
  <c r="D59" i="4"/>
  <c r="C58" i="4"/>
  <c r="D55" i="4"/>
  <c r="C54" i="4"/>
  <c r="D51" i="4"/>
  <c r="C50" i="4"/>
  <c r="D47" i="4"/>
  <c r="C46" i="4"/>
  <c r="D43" i="4"/>
  <c r="C42" i="4"/>
  <c r="D39" i="4"/>
  <c r="C38" i="4"/>
  <c r="D35" i="4"/>
  <c r="C34" i="4"/>
  <c r="D31" i="4"/>
  <c r="C30" i="4"/>
  <c r="D27" i="4"/>
  <c r="C26" i="4"/>
  <c r="D73" i="4"/>
  <c r="C72" i="4"/>
  <c r="D69" i="4"/>
  <c r="C68" i="4"/>
  <c r="D65" i="4"/>
  <c r="C64" i="4"/>
  <c r="D61" i="4"/>
  <c r="C60" i="4"/>
  <c r="D57" i="4"/>
  <c r="C56" i="4"/>
  <c r="D53" i="4"/>
  <c r="C52" i="4"/>
  <c r="D49" i="4"/>
  <c r="C48" i="4"/>
  <c r="D45" i="4"/>
  <c r="C44" i="4"/>
  <c r="D41" i="4"/>
  <c r="C40" i="4"/>
  <c r="D37" i="4"/>
  <c r="C36" i="4"/>
  <c r="D33" i="4"/>
  <c r="C32" i="4"/>
  <c r="D29" i="4"/>
  <c r="C28" i="4"/>
  <c r="D25" i="4"/>
  <c r="C24" i="4"/>
  <c r="C23" i="4"/>
  <c r="L18" i="4"/>
  <c r="L17" i="4" s="1"/>
  <c r="J23" i="4"/>
  <c r="K23" i="4"/>
  <c r="D23" i="4"/>
  <c r="D753" i="3"/>
  <c r="E742" i="3"/>
  <c r="D733" i="3"/>
  <c r="E722" i="3"/>
  <c r="D704" i="3"/>
  <c r="E677" i="3"/>
  <c r="D656" i="3"/>
  <c r="C635" i="3"/>
  <c r="E613" i="3"/>
  <c r="C587" i="3"/>
  <c r="D470" i="3"/>
  <c r="C720" i="3"/>
  <c r="D717" i="3"/>
  <c r="E714" i="3"/>
  <c r="C712" i="3"/>
  <c r="D709" i="3"/>
  <c r="E706" i="3"/>
  <c r="C704" i="3"/>
  <c r="D701" i="3"/>
  <c r="E698" i="3"/>
  <c r="C696" i="3"/>
  <c r="D693" i="3"/>
  <c r="E690" i="3"/>
  <c r="C688" i="3"/>
  <c r="D685" i="3"/>
  <c r="E682" i="3"/>
  <c r="C680" i="3"/>
  <c r="D677" i="3"/>
  <c r="E674" i="3"/>
  <c r="C672" i="3"/>
  <c r="D669" i="3"/>
  <c r="E666" i="3"/>
  <c r="C664" i="3"/>
  <c r="D661" i="3"/>
  <c r="E658" i="3"/>
  <c r="C656" i="3"/>
  <c r="D653" i="3"/>
  <c r="E650" i="3"/>
  <c r="C648" i="3"/>
  <c r="D645" i="3"/>
  <c r="E642" i="3"/>
  <c r="C640" i="3"/>
  <c r="D637" i="3"/>
  <c r="E634" i="3"/>
  <c r="C632" i="3"/>
  <c r="D629" i="3"/>
  <c r="E626" i="3"/>
  <c r="C624" i="3"/>
  <c r="D621" i="3"/>
  <c r="E618" i="3"/>
  <c r="C616" i="3"/>
  <c r="D613" i="3"/>
  <c r="E610" i="3"/>
  <c r="C608" i="3"/>
  <c r="D605" i="3"/>
  <c r="E602" i="3"/>
  <c r="C600" i="3"/>
  <c r="D597" i="3"/>
  <c r="E594" i="3"/>
  <c r="C592" i="3"/>
  <c r="D589" i="3"/>
  <c r="E586" i="3"/>
  <c r="C584" i="3"/>
  <c r="D581" i="3"/>
  <c r="E578" i="3"/>
  <c r="E575" i="3"/>
  <c r="E567" i="3"/>
  <c r="C557" i="3"/>
  <c r="D546" i="3"/>
  <c r="E535" i="3"/>
  <c r="C525" i="3"/>
  <c r="D510" i="3"/>
  <c r="C489" i="3"/>
  <c r="D467" i="3"/>
  <c r="D757" i="3"/>
  <c r="D749" i="3"/>
  <c r="D741" i="3"/>
  <c r="C732" i="3"/>
  <c r="C724" i="3"/>
  <c r="D712" i="3"/>
  <c r="D696" i="3"/>
  <c r="D680" i="3"/>
  <c r="E661" i="3"/>
  <c r="D640" i="3"/>
  <c r="E621" i="3"/>
  <c r="C603" i="3"/>
  <c r="E581" i="3"/>
  <c r="E491" i="3"/>
  <c r="E759" i="3"/>
  <c r="D758" i="3"/>
  <c r="C757" i="3"/>
  <c r="E755" i="3"/>
  <c r="D754" i="3"/>
  <c r="C753" i="3"/>
  <c r="E751" i="3"/>
  <c r="D750" i="3"/>
  <c r="C749" i="3"/>
  <c r="E747" i="3"/>
  <c r="D746" i="3"/>
  <c r="C745" i="3"/>
  <c r="E743" i="3"/>
  <c r="D742" i="3"/>
  <c r="C741" i="3"/>
  <c r="E739" i="3"/>
  <c r="D738" i="3"/>
  <c r="C737" i="3"/>
  <c r="E735" i="3"/>
  <c r="D734" i="3"/>
  <c r="C733" i="3"/>
  <c r="E731" i="3"/>
  <c r="D730" i="3"/>
  <c r="C729" i="3"/>
  <c r="E727" i="3"/>
  <c r="D726" i="3"/>
  <c r="C725" i="3"/>
  <c r="E723" i="3"/>
  <c r="D722" i="3"/>
  <c r="E719" i="3"/>
  <c r="C717" i="3"/>
  <c r="D714" i="3"/>
  <c r="E711" i="3"/>
  <c r="C709" i="3"/>
  <c r="D706" i="3"/>
  <c r="E703" i="3"/>
  <c r="C701" i="3"/>
  <c r="D698" i="3"/>
  <c r="E695" i="3"/>
  <c r="C693" i="3"/>
  <c r="D690" i="3"/>
  <c r="E687" i="3"/>
  <c r="C685" i="3"/>
  <c r="D682" i="3"/>
  <c r="E679" i="3"/>
  <c r="C677" i="3"/>
  <c r="D674" i="3"/>
  <c r="E671" i="3"/>
  <c r="C669" i="3"/>
  <c r="D666" i="3"/>
  <c r="E663" i="3"/>
  <c r="C661" i="3"/>
  <c r="D658" i="3"/>
  <c r="E655" i="3"/>
  <c r="C653" i="3"/>
  <c r="D650" i="3"/>
  <c r="E647" i="3"/>
  <c r="C645" i="3"/>
  <c r="D642" i="3"/>
  <c r="E639" i="3"/>
  <c r="C637" i="3"/>
  <c r="D634" i="3"/>
  <c r="E631" i="3"/>
  <c r="C629" i="3"/>
  <c r="D626" i="3"/>
  <c r="E623" i="3"/>
  <c r="C621" i="3"/>
  <c r="D618" i="3"/>
  <c r="E615" i="3"/>
  <c r="C613" i="3"/>
  <c r="D610" i="3"/>
  <c r="E607" i="3"/>
  <c r="C605" i="3"/>
  <c r="D602" i="3"/>
  <c r="E599" i="3"/>
  <c r="C597" i="3"/>
  <c r="D594" i="3"/>
  <c r="E591" i="3"/>
  <c r="C589" i="3"/>
  <c r="D586" i="3"/>
  <c r="E583" i="3"/>
  <c r="C581" i="3"/>
  <c r="D578" i="3"/>
  <c r="C575" i="3"/>
  <c r="D566" i="3"/>
  <c r="E555" i="3"/>
  <c r="C545" i="3"/>
  <c r="D534" i="3"/>
  <c r="E523" i="3"/>
  <c r="E507" i="3"/>
  <c r="D486" i="3"/>
  <c r="E458" i="3"/>
  <c r="E754" i="3"/>
  <c r="E746" i="3"/>
  <c r="E738" i="3"/>
  <c r="D729" i="3"/>
  <c r="C715" i="3"/>
  <c r="E693" i="3"/>
  <c r="D672" i="3"/>
  <c r="C651" i="3"/>
  <c r="D632" i="3"/>
  <c r="D616" i="3"/>
  <c r="E597" i="3"/>
  <c r="D576" i="3"/>
  <c r="C513" i="3"/>
  <c r="C722" i="3"/>
  <c r="D719" i="3"/>
  <c r="E716" i="3"/>
  <c r="C714" i="3"/>
  <c r="D711" i="3"/>
  <c r="E708" i="3"/>
  <c r="C706" i="3"/>
  <c r="D703" i="3"/>
  <c r="E700" i="3"/>
  <c r="C698" i="3"/>
  <c r="D695" i="3"/>
  <c r="E692" i="3"/>
  <c r="C690" i="3"/>
  <c r="D687" i="3"/>
  <c r="E684" i="3"/>
  <c r="C682" i="3"/>
  <c r="D679" i="3"/>
  <c r="E676" i="3"/>
  <c r="C674" i="3"/>
  <c r="D671" i="3"/>
  <c r="E668" i="3"/>
  <c r="C666" i="3"/>
  <c r="D663" i="3"/>
  <c r="E660" i="3"/>
  <c r="C658" i="3"/>
  <c r="D655" i="3"/>
  <c r="E652" i="3"/>
  <c r="C650" i="3"/>
  <c r="D647" i="3"/>
  <c r="E644" i="3"/>
  <c r="C642" i="3"/>
  <c r="D639" i="3"/>
  <c r="E636" i="3"/>
  <c r="C634" i="3"/>
  <c r="D631" i="3"/>
  <c r="E628" i="3"/>
  <c r="C626" i="3"/>
  <c r="D623" i="3"/>
  <c r="E620" i="3"/>
  <c r="C618" i="3"/>
  <c r="D615" i="3"/>
  <c r="E612" i="3"/>
  <c r="C610" i="3"/>
  <c r="D607" i="3"/>
  <c r="E604" i="3"/>
  <c r="C602" i="3"/>
  <c r="D599" i="3"/>
  <c r="E596" i="3"/>
  <c r="C594" i="3"/>
  <c r="D591" i="3"/>
  <c r="E588" i="3"/>
  <c r="C586" i="3"/>
  <c r="D583" i="3"/>
  <c r="E580" i="3"/>
  <c r="C578" i="3"/>
  <c r="D574" i="3"/>
  <c r="C565" i="3"/>
  <c r="D554" i="3"/>
  <c r="E543" i="3"/>
  <c r="C533" i="3"/>
  <c r="D522" i="3"/>
  <c r="C505" i="3"/>
  <c r="E483" i="3"/>
  <c r="C448" i="3"/>
  <c r="E750" i="3"/>
  <c r="D737" i="3"/>
  <c r="D725" i="3"/>
  <c r="C707" i="3"/>
  <c r="D688" i="3"/>
  <c r="C667" i="3"/>
  <c r="E645" i="3"/>
  <c r="D624" i="3"/>
  <c r="E605" i="3"/>
  <c r="D592" i="3"/>
  <c r="C569" i="3"/>
  <c r="C537" i="3"/>
  <c r="D759" i="3"/>
  <c r="C758" i="3"/>
  <c r="E756" i="3"/>
  <c r="D755" i="3"/>
  <c r="C754" i="3"/>
  <c r="E752" i="3"/>
  <c r="D751" i="3"/>
  <c r="C750" i="3"/>
  <c r="E748" i="3"/>
  <c r="D747" i="3"/>
  <c r="C746" i="3"/>
  <c r="E744" i="3"/>
  <c r="D743" i="3"/>
  <c r="C742" i="3"/>
  <c r="E740" i="3"/>
  <c r="D739" i="3"/>
  <c r="C738" i="3"/>
  <c r="E736" i="3"/>
  <c r="D735" i="3"/>
  <c r="C734" i="3"/>
  <c r="E732" i="3"/>
  <c r="D731" i="3"/>
  <c r="C730" i="3"/>
  <c r="E728" i="3"/>
  <c r="D727" i="3"/>
  <c r="C726" i="3"/>
  <c r="E724" i="3"/>
  <c r="D723" i="3"/>
  <c r="E721" i="3"/>
  <c r="C719" i="3"/>
  <c r="D716" i="3"/>
  <c r="E713" i="3"/>
  <c r="C711" i="3"/>
  <c r="D708" i="3"/>
  <c r="E705" i="3"/>
  <c r="C703" i="3"/>
  <c r="D700" i="3"/>
  <c r="E697" i="3"/>
  <c r="C695" i="3"/>
  <c r="D692" i="3"/>
  <c r="E689" i="3"/>
  <c r="C687" i="3"/>
  <c r="D684" i="3"/>
  <c r="E681" i="3"/>
  <c r="C679" i="3"/>
  <c r="D676" i="3"/>
  <c r="E673" i="3"/>
  <c r="C671" i="3"/>
  <c r="D668" i="3"/>
  <c r="E665" i="3"/>
  <c r="C663" i="3"/>
  <c r="D660" i="3"/>
  <c r="E657" i="3"/>
  <c r="C655" i="3"/>
  <c r="D652" i="3"/>
  <c r="E649" i="3"/>
  <c r="C647" i="3"/>
  <c r="D644" i="3"/>
  <c r="E641" i="3"/>
  <c r="C639" i="3"/>
  <c r="D636" i="3"/>
  <c r="E633" i="3"/>
  <c r="C631" i="3"/>
  <c r="D628" i="3"/>
  <c r="E625" i="3"/>
  <c r="C623" i="3"/>
  <c r="D620" i="3"/>
  <c r="E617" i="3"/>
  <c r="C615" i="3"/>
  <c r="D612" i="3"/>
  <c r="E609" i="3"/>
  <c r="C607" i="3"/>
  <c r="D604" i="3"/>
  <c r="E601" i="3"/>
  <c r="C599" i="3"/>
  <c r="D596" i="3"/>
  <c r="E593" i="3"/>
  <c r="C591" i="3"/>
  <c r="D588" i="3"/>
  <c r="E585" i="3"/>
  <c r="C583" i="3"/>
  <c r="D580" i="3"/>
  <c r="E577" i="3"/>
  <c r="E573" i="3"/>
  <c r="E563" i="3"/>
  <c r="C553" i="3"/>
  <c r="D542" i="3"/>
  <c r="E531" i="3"/>
  <c r="C521" i="3"/>
  <c r="D502" i="3"/>
  <c r="C481" i="3"/>
  <c r="D437" i="3"/>
  <c r="E758" i="3"/>
  <c r="C748" i="3"/>
  <c r="C740" i="3"/>
  <c r="E730" i="3"/>
  <c r="D720" i="3"/>
  <c r="E701" i="3"/>
  <c r="C683" i="3"/>
  <c r="D664" i="3"/>
  <c r="D648" i="3"/>
  <c r="E629" i="3"/>
  <c r="D608" i="3"/>
  <c r="E589" i="3"/>
  <c r="D526" i="3"/>
  <c r="D721" i="3"/>
  <c r="E718" i="3"/>
  <c r="C716" i="3"/>
  <c r="D713" i="3"/>
  <c r="E710" i="3"/>
  <c r="C708" i="3"/>
  <c r="D705" i="3"/>
  <c r="E702" i="3"/>
  <c r="C700" i="3"/>
  <c r="D697" i="3"/>
  <c r="E694" i="3"/>
  <c r="C692" i="3"/>
  <c r="D689" i="3"/>
  <c r="E686" i="3"/>
  <c r="C684" i="3"/>
  <c r="D681" i="3"/>
  <c r="E678" i="3"/>
  <c r="C676" i="3"/>
  <c r="D673" i="3"/>
  <c r="E670" i="3"/>
  <c r="C668" i="3"/>
  <c r="D665" i="3"/>
  <c r="E662" i="3"/>
  <c r="C660" i="3"/>
  <c r="D657" i="3"/>
  <c r="E654" i="3"/>
  <c r="C652" i="3"/>
  <c r="D649" i="3"/>
  <c r="E646" i="3"/>
  <c r="C644" i="3"/>
  <c r="D641" i="3"/>
  <c r="E638" i="3"/>
  <c r="C636" i="3"/>
  <c r="D633" i="3"/>
  <c r="E630" i="3"/>
  <c r="C628" i="3"/>
  <c r="D625" i="3"/>
  <c r="E622" i="3"/>
  <c r="C620" i="3"/>
  <c r="D617" i="3"/>
  <c r="E614" i="3"/>
  <c r="C612" i="3"/>
  <c r="D609" i="3"/>
  <c r="E606" i="3"/>
  <c r="C604" i="3"/>
  <c r="D601" i="3"/>
  <c r="E598" i="3"/>
  <c r="C596" i="3"/>
  <c r="D593" i="3"/>
  <c r="E590" i="3"/>
  <c r="C588" i="3"/>
  <c r="D585" i="3"/>
  <c r="E582" i="3"/>
  <c r="C580" i="3"/>
  <c r="D577" i="3"/>
  <c r="C573" i="3"/>
  <c r="D562" i="3"/>
  <c r="E551" i="3"/>
  <c r="C541" i="3"/>
  <c r="D530" i="3"/>
  <c r="E519" i="3"/>
  <c r="E499" i="3"/>
  <c r="D478" i="3"/>
  <c r="E426" i="3"/>
  <c r="C752" i="3"/>
  <c r="C744" i="3"/>
  <c r="E734" i="3"/>
  <c r="C728" i="3"/>
  <c r="E717" i="3"/>
  <c r="C699" i="3"/>
  <c r="E685" i="3"/>
  <c r="E669" i="3"/>
  <c r="E653" i="3"/>
  <c r="E637" i="3"/>
  <c r="C619" i="3"/>
  <c r="D600" i="3"/>
  <c r="D584" i="3"/>
  <c r="E547" i="3"/>
  <c r="C759" i="3"/>
  <c r="E757" i="3"/>
  <c r="D756" i="3"/>
  <c r="C755" i="3"/>
  <c r="E753" i="3"/>
  <c r="D752" i="3"/>
  <c r="C751" i="3"/>
  <c r="E749" i="3"/>
  <c r="D748" i="3"/>
  <c r="C747" i="3"/>
  <c r="E745" i="3"/>
  <c r="D744" i="3"/>
  <c r="C743" i="3"/>
  <c r="E741" i="3"/>
  <c r="D740" i="3"/>
  <c r="C739" i="3"/>
  <c r="E737" i="3"/>
  <c r="D736" i="3"/>
  <c r="C735" i="3"/>
  <c r="E733" i="3"/>
  <c r="D732" i="3"/>
  <c r="C731" i="3"/>
  <c r="E729" i="3"/>
  <c r="D728" i="3"/>
  <c r="C727" i="3"/>
  <c r="E725" i="3"/>
  <c r="D724" i="3"/>
  <c r="C723" i="3"/>
  <c r="C721" i="3"/>
  <c r="D718" i="3"/>
  <c r="E715" i="3"/>
  <c r="C713" i="3"/>
  <c r="D710" i="3"/>
  <c r="E707" i="3"/>
  <c r="C705" i="3"/>
  <c r="D702" i="3"/>
  <c r="E699" i="3"/>
  <c r="C697" i="3"/>
  <c r="D694" i="3"/>
  <c r="E691" i="3"/>
  <c r="C689" i="3"/>
  <c r="D686" i="3"/>
  <c r="E683" i="3"/>
  <c r="C681" i="3"/>
  <c r="D678" i="3"/>
  <c r="E675" i="3"/>
  <c r="C673" i="3"/>
  <c r="D670" i="3"/>
  <c r="E667" i="3"/>
  <c r="C665" i="3"/>
  <c r="D662" i="3"/>
  <c r="E659" i="3"/>
  <c r="C657" i="3"/>
  <c r="D654" i="3"/>
  <c r="E651" i="3"/>
  <c r="C649" i="3"/>
  <c r="D646" i="3"/>
  <c r="E643" i="3"/>
  <c r="C641" i="3"/>
  <c r="D638" i="3"/>
  <c r="E635" i="3"/>
  <c r="C633" i="3"/>
  <c r="D630" i="3"/>
  <c r="E627" i="3"/>
  <c r="C625" i="3"/>
  <c r="D622" i="3"/>
  <c r="E619" i="3"/>
  <c r="C617" i="3"/>
  <c r="D614" i="3"/>
  <c r="E611" i="3"/>
  <c r="C609" i="3"/>
  <c r="D606" i="3"/>
  <c r="E603" i="3"/>
  <c r="C601" i="3"/>
  <c r="D598" i="3"/>
  <c r="E595" i="3"/>
  <c r="C593" i="3"/>
  <c r="D590" i="3"/>
  <c r="E587" i="3"/>
  <c r="C585" i="3"/>
  <c r="D582" i="3"/>
  <c r="E579" i="3"/>
  <c r="C577" i="3"/>
  <c r="E571" i="3"/>
  <c r="C561" i="3"/>
  <c r="D550" i="3"/>
  <c r="E539" i="3"/>
  <c r="C529" i="3"/>
  <c r="D518" i="3"/>
  <c r="C497" i="3"/>
  <c r="E475" i="3"/>
  <c r="D408" i="3"/>
  <c r="C756" i="3"/>
  <c r="D745" i="3"/>
  <c r="C736" i="3"/>
  <c r="E726" i="3"/>
  <c r="E709" i="3"/>
  <c r="C691" i="3"/>
  <c r="C675" i="3"/>
  <c r="C659" i="3"/>
  <c r="C643" i="3"/>
  <c r="C627" i="3"/>
  <c r="C611" i="3"/>
  <c r="C595" i="3"/>
  <c r="C579" i="3"/>
  <c r="D558" i="3"/>
  <c r="E720" i="3"/>
  <c r="C718" i="3"/>
  <c r="D715" i="3"/>
  <c r="E712" i="3"/>
  <c r="C710" i="3"/>
  <c r="D707" i="3"/>
  <c r="E704" i="3"/>
  <c r="C702" i="3"/>
  <c r="D699" i="3"/>
  <c r="E696" i="3"/>
  <c r="C694" i="3"/>
  <c r="D691" i="3"/>
  <c r="E688" i="3"/>
  <c r="C686" i="3"/>
  <c r="D683" i="3"/>
  <c r="E680" i="3"/>
  <c r="C678" i="3"/>
  <c r="D675" i="3"/>
  <c r="E672" i="3"/>
  <c r="C670" i="3"/>
  <c r="D667" i="3"/>
  <c r="E664" i="3"/>
  <c r="C662" i="3"/>
  <c r="D659" i="3"/>
  <c r="E656" i="3"/>
  <c r="C654" i="3"/>
  <c r="D651" i="3"/>
  <c r="E648" i="3"/>
  <c r="C646" i="3"/>
  <c r="D643" i="3"/>
  <c r="E640" i="3"/>
  <c r="C638" i="3"/>
  <c r="D635" i="3"/>
  <c r="E632" i="3"/>
  <c r="C630" i="3"/>
  <c r="D627" i="3"/>
  <c r="E624" i="3"/>
  <c r="C622" i="3"/>
  <c r="D619" i="3"/>
  <c r="E616" i="3"/>
  <c r="C614" i="3"/>
  <c r="D611" i="3"/>
  <c r="E608" i="3"/>
  <c r="C606" i="3"/>
  <c r="D603" i="3"/>
  <c r="E600" i="3"/>
  <c r="C598" i="3"/>
  <c r="D595" i="3"/>
  <c r="E592" i="3"/>
  <c r="C590" i="3"/>
  <c r="D587" i="3"/>
  <c r="E584" i="3"/>
  <c r="C582" i="3"/>
  <c r="D579" i="3"/>
  <c r="E576" i="3"/>
  <c r="D570" i="3"/>
  <c r="E559" i="3"/>
  <c r="C549" i="3"/>
  <c r="D538" i="3"/>
  <c r="E527" i="3"/>
  <c r="E515" i="3"/>
  <c r="D494" i="3"/>
  <c r="C473" i="3"/>
  <c r="C383" i="3"/>
  <c r="C518" i="3"/>
  <c r="D515" i="3"/>
  <c r="E512" i="3"/>
  <c r="C510" i="3"/>
  <c r="D507" i="3"/>
  <c r="E504" i="3"/>
  <c r="C502" i="3"/>
  <c r="D499" i="3"/>
  <c r="E496" i="3"/>
  <c r="C494" i="3"/>
  <c r="D491" i="3"/>
  <c r="E488" i="3"/>
  <c r="C486" i="3"/>
  <c r="D483" i="3"/>
  <c r="E480" i="3"/>
  <c r="C478" i="3"/>
  <c r="D475" i="3"/>
  <c r="E472" i="3"/>
  <c r="C470" i="3"/>
  <c r="E466" i="3"/>
  <c r="D457" i="3"/>
  <c r="E446" i="3"/>
  <c r="C436" i="3"/>
  <c r="D425" i="3"/>
  <c r="E405" i="3"/>
  <c r="D372" i="3"/>
  <c r="D575" i="3"/>
  <c r="C574" i="3"/>
  <c r="E572" i="3"/>
  <c r="D571" i="3"/>
  <c r="C570" i="3"/>
  <c r="E568" i="3"/>
  <c r="D567" i="3"/>
  <c r="C566" i="3"/>
  <c r="E564" i="3"/>
  <c r="D563" i="3"/>
  <c r="C562" i="3"/>
  <c r="E560" i="3"/>
  <c r="D559" i="3"/>
  <c r="C558" i="3"/>
  <c r="E556" i="3"/>
  <c r="D555" i="3"/>
  <c r="C554" i="3"/>
  <c r="E552" i="3"/>
  <c r="D551" i="3"/>
  <c r="C550" i="3"/>
  <c r="E548" i="3"/>
  <c r="D547" i="3"/>
  <c r="C546" i="3"/>
  <c r="E544" i="3"/>
  <c r="D543" i="3"/>
  <c r="C542" i="3"/>
  <c r="E540" i="3"/>
  <c r="D539" i="3"/>
  <c r="C538" i="3"/>
  <c r="E536" i="3"/>
  <c r="D535" i="3"/>
  <c r="C534" i="3"/>
  <c r="E532" i="3"/>
  <c r="D531" i="3"/>
  <c r="C530" i="3"/>
  <c r="E528" i="3"/>
  <c r="D527" i="3"/>
  <c r="C526" i="3"/>
  <c r="E524" i="3"/>
  <c r="D523" i="3"/>
  <c r="C522" i="3"/>
  <c r="E520" i="3"/>
  <c r="D519" i="3"/>
  <c r="E517" i="3"/>
  <c r="C515" i="3"/>
  <c r="D512" i="3"/>
  <c r="E509" i="3"/>
  <c r="C507" i="3"/>
  <c r="D504" i="3"/>
  <c r="E501" i="3"/>
  <c r="C499" i="3"/>
  <c r="D496" i="3"/>
  <c r="E493" i="3"/>
  <c r="C491" i="3"/>
  <c r="D488" i="3"/>
  <c r="E485" i="3"/>
  <c r="C483" i="3"/>
  <c r="D480" i="3"/>
  <c r="E477" i="3"/>
  <c r="C475" i="3"/>
  <c r="D472" i="3"/>
  <c r="E469" i="3"/>
  <c r="C466" i="3"/>
  <c r="C456" i="3"/>
  <c r="D445" i="3"/>
  <c r="E434" i="3"/>
  <c r="C424" i="3"/>
  <c r="C403" i="3"/>
  <c r="E361" i="3"/>
  <c r="D517" i="3"/>
  <c r="E514" i="3"/>
  <c r="C512" i="3"/>
  <c r="D509" i="3"/>
  <c r="E506" i="3"/>
  <c r="C504" i="3"/>
  <c r="D501" i="3"/>
  <c r="E498" i="3"/>
  <c r="C496" i="3"/>
  <c r="D493" i="3"/>
  <c r="E490" i="3"/>
  <c r="C488" i="3"/>
  <c r="D485" i="3"/>
  <c r="E482" i="3"/>
  <c r="C480" i="3"/>
  <c r="D477" i="3"/>
  <c r="E474" i="3"/>
  <c r="C472" i="3"/>
  <c r="D469" i="3"/>
  <c r="D465" i="3"/>
  <c r="E454" i="3"/>
  <c r="C444" i="3"/>
  <c r="D433" i="3"/>
  <c r="E421" i="3"/>
  <c r="D400" i="3"/>
  <c r="C351" i="3"/>
  <c r="D572" i="3"/>
  <c r="C571" i="3"/>
  <c r="E569" i="3"/>
  <c r="D568" i="3"/>
  <c r="C567" i="3"/>
  <c r="E565" i="3"/>
  <c r="D564" i="3"/>
  <c r="C563" i="3"/>
  <c r="E561" i="3"/>
  <c r="D560" i="3"/>
  <c r="C559" i="3"/>
  <c r="E557" i="3"/>
  <c r="D556" i="3"/>
  <c r="C555" i="3"/>
  <c r="E553" i="3"/>
  <c r="D552" i="3"/>
  <c r="C551" i="3"/>
  <c r="E549" i="3"/>
  <c r="D548" i="3"/>
  <c r="C547" i="3"/>
  <c r="E545" i="3"/>
  <c r="D544" i="3"/>
  <c r="C543" i="3"/>
  <c r="E541" i="3"/>
  <c r="D540" i="3"/>
  <c r="C539" i="3"/>
  <c r="E537" i="3"/>
  <c r="D536" i="3"/>
  <c r="C535" i="3"/>
  <c r="E533" i="3"/>
  <c r="D532" i="3"/>
  <c r="C531" i="3"/>
  <c r="E529" i="3"/>
  <c r="D528" i="3"/>
  <c r="C527" i="3"/>
  <c r="E525" i="3"/>
  <c r="D524" i="3"/>
  <c r="C523" i="3"/>
  <c r="E521" i="3"/>
  <c r="D520" i="3"/>
  <c r="C519" i="3"/>
  <c r="C517" i="3"/>
  <c r="D514" i="3"/>
  <c r="E511" i="3"/>
  <c r="C509" i="3"/>
  <c r="D506" i="3"/>
  <c r="E503" i="3"/>
  <c r="C501" i="3"/>
  <c r="D498" i="3"/>
  <c r="E495" i="3"/>
  <c r="C493" i="3"/>
  <c r="D490" i="3"/>
  <c r="E487" i="3"/>
  <c r="C485" i="3"/>
  <c r="D482" i="3"/>
  <c r="E479" i="3"/>
  <c r="C477" i="3"/>
  <c r="D474" i="3"/>
  <c r="E471" i="3"/>
  <c r="C469" i="3"/>
  <c r="C464" i="3"/>
  <c r="D453" i="3"/>
  <c r="E442" i="3"/>
  <c r="C432" i="3"/>
  <c r="C419" i="3"/>
  <c r="E397" i="3"/>
  <c r="E334" i="3"/>
  <c r="E516" i="3"/>
  <c r="C514" i="3"/>
  <c r="D511" i="3"/>
  <c r="E508" i="3"/>
  <c r="C506" i="3"/>
  <c r="D503" i="3"/>
  <c r="E500" i="3"/>
  <c r="C498" i="3"/>
  <c r="D495" i="3"/>
  <c r="E492" i="3"/>
  <c r="C490" i="3"/>
  <c r="D487" i="3"/>
  <c r="E484" i="3"/>
  <c r="C482" i="3"/>
  <c r="D479" i="3"/>
  <c r="E476" i="3"/>
  <c r="C474" i="3"/>
  <c r="D471" i="3"/>
  <c r="E468" i="3"/>
  <c r="E462" i="3"/>
  <c r="C452" i="3"/>
  <c r="D441" i="3"/>
  <c r="E430" i="3"/>
  <c r="D416" i="3"/>
  <c r="C395" i="3"/>
  <c r="E317" i="3"/>
  <c r="C576" i="3"/>
  <c r="E574" i="3"/>
  <c r="D573" i="3"/>
  <c r="C572" i="3"/>
  <c r="E570" i="3"/>
  <c r="D569" i="3"/>
  <c r="C568" i="3"/>
  <c r="E566" i="3"/>
  <c r="D565" i="3"/>
  <c r="C564" i="3"/>
  <c r="E562" i="3"/>
  <c r="D561" i="3"/>
  <c r="C560" i="3"/>
  <c r="E558" i="3"/>
  <c r="D557" i="3"/>
  <c r="C556" i="3"/>
  <c r="E554" i="3"/>
  <c r="D553" i="3"/>
  <c r="C552" i="3"/>
  <c r="E550" i="3"/>
  <c r="D549" i="3"/>
  <c r="C548" i="3"/>
  <c r="E546" i="3"/>
  <c r="D545" i="3"/>
  <c r="C544" i="3"/>
  <c r="E542" i="3"/>
  <c r="D541" i="3"/>
  <c r="C540" i="3"/>
  <c r="E538" i="3"/>
  <c r="D537" i="3"/>
  <c r="C536" i="3"/>
  <c r="E534" i="3"/>
  <c r="D533" i="3"/>
  <c r="C532" i="3"/>
  <c r="E530" i="3"/>
  <c r="D529" i="3"/>
  <c r="C528" i="3"/>
  <c r="E526" i="3"/>
  <c r="D525" i="3"/>
  <c r="C524" i="3"/>
  <c r="E522" i="3"/>
  <c r="D521" i="3"/>
  <c r="C520" i="3"/>
  <c r="E518" i="3"/>
  <c r="D516" i="3"/>
  <c r="E513" i="3"/>
  <c r="C511" i="3"/>
  <c r="D508" i="3"/>
  <c r="E505" i="3"/>
  <c r="C503" i="3"/>
  <c r="D500" i="3"/>
  <c r="E497" i="3"/>
  <c r="C495" i="3"/>
  <c r="D492" i="3"/>
  <c r="E489" i="3"/>
  <c r="C487" i="3"/>
  <c r="D484" i="3"/>
  <c r="E481" i="3"/>
  <c r="C479" i="3"/>
  <c r="D476" i="3"/>
  <c r="E473" i="3"/>
  <c r="C471" i="3"/>
  <c r="C468" i="3"/>
  <c r="D461" i="3"/>
  <c r="E450" i="3"/>
  <c r="C440" i="3"/>
  <c r="D429" i="3"/>
  <c r="E413" i="3"/>
  <c r="D392" i="3"/>
  <c r="E300" i="3"/>
  <c r="C516" i="3"/>
  <c r="D513" i="3"/>
  <c r="E510" i="3"/>
  <c r="C508" i="3"/>
  <c r="D505" i="3"/>
  <c r="E502" i="3"/>
  <c r="C500" i="3"/>
  <c r="D497" i="3"/>
  <c r="E494" i="3"/>
  <c r="C492" i="3"/>
  <c r="D489" i="3"/>
  <c r="E486" i="3"/>
  <c r="C484" i="3"/>
  <c r="D481" i="3"/>
  <c r="E478" i="3"/>
  <c r="C476" i="3"/>
  <c r="D473" i="3"/>
  <c r="E470" i="3"/>
  <c r="E467" i="3"/>
  <c r="C460" i="3"/>
  <c r="D449" i="3"/>
  <c r="E438" i="3"/>
  <c r="C428" i="3"/>
  <c r="C411" i="3"/>
  <c r="E389" i="3"/>
  <c r="D421" i="3"/>
  <c r="E418" i="3"/>
  <c r="C416" i="3"/>
  <c r="D413" i="3"/>
  <c r="E410" i="3"/>
  <c r="C408" i="3"/>
  <c r="D405" i="3"/>
  <c r="E402" i="3"/>
  <c r="C400" i="3"/>
  <c r="D397" i="3"/>
  <c r="E394" i="3"/>
  <c r="C392" i="3"/>
  <c r="D389" i="3"/>
  <c r="E381" i="3"/>
  <c r="C371" i="3"/>
  <c r="D360" i="3"/>
  <c r="E349" i="3"/>
  <c r="E332" i="3"/>
  <c r="E315" i="3"/>
  <c r="C250" i="3"/>
  <c r="D466" i="3"/>
  <c r="C465" i="3"/>
  <c r="E463" i="3"/>
  <c r="D462" i="3"/>
  <c r="C461" i="3"/>
  <c r="E459" i="3"/>
  <c r="D458" i="3"/>
  <c r="C457" i="3"/>
  <c r="E455" i="3"/>
  <c r="D454" i="3"/>
  <c r="C453" i="3"/>
  <c r="E451" i="3"/>
  <c r="D450" i="3"/>
  <c r="C449" i="3"/>
  <c r="E447" i="3"/>
  <c r="D446" i="3"/>
  <c r="C445" i="3"/>
  <c r="E443" i="3"/>
  <c r="D442" i="3"/>
  <c r="C441" i="3"/>
  <c r="E439" i="3"/>
  <c r="D438" i="3"/>
  <c r="C437" i="3"/>
  <c r="E435" i="3"/>
  <c r="D434" i="3"/>
  <c r="C433" i="3"/>
  <c r="E431" i="3"/>
  <c r="D430" i="3"/>
  <c r="C429" i="3"/>
  <c r="E427" i="3"/>
  <c r="D426" i="3"/>
  <c r="C425" i="3"/>
  <c r="E423" i="3"/>
  <c r="C421" i="3"/>
  <c r="D418" i="3"/>
  <c r="E415" i="3"/>
  <c r="C413" i="3"/>
  <c r="D410" i="3"/>
  <c r="E407" i="3"/>
  <c r="C405" i="3"/>
  <c r="D402" i="3"/>
  <c r="E399" i="3"/>
  <c r="C397" i="3"/>
  <c r="D394" i="3"/>
  <c r="E391" i="3"/>
  <c r="C389" i="3"/>
  <c r="D380" i="3"/>
  <c r="E369" i="3"/>
  <c r="C359" i="3"/>
  <c r="E347" i="3"/>
  <c r="D313" i="3"/>
  <c r="D241" i="3"/>
  <c r="D423" i="3"/>
  <c r="E420" i="3"/>
  <c r="C418" i="3"/>
  <c r="D415" i="3"/>
  <c r="E412" i="3"/>
  <c r="C410" i="3"/>
  <c r="D407" i="3"/>
  <c r="E404" i="3"/>
  <c r="C402" i="3"/>
  <c r="D399" i="3"/>
  <c r="E396" i="3"/>
  <c r="C394" i="3"/>
  <c r="D391" i="3"/>
  <c r="D388" i="3"/>
  <c r="C379" i="3"/>
  <c r="D368" i="3"/>
  <c r="E357" i="3"/>
  <c r="D345" i="3"/>
  <c r="D328" i="3"/>
  <c r="D311" i="3"/>
  <c r="C291" i="3"/>
  <c r="C233" i="3"/>
  <c r="E464" i="3"/>
  <c r="D463" i="3"/>
  <c r="C462" i="3"/>
  <c r="E460" i="3"/>
  <c r="D459" i="3"/>
  <c r="C458" i="3"/>
  <c r="E456" i="3"/>
  <c r="D455" i="3"/>
  <c r="C454" i="3"/>
  <c r="E452" i="3"/>
  <c r="D451" i="3"/>
  <c r="C450" i="3"/>
  <c r="E448" i="3"/>
  <c r="D447" i="3"/>
  <c r="C446" i="3"/>
  <c r="E444" i="3"/>
  <c r="D443" i="3"/>
  <c r="C442" i="3"/>
  <c r="E440" i="3"/>
  <c r="D439" i="3"/>
  <c r="C438" i="3"/>
  <c r="E436" i="3"/>
  <c r="D435" i="3"/>
  <c r="C434" i="3"/>
  <c r="E432" i="3"/>
  <c r="D431" i="3"/>
  <c r="C430" i="3"/>
  <c r="E428" i="3"/>
  <c r="D427" i="3"/>
  <c r="C426" i="3"/>
  <c r="E424" i="3"/>
  <c r="C423" i="3"/>
  <c r="D420" i="3"/>
  <c r="E417" i="3"/>
  <c r="C415" i="3"/>
  <c r="D412" i="3"/>
  <c r="E409" i="3"/>
  <c r="C407" i="3"/>
  <c r="D404" i="3"/>
  <c r="E401" i="3"/>
  <c r="C399" i="3"/>
  <c r="D396" i="3"/>
  <c r="E393" i="3"/>
  <c r="C391" i="3"/>
  <c r="E387" i="3"/>
  <c r="E377" i="3"/>
  <c r="C367" i="3"/>
  <c r="D356" i="3"/>
  <c r="D343" i="3"/>
  <c r="D326" i="3"/>
  <c r="E285" i="3"/>
  <c r="D224" i="3"/>
  <c r="E422" i="3"/>
  <c r="C420" i="3"/>
  <c r="D417" i="3"/>
  <c r="E414" i="3"/>
  <c r="C412" i="3"/>
  <c r="D409" i="3"/>
  <c r="E406" i="3"/>
  <c r="C404" i="3"/>
  <c r="D401" i="3"/>
  <c r="E398" i="3"/>
  <c r="C396" i="3"/>
  <c r="D393" i="3"/>
  <c r="E390" i="3"/>
  <c r="C387" i="3"/>
  <c r="D376" i="3"/>
  <c r="E365" i="3"/>
  <c r="C355" i="3"/>
  <c r="C324" i="3"/>
  <c r="C307" i="3"/>
  <c r="D280" i="3"/>
  <c r="D468" i="3"/>
  <c r="C467" i="3"/>
  <c r="E465" i="3"/>
  <c r="D464" i="3"/>
  <c r="C463" i="3"/>
  <c r="E461" i="3"/>
  <c r="D460" i="3"/>
  <c r="C459" i="3"/>
  <c r="E457" i="3"/>
  <c r="D456" i="3"/>
  <c r="C455" i="3"/>
  <c r="E453" i="3"/>
  <c r="D452" i="3"/>
  <c r="C451" i="3"/>
  <c r="E449" i="3"/>
  <c r="D448" i="3"/>
  <c r="C447" i="3"/>
  <c r="E445" i="3"/>
  <c r="D444" i="3"/>
  <c r="C443" i="3"/>
  <c r="E441" i="3"/>
  <c r="D440" i="3"/>
  <c r="C439" i="3"/>
  <c r="E437" i="3"/>
  <c r="D436" i="3"/>
  <c r="C435" i="3"/>
  <c r="E433" i="3"/>
  <c r="D432" i="3"/>
  <c r="C431" i="3"/>
  <c r="E429" i="3"/>
  <c r="D428" i="3"/>
  <c r="C427" i="3"/>
  <c r="E425" i="3"/>
  <c r="D424" i="3"/>
  <c r="D422" i="3"/>
  <c r="E419" i="3"/>
  <c r="C417" i="3"/>
  <c r="D414" i="3"/>
  <c r="E411" i="3"/>
  <c r="C409" i="3"/>
  <c r="D406" i="3"/>
  <c r="E403" i="3"/>
  <c r="C401" i="3"/>
  <c r="D398" i="3"/>
  <c r="E395" i="3"/>
  <c r="C393" i="3"/>
  <c r="D390" i="3"/>
  <c r="E385" i="3"/>
  <c r="C375" i="3"/>
  <c r="D364" i="3"/>
  <c r="E353" i="3"/>
  <c r="C339" i="3"/>
  <c r="C322" i="3"/>
  <c r="C305" i="3"/>
  <c r="C275" i="3"/>
  <c r="C187" i="3"/>
  <c r="C422" i="3"/>
  <c r="D419" i="3"/>
  <c r="E416" i="3"/>
  <c r="C414" i="3"/>
  <c r="D411" i="3"/>
  <c r="E408" i="3"/>
  <c r="C406" i="3"/>
  <c r="D403" i="3"/>
  <c r="E400" i="3"/>
  <c r="C398" i="3"/>
  <c r="D395" i="3"/>
  <c r="E392" i="3"/>
  <c r="C390" i="3"/>
  <c r="D384" i="3"/>
  <c r="E373" i="3"/>
  <c r="C363" i="3"/>
  <c r="D352" i="3"/>
  <c r="C337" i="3"/>
  <c r="E302" i="3"/>
  <c r="C267" i="3"/>
  <c r="D349" i="3"/>
  <c r="D347" i="3"/>
  <c r="C343" i="3"/>
  <c r="C341" i="3"/>
  <c r="E338" i="3"/>
  <c r="E336" i="3"/>
  <c r="D332" i="3"/>
  <c r="D330" i="3"/>
  <c r="C328" i="3"/>
  <c r="C326" i="3"/>
  <c r="E321" i="3"/>
  <c r="E319" i="3"/>
  <c r="D317" i="3"/>
  <c r="D315" i="3"/>
  <c r="C311" i="3"/>
  <c r="C309" i="3"/>
  <c r="E306" i="3"/>
  <c r="E304" i="3"/>
  <c r="D300" i="3"/>
  <c r="D298" i="3"/>
  <c r="E295" i="3"/>
  <c r="D266" i="3"/>
  <c r="E257" i="3"/>
  <c r="E240" i="3"/>
  <c r="C232" i="3"/>
  <c r="E223" i="3"/>
  <c r="D211" i="3"/>
  <c r="E184" i="3"/>
  <c r="E150" i="3"/>
  <c r="C388" i="3"/>
  <c r="E386" i="3"/>
  <c r="D385" i="3"/>
  <c r="C384" i="3"/>
  <c r="E382" i="3"/>
  <c r="D381" i="3"/>
  <c r="C380" i="3"/>
  <c r="E378" i="3"/>
  <c r="D377" i="3"/>
  <c r="C376" i="3"/>
  <c r="E374" i="3"/>
  <c r="D373" i="3"/>
  <c r="C372" i="3"/>
  <c r="E370" i="3"/>
  <c r="D369" i="3"/>
  <c r="C368" i="3"/>
  <c r="E366" i="3"/>
  <c r="D365" i="3"/>
  <c r="C364" i="3"/>
  <c r="E362" i="3"/>
  <c r="D361" i="3"/>
  <c r="C360" i="3"/>
  <c r="E358" i="3"/>
  <c r="D357" i="3"/>
  <c r="C356" i="3"/>
  <c r="E354" i="3"/>
  <c r="D353" i="3"/>
  <c r="C352" i="3"/>
  <c r="E350" i="3"/>
  <c r="C347" i="3"/>
  <c r="C345" i="3"/>
  <c r="E342" i="3"/>
  <c r="E340" i="3"/>
  <c r="D336" i="3"/>
  <c r="D334" i="3"/>
  <c r="C332" i="3"/>
  <c r="C330" i="3"/>
  <c r="E325" i="3"/>
  <c r="E323" i="3"/>
  <c r="D321" i="3"/>
  <c r="D319" i="3"/>
  <c r="C315" i="3"/>
  <c r="C313" i="3"/>
  <c r="E310" i="3"/>
  <c r="E308" i="3"/>
  <c r="D304" i="3"/>
  <c r="D302" i="3"/>
  <c r="C300" i="3"/>
  <c r="C298" i="3"/>
  <c r="C295" i="3"/>
  <c r="E289" i="3"/>
  <c r="D284" i="3"/>
  <c r="C279" i="3"/>
  <c r="D273" i="3"/>
  <c r="C265" i="3"/>
  <c r="D256" i="3"/>
  <c r="D239" i="3"/>
  <c r="E230" i="3"/>
  <c r="D222" i="3"/>
  <c r="E179" i="3"/>
  <c r="D141" i="3"/>
  <c r="C349" i="3"/>
  <c r="E346" i="3"/>
  <c r="E344" i="3"/>
  <c r="D340" i="3"/>
  <c r="D338" i="3"/>
  <c r="C336" i="3"/>
  <c r="C334" i="3"/>
  <c r="E329" i="3"/>
  <c r="E327" i="3"/>
  <c r="D325" i="3"/>
  <c r="D323" i="3"/>
  <c r="C319" i="3"/>
  <c r="C317" i="3"/>
  <c r="E314" i="3"/>
  <c r="E312" i="3"/>
  <c r="D308" i="3"/>
  <c r="D306" i="3"/>
  <c r="C304" i="3"/>
  <c r="C302" i="3"/>
  <c r="E297" i="3"/>
  <c r="E272" i="3"/>
  <c r="C264" i="3"/>
  <c r="E255" i="3"/>
  <c r="C247" i="3"/>
  <c r="C230" i="3"/>
  <c r="D221" i="3"/>
  <c r="C206" i="3"/>
  <c r="C133" i="3"/>
  <c r="D386" i="3"/>
  <c r="C385" i="3"/>
  <c r="E383" i="3"/>
  <c r="D382" i="3"/>
  <c r="C381" i="3"/>
  <c r="E379" i="3"/>
  <c r="D378" i="3"/>
  <c r="C377" i="3"/>
  <c r="E375" i="3"/>
  <c r="D374" i="3"/>
  <c r="C373" i="3"/>
  <c r="E371" i="3"/>
  <c r="D370" i="3"/>
  <c r="C369" i="3"/>
  <c r="E367" i="3"/>
  <c r="D366" i="3"/>
  <c r="C365" i="3"/>
  <c r="E363" i="3"/>
  <c r="D362" i="3"/>
  <c r="C361" i="3"/>
  <c r="E359" i="3"/>
  <c r="D358" i="3"/>
  <c r="C357" i="3"/>
  <c r="E355" i="3"/>
  <c r="D354" i="3"/>
  <c r="C353" i="3"/>
  <c r="E351" i="3"/>
  <c r="D350" i="3"/>
  <c r="E348" i="3"/>
  <c r="D344" i="3"/>
  <c r="D342" i="3"/>
  <c r="C340" i="3"/>
  <c r="C338" i="3"/>
  <c r="E333" i="3"/>
  <c r="E331" i="3"/>
  <c r="D329" i="3"/>
  <c r="D327" i="3"/>
  <c r="C323" i="3"/>
  <c r="C321" i="3"/>
  <c r="E318" i="3"/>
  <c r="E316" i="3"/>
  <c r="D312" i="3"/>
  <c r="D310" i="3"/>
  <c r="C308" i="3"/>
  <c r="C306" i="3"/>
  <c r="E301" i="3"/>
  <c r="E299" i="3"/>
  <c r="D297" i="3"/>
  <c r="E293" i="3"/>
  <c r="D288" i="3"/>
  <c r="C283" i="3"/>
  <c r="E277" i="3"/>
  <c r="D271" i="3"/>
  <c r="E262" i="3"/>
  <c r="D254" i="3"/>
  <c r="E245" i="3"/>
  <c r="E228" i="3"/>
  <c r="C220" i="3"/>
  <c r="D171" i="3"/>
  <c r="D110" i="3"/>
  <c r="D348" i="3"/>
  <c r="D346" i="3"/>
  <c r="C344" i="3"/>
  <c r="C342" i="3"/>
  <c r="E337" i="3"/>
  <c r="E335" i="3"/>
  <c r="D333" i="3"/>
  <c r="D331" i="3"/>
  <c r="C327" i="3"/>
  <c r="C325" i="3"/>
  <c r="E322" i="3"/>
  <c r="E320" i="3"/>
  <c r="D316" i="3"/>
  <c r="D314" i="3"/>
  <c r="C312" i="3"/>
  <c r="C310" i="3"/>
  <c r="E305" i="3"/>
  <c r="E303" i="3"/>
  <c r="D301" i="3"/>
  <c r="D299" i="3"/>
  <c r="C262" i="3"/>
  <c r="D253" i="3"/>
  <c r="C245" i="3"/>
  <c r="D236" i="3"/>
  <c r="D219" i="3"/>
  <c r="E198" i="3"/>
  <c r="D168" i="3"/>
  <c r="E388" i="3"/>
  <c r="D387" i="3"/>
  <c r="C386" i="3"/>
  <c r="E384" i="3"/>
  <c r="D383" i="3"/>
  <c r="C382" i="3"/>
  <c r="E380" i="3"/>
  <c r="D379" i="3"/>
  <c r="C378" i="3"/>
  <c r="E376" i="3"/>
  <c r="D375" i="3"/>
  <c r="C374" i="3"/>
  <c r="E372" i="3"/>
  <c r="D371" i="3"/>
  <c r="C370" i="3"/>
  <c r="E368" i="3"/>
  <c r="D367" i="3"/>
  <c r="C366" i="3"/>
  <c r="E364" i="3"/>
  <c r="D363" i="3"/>
  <c r="C362" i="3"/>
  <c r="E360" i="3"/>
  <c r="D359" i="3"/>
  <c r="C358" i="3"/>
  <c r="E356" i="3"/>
  <c r="D355" i="3"/>
  <c r="C354" i="3"/>
  <c r="E352" i="3"/>
  <c r="D351" i="3"/>
  <c r="C350" i="3"/>
  <c r="C348" i="3"/>
  <c r="C346" i="3"/>
  <c r="E341" i="3"/>
  <c r="E339" i="3"/>
  <c r="D337" i="3"/>
  <c r="D335" i="3"/>
  <c r="C331" i="3"/>
  <c r="C329" i="3"/>
  <c r="E326" i="3"/>
  <c r="E324" i="3"/>
  <c r="D320" i="3"/>
  <c r="D318" i="3"/>
  <c r="C316" i="3"/>
  <c r="C314" i="3"/>
  <c r="E309" i="3"/>
  <c r="E307" i="3"/>
  <c r="D305" i="3"/>
  <c r="D303" i="3"/>
  <c r="C299" i="3"/>
  <c r="C297" i="3"/>
  <c r="D292" i="3"/>
  <c r="C287" i="3"/>
  <c r="E281" i="3"/>
  <c r="D276" i="3"/>
  <c r="E260" i="3"/>
  <c r="C252" i="3"/>
  <c r="E243" i="3"/>
  <c r="C235" i="3"/>
  <c r="C217" i="3"/>
  <c r="E162" i="3"/>
  <c r="E345" i="3"/>
  <c r="E343" i="3"/>
  <c r="D341" i="3"/>
  <c r="D339" i="3"/>
  <c r="C335" i="3"/>
  <c r="C333" i="3"/>
  <c r="E330" i="3"/>
  <c r="E328" i="3"/>
  <c r="D324" i="3"/>
  <c r="D322" i="3"/>
  <c r="C320" i="3"/>
  <c r="C318" i="3"/>
  <c r="E313" i="3"/>
  <c r="E311" i="3"/>
  <c r="D309" i="3"/>
  <c r="D307" i="3"/>
  <c r="C303" i="3"/>
  <c r="C301" i="3"/>
  <c r="E298" i="3"/>
  <c r="D296" i="3"/>
  <c r="D268" i="3"/>
  <c r="D251" i="3"/>
  <c r="E242" i="3"/>
  <c r="D234" i="3"/>
  <c r="E225" i="3"/>
  <c r="E215" i="3"/>
  <c r="E191" i="3"/>
  <c r="E159" i="3"/>
  <c r="E64" i="3"/>
  <c r="C271" i="3"/>
  <c r="C269" i="3"/>
  <c r="E266" i="3"/>
  <c r="E264" i="3"/>
  <c r="D260" i="3"/>
  <c r="D258" i="3"/>
  <c r="C256" i="3"/>
  <c r="C254" i="3"/>
  <c r="E249" i="3"/>
  <c r="E247" i="3"/>
  <c r="D245" i="3"/>
  <c r="D243" i="3"/>
  <c r="C239" i="3"/>
  <c r="C237" i="3"/>
  <c r="E234" i="3"/>
  <c r="E232" i="3"/>
  <c r="D228" i="3"/>
  <c r="D226" i="3"/>
  <c r="C224" i="3"/>
  <c r="C222" i="3"/>
  <c r="E216" i="3"/>
  <c r="E212" i="3"/>
  <c r="D207" i="3"/>
  <c r="E200" i="3"/>
  <c r="D193" i="3"/>
  <c r="D186" i="3"/>
  <c r="C179" i="3"/>
  <c r="D170" i="3"/>
  <c r="C162" i="3"/>
  <c r="D153" i="3"/>
  <c r="D107" i="3"/>
  <c r="D73" i="3"/>
  <c r="C296" i="3"/>
  <c r="E294" i="3"/>
  <c r="D293" i="3"/>
  <c r="C292" i="3"/>
  <c r="E290" i="3"/>
  <c r="D289" i="3"/>
  <c r="C288" i="3"/>
  <c r="E286" i="3"/>
  <c r="D285" i="3"/>
  <c r="C284" i="3"/>
  <c r="E282" i="3"/>
  <c r="D281" i="3"/>
  <c r="C280" i="3"/>
  <c r="E278" i="3"/>
  <c r="D277" i="3"/>
  <c r="C276" i="3"/>
  <c r="E274" i="3"/>
  <c r="C273" i="3"/>
  <c r="E270" i="3"/>
  <c r="E268" i="3"/>
  <c r="D264" i="3"/>
  <c r="D262" i="3"/>
  <c r="C260" i="3"/>
  <c r="C258" i="3"/>
  <c r="E253" i="3"/>
  <c r="E251" i="3"/>
  <c r="D249" i="3"/>
  <c r="D247" i="3"/>
  <c r="C243" i="3"/>
  <c r="C241" i="3"/>
  <c r="E238" i="3"/>
  <c r="E236" i="3"/>
  <c r="D232" i="3"/>
  <c r="D230" i="3"/>
  <c r="C228" i="3"/>
  <c r="C226" i="3"/>
  <c r="E221" i="3"/>
  <c r="E219" i="3"/>
  <c r="D192" i="3"/>
  <c r="E177" i="3"/>
  <c r="C169" i="3"/>
  <c r="E160" i="3"/>
  <c r="C136" i="3"/>
  <c r="E101" i="3"/>
  <c r="E67" i="3"/>
  <c r="D294" i="3"/>
  <c r="C293" i="3"/>
  <c r="E291" i="3"/>
  <c r="D290" i="3"/>
  <c r="C289" i="3"/>
  <c r="E287" i="3"/>
  <c r="D286" i="3"/>
  <c r="C285" i="3"/>
  <c r="E283" i="3"/>
  <c r="D282" i="3"/>
  <c r="C281" i="3"/>
  <c r="E279" i="3"/>
  <c r="D278" i="3"/>
  <c r="C277" i="3"/>
  <c r="E275" i="3"/>
  <c r="D274" i="3"/>
  <c r="D272" i="3"/>
  <c r="D270" i="3"/>
  <c r="C268" i="3"/>
  <c r="C266" i="3"/>
  <c r="E261" i="3"/>
  <c r="E259" i="3"/>
  <c r="D257" i="3"/>
  <c r="D255" i="3"/>
  <c r="C251" i="3"/>
  <c r="C249" i="3"/>
  <c r="E246" i="3"/>
  <c r="E244" i="3"/>
  <c r="D240" i="3"/>
  <c r="D238" i="3"/>
  <c r="C236" i="3"/>
  <c r="C234" i="3"/>
  <c r="E229" i="3"/>
  <c r="E227" i="3"/>
  <c r="D225" i="3"/>
  <c r="D223" i="3"/>
  <c r="D215" i="3"/>
  <c r="E197" i="3"/>
  <c r="C167" i="3"/>
  <c r="D158" i="3"/>
  <c r="D127" i="3"/>
  <c r="D93" i="3"/>
  <c r="C59" i="3"/>
  <c r="C274" i="3"/>
  <c r="C272" i="3"/>
  <c r="C270" i="3"/>
  <c r="E265" i="3"/>
  <c r="E263" i="3"/>
  <c r="D261" i="3"/>
  <c r="D259" i="3"/>
  <c r="C255" i="3"/>
  <c r="C253" i="3"/>
  <c r="E250" i="3"/>
  <c r="E248" i="3"/>
  <c r="D244" i="3"/>
  <c r="D242" i="3"/>
  <c r="C240" i="3"/>
  <c r="C238" i="3"/>
  <c r="E233" i="3"/>
  <c r="E231" i="3"/>
  <c r="D229" i="3"/>
  <c r="D227" i="3"/>
  <c r="C223" i="3"/>
  <c r="C221" i="3"/>
  <c r="D218" i="3"/>
  <c r="C210" i="3"/>
  <c r="C204" i="3"/>
  <c r="C197" i="3"/>
  <c r="C190" i="3"/>
  <c r="E182" i="3"/>
  <c r="E174" i="3"/>
  <c r="E157" i="3"/>
  <c r="C148" i="3"/>
  <c r="D124" i="3"/>
  <c r="D90" i="3"/>
  <c r="E296" i="3"/>
  <c r="D295" i="3"/>
  <c r="C294" i="3"/>
  <c r="E292" i="3"/>
  <c r="D291" i="3"/>
  <c r="C290" i="3"/>
  <c r="E288" i="3"/>
  <c r="D287" i="3"/>
  <c r="C286" i="3"/>
  <c r="E284" i="3"/>
  <c r="D283" i="3"/>
  <c r="C282" i="3"/>
  <c r="E280" i="3"/>
  <c r="D279" i="3"/>
  <c r="C278" i="3"/>
  <c r="E276" i="3"/>
  <c r="D275" i="3"/>
  <c r="E269" i="3"/>
  <c r="E267" i="3"/>
  <c r="D265" i="3"/>
  <c r="D263" i="3"/>
  <c r="C259" i="3"/>
  <c r="C257" i="3"/>
  <c r="E254" i="3"/>
  <c r="E252" i="3"/>
  <c r="D248" i="3"/>
  <c r="D246" i="3"/>
  <c r="C244" i="3"/>
  <c r="C242" i="3"/>
  <c r="E237" i="3"/>
  <c r="E235" i="3"/>
  <c r="D233" i="3"/>
  <c r="D231" i="3"/>
  <c r="C227" i="3"/>
  <c r="C225" i="3"/>
  <c r="E222" i="3"/>
  <c r="E220" i="3"/>
  <c r="C218" i="3"/>
  <c r="D214" i="3"/>
  <c r="C203" i="3"/>
  <c r="E181" i="3"/>
  <c r="D173" i="3"/>
  <c r="D156" i="3"/>
  <c r="C146" i="3"/>
  <c r="E84" i="3"/>
  <c r="E273" i="3"/>
  <c r="E271" i="3"/>
  <c r="D269" i="3"/>
  <c r="D267" i="3"/>
  <c r="C263" i="3"/>
  <c r="C261" i="3"/>
  <c r="E258" i="3"/>
  <c r="E256" i="3"/>
  <c r="D252" i="3"/>
  <c r="D250" i="3"/>
  <c r="C248" i="3"/>
  <c r="C246" i="3"/>
  <c r="E241" i="3"/>
  <c r="E239" i="3"/>
  <c r="D237" i="3"/>
  <c r="D235" i="3"/>
  <c r="C231" i="3"/>
  <c r="C229" i="3"/>
  <c r="E226" i="3"/>
  <c r="E224" i="3"/>
  <c r="D220" i="3"/>
  <c r="C214" i="3"/>
  <c r="E208" i="3"/>
  <c r="D202" i="3"/>
  <c r="D195" i="3"/>
  <c r="C188" i="3"/>
  <c r="C181" i="3"/>
  <c r="E172" i="3"/>
  <c r="C164" i="3"/>
  <c r="E144" i="3"/>
  <c r="C116" i="3"/>
  <c r="E81" i="3"/>
  <c r="D37" i="3"/>
  <c r="C213" i="3"/>
  <c r="E211" i="3"/>
  <c r="D210" i="3"/>
  <c r="C209" i="3"/>
  <c r="E207" i="3"/>
  <c r="D206" i="3"/>
  <c r="E204" i="3"/>
  <c r="E202" i="3"/>
  <c r="C201" i="3"/>
  <c r="D199" i="3"/>
  <c r="D197" i="3"/>
  <c r="E195" i="3"/>
  <c r="C194" i="3"/>
  <c r="C192" i="3"/>
  <c r="D190" i="3"/>
  <c r="E188" i="3"/>
  <c r="E186" i="3"/>
  <c r="C185" i="3"/>
  <c r="D183" i="3"/>
  <c r="D181" i="3"/>
  <c r="D177" i="3"/>
  <c r="D175" i="3"/>
  <c r="C173" i="3"/>
  <c r="C171" i="3"/>
  <c r="E166" i="3"/>
  <c r="E164" i="3"/>
  <c r="D162" i="3"/>
  <c r="D160" i="3"/>
  <c r="C156" i="3"/>
  <c r="C154" i="3"/>
  <c r="D151" i="3"/>
  <c r="E148" i="3"/>
  <c r="D145" i="3"/>
  <c r="C135" i="3"/>
  <c r="E126" i="3"/>
  <c r="C118" i="3"/>
  <c r="C101" i="3"/>
  <c r="D92" i="3"/>
  <c r="C84" i="3"/>
  <c r="D75" i="3"/>
  <c r="D58" i="3"/>
  <c r="E42" i="3"/>
  <c r="D204" i="3"/>
  <c r="C199" i="3"/>
  <c r="E193" i="3"/>
  <c r="D188" i="3"/>
  <c r="C183" i="3"/>
  <c r="D179" i="3"/>
  <c r="C177" i="3"/>
  <c r="C175" i="3"/>
  <c r="E170" i="3"/>
  <c r="E168" i="3"/>
  <c r="D166" i="3"/>
  <c r="D164" i="3"/>
  <c r="C160" i="3"/>
  <c r="C158" i="3"/>
  <c r="E155" i="3"/>
  <c r="E153" i="3"/>
  <c r="C151" i="3"/>
  <c r="D148" i="3"/>
  <c r="C140" i="3"/>
  <c r="E133" i="3"/>
  <c r="D125" i="3"/>
  <c r="E116" i="3"/>
  <c r="E99" i="3"/>
  <c r="C91" i="3"/>
  <c r="E82" i="3"/>
  <c r="C74" i="3"/>
  <c r="C57" i="3"/>
  <c r="E205" i="3"/>
  <c r="D200" i="3"/>
  <c r="C195" i="3"/>
  <c r="E189" i="3"/>
  <c r="D184" i="3"/>
  <c r="E178" i="3"/>
  <c r="E176" i="3"/>
  <c r="D174" i="3"/>
  <c r="D172" i="3"/>
  <c r="C168" i="3"/>
  <c r="C166" i="3"/>
  <c r="E163" i="3"/>
  <c r="E161" i="3"/>
  <c r="D157" i="3"/>
  <c r="D155" i="3"/>
  <c r="C144" i="3"/>
  <c r="E138" i="3"/>
  <c r="E131" i="3"/>
  <c r="C123" i="3"/>
  <c r="E114" i="3"/>
  <c r="C106" i="3"/>
  <c r="C89" i="3"/>
  <c r="D80" i="3"/>
  <c r="C72" i="3"/>
  <c r="D63" i="3"/>
  <c r="C219" i="3"/>
  <c r="E217" i="3"/>
  <c r="D216" i="3"/>
  <c r="C215" i="3"/>
  <c r="E213" i="3"/>
  <c r="D212" i="3"/>
  <c r="C211" i="3"/>
  <c r="E209" i="3"/>
  <c r="D208" i="3"/>
  <c r="C207" i="3"/>
  <c r="D205" i="3"/>
  <c r="E203" i="3"/>
  <c r="C202" i="3"/>
  <c r="C200" i="3"/>
  <c r="D198" i="3"/>
  <c r="E196" i="3"/>
  <c r="E194" i="3"/>
  <c r="C193" i="3"/>
  <c r="D191" i="3"/>
  <c r="D189" i="3"/>
  <c r="E187" i="3"/>
  <c r="C186" i="3"/>
  <c r="C184" i="3"/>
  <c r="D182" i="3"/>
  <c r="E180" i="3"/>
  <c r="D178" i="3"/>
  <c r="D176" i="3"/>
  <c r="C172" i="3"/>
  <c r="C170" i="3"/>
  <c r="E167" i="3"/>
  <c r="E165" i="3"/>
  <c r="D161" i="3"/>
  <c r="D159" i="3"/>
  <c r="C157" i="3"/>
  <c r="C155" i="3"/>
  <c r="E152" i="3"/>
  <c r="C150" i="3"/>
  <c r="D147" i="3"/>
  <c r="D122" i="3"/>
  <c r="E113" i="3"/>
  <c r="D105" i="3"/>
  <c r="E96" i="3"/>
  <c r="E79" i="3"/>
  <c r="C71" i="3"/>
  <c r="E62" i="3"/>
  <c r="D53" i="3"/>
  <c r="C32" i="3"/>
  <c r="E201" i="3"/>
  <c r="D196" i="3"/>
  <c r="C191" i="3"/>
  <c r="E185" i="3"/>
  <c r="D180" i="3"/>
  <c r="C176" i="3"/>
  <c r="C174" i="3"/>
  <c r="E171" i="3"/>
  <c r="E169" i="3"/>
  <c r="D165" i="3"/>
  <c r="D163" i="3"/>
  <c r="C161" i="3"/>
  <c r="C159" i="3"/>
  <c r="E154" i="3"/>
  <c r="D152" i="3"/>
  <c r="E149" i="3"/>
  <c r="E146" i="3"/>
  <c r="E142" i="3"/>
  <c r="D137" i="3"/>
  <c r="C121" i="3"/>
  <c r="D112" i="3"/>
  <c r="C104" i="3"/>
  <c r="D95" i="3"/>
  <c r="D78" i="3"/>
  <c r="E69" i="3"/>
  <c r="D61" i="3"/>
  <c r="E218" i="3"/>
  <c r="D217" i="3"/>
  <c r="C216" i="3"/>
  <c r="E214" i="3"/>
  <c r="D213" i="3"/>
  <c r="C212" i="3"/>
  <c r="E210" i="3"/>
  <c r="D209" i="3"/>
  <c r="C208" i="3"/>
  <c r="E206" i="3"/>
  <c r="C205" i="3"/>
  <c r="D203" i="3"/>
  <c r="D201" i="3"/>
  <c r="E199" i="3"/>
  <c r="C198" i="3"/>
  <c r="C196" i="3"/>
  <c r="D194" i="3"/>
  <c r="E192" i="3"/>
  <c r="E190" i="3"/>
  <c r="C189" i="3"/>
  <c r="D187" i="3"/>
  <c r="D185" i="3"/>
  <c r="E183" i="3"/>
  <c r="C182" i="3"/>
  <c r="C180" i="3"/>
  <c r="C178" i="3"/>
  <c r="E175" i="3"/>
  <c r="E173" i="3"/>
  <c r="D169" i="3"/>
  <c r="D167" i="3"/>
  <c r="C165" i="3"/>
  <c r="C163" i="3"/>
  <c r="E158" i="3"/>
  <c r="E156" i="3"/>
  <c r="D154" i="3"/>
  <c r="C152" i="3"/>
  <c r="D149" i="3"/>
  <c r="E128" i="3"/>
  <c r="E111" i="3"/>
  <c r="C103" i="3"/>
  <c r="E94" i="3"/>
  <c r="C86" i="3"/>
  <c r="C69" i="3"/>
  <c r="D60" i="3"/>
  <c r="C48" i="3"/>
  <c r="E26" i="3"/>
  <c r="E135" i="3"/>
  <c r="D131" i="3"/>
  <c r="D129" i="3"/>
  <c r="C127" i="3"/>
  <c r="C125" i="3"/>
  <c r="E120" i="3"/>
  <c r="E118" i="3"/>
  <c r="D116" i="3"/>
  <c r="D114" i="3"/>
  <c r="C110" i="3"/>
  <c r="C108" i="3"/>
  <c r="E105" i="3"/>
  <c r="E103" i="3"/>
  <c r="D99" i="3"/>
  <c r="D97" i="3"/>
  <c r="C95" i="3"/>
  <c r="C93" i="3"/>
  <c r="E88" i="3"/>
  <c r="E86" i="3"/>
  <c r="D84" i="3"/>
  <c r="D82" i="3"/>
  <c r="C78" i="3"/>
  <c r="C76" i="3"/>
  <c r="E73" i="3"/>
  <c r="E71" i="3"/>
  <c r="D67" i="3"/>
  <c r="D65" i="3"/>
  <c r="C63" i="3"/>
  <c r="C61" i="3"/>
  <c r="E56" i="3"/>
  <c r="E54" i="3"/>
  <c r="D49" i="3"/>
  <c r="C44" i="3"/>
  <c r="E38" i="3"/>
  <c r="D33" i="3"/>
  <c r="C28" i="3"/>
  <c r="C153" i="3"/>
  <c r="E151" i="3"/>
  <c r="D150" i="3"/>
  <c r="C149" i="3"/>
  <c r="E147" i="3"/>
  <c r="D146" i="3"/>
  <c r="C145" i="3"/>
  <c r="E143" i="3"/>
  <c r="D142" i="3"/>
  <c r="C141" i="3"/>
  <c r="E139" i="3"/>
  <c r="D138" i="3"/>
  <c r="C137" i="3"/>
  <c r="D135" i="3"/>
  <c r="D133" i="3"/>
  <c r="C131" i="3"/>
  <c r="C129" i="3"/>
  <c r="E124" i="3"/>
  <c r="E122" i="3"/>
  <c r="D120" i="3"/>
  <c r="D118" i="3"/>
  <c r="C114" i="3"/>
  <c r="C112" i="3"/>
  <c r="E109" i="3"/>
  <c r="E107" i="3"/>
  <c r="D103" i="3"/>
  <c r="D101" i="3"/>
  <c r="C99" i="3"/>
  <c r="C97" i="3"/>
  <c r="E92" i="3"/>
  <c r="E90" i="3"/>
  <c r="D88" i="3"/>
  <c r="D86" i="3"/>
  <c r="C82" i="3"/>
  <c r="C80" i="3"/>
  <c r="E77" i="3"/>
  <c r="E75" i="3"/>
  <c r="D71" i="3"/>
  <c r="D69" i="3"/>
  <c r="C67" i="3"/>
  <c r="C65" i="3"/>
  <c r="E60" i="3"/>
  <c r="E58" i="3"/>
  <c r="D56" i="3"/>
  <c r="D143" i="3"/>
  <c r="C142" i="3"/>
  <c r="E140" i="3"/>
  <c r="D139" i="3"/>
  <c r="C138" i="3"/>
  <c r="E136" i="3"/>
  <c r="E132" i="3"/>
  <c r="E130" i="3"/>
  <c r="D128" i="3"/>
  <c r="D126" i="3"/>
  <c r="C122" i="3"/>
  <c r="C120" i="3"/>
  <c r="E117" i="3"/>
  <c r="E115" i="3"/>
  <c r="D111" i="3"/>
  <c r="D109" i="3"/>
  <c r="C107" i="3"/>
  <c r="C105" i="3"/>
  <c r="E100" i="3"/>
  <c r="E98" i="3"/>
  <c r="D96" i="3"/>
  <c r="D94" i="3"/>
  <c r="C90" i="3"/>
  <c r="C88" i="3"/>
  <c r="E85" i="3"/>
  <c r="E83" i="3"/>
  <c r="D79" i="3"/>
  <c r="D77" i="3"/>
  <c r="C75" i="3"/>
  <c r="C73" i="3"/>
  <c r="E68" i="3"/>
  <c r="E66" i="3"/>
  <c r="D64" i="3"/>
  <c r="D62" i="3"/>
  <c r="C58" i="3"/>
  <c r="C56" i="3"/>
  <c r="E134" i="3"/>
  <c r="D132" i="3"/>
  <c r="D130" i="3"/>
  <c r="C126" i="3"/>
  <c r="C124" i="3"/>
  <c r="E121" i="3"/>
  <c r="E119" i="3"/>
  <c r="D115" i="3"/>
  <c r="D113" i="3"/>
  <c r="C111" i="3"/>
  <c r="C109" i="3"/>
  <c r="E104" i="3"/>
  <c r="E102" i="3"/>
  <c r="D100" i="3"/>
  <c r="D98" i="3"/>
  <c r="C94" i="3"/>
  <c r="C92" i="3"/>
  <c r="E89" i="3"/>
  <c r="E87" i="3"/>
  <c r="D83" i="3"/>
  <c r="D81" i="3"/>
  <c r="C79" i="3"/>
  <c r="C77" i="3"/>
  <c r="E72" i="3"/>
  <c r="E70" i="3"/>
  <c r="D68" i="3"/>
  <c r="D66" i="3"/>
  <c r="C62" i="3"/>
  <c r="C60" i="3"/>
  <c r="E57" i="3"/>
  <c r="E55" i="3"/>
  <c r="C52" i="3"/>
  <c r="E46" i="3"/>
  <c r="D41" i="3"/>
  <c r="C36" i="3"/>
  <c r="E30" i="3"/>
  <c r="D25" i="3"/>
  <c r="C147" i="3"/>
  <c r="E145" i="3"/>
  <c r="D144" i="3"/>
  <c r="C143" i="3"/>
  <c r="E141" i="3"/>
  <c r="D140" i="3"/>
  <c r="C139" i="3"/>
  <c r="E137" i="3"/>
  <c r="D136" i="3"/>
  <c r="D134" i="3"/>
  <c r="C130" i="3"/>
  <c r="C128" i="3"/>
  <c r="E125" i="3"/>
  <c r="E123" i="3"/>
  <c r="D119" i="3"/>
  <c r="D117" i="3"/>
  <c r="C115" i="3"/>
  <c r="C113" i="3"/>
  <c r="E108" i="3"/>
  <c r="E106" i="3"/>
  <c r="D104" i="3"/>
  <c r="D102" i="3"/>
  <c r="C98" i="3"/>
  <c r="C96" i="3"/>
  <c r="E93" i="3"/>
  <c r="E91" i="3"/>
  <c r="D87" i="3"/>
  <c r="D85" i="3"/>
  <c r="C83" i="3"/>
  <c r="C81" i="3"/>
  <c r="E76" i="3"/>
  <c r="E74" i="3"/>
  <c r="D72" i="3"/>
  <c r="D70" i="3"/>
  <c r="C66" i="3"/>
  <c r="C64" i="3"/>
  <c r="E61" i="3"/>
  <c r="E59" i="3"/>
  <c r="D55" i="3"/>
  <c r="C134" i="3"/>
  <c r="C132" i="3"/>
  <c r="E129" i="3"/>
  <c r="E127" i="3"/>
  <c r="D123" i="3"/>
  <c r="D121" i="3"/>
  <c r="C119" i="3"/>
  <c r="C117" i="3"/>
  <c r="E112" i="3"/>
  <c r="E110" i="3"/>
  <c r="D108" i="3"/>
  <c r="D106" i="3"/>
  <c r="C102" i="3"/>
  <c r="C100" i="3"/>
  <c r="E97" i="3"/>
  <c r="E95" i="3"/>
  <c r="D91" i="3"/>
  <c r="D89" i="3"/>
  <c r="C87" i="3"/>
  <c r="C85" i="3"/>
  <c r="E80" i="3"/>
  <c r="E78" i="3"/>
  <c r="D76" i="3"/>
  <c r="D74" i="3"/>
  <c r="C70" i="3"/>
  <c r="C68" i="3"/>
  <c r="E65" i="3"/>
  <c r="E63" i="3"/>
  <c r="D59" i="3"/>
  <c r="D57" i="3"/>
  <c r="C55" i="3"/>
  <c r="E50" i="3"/>
  <c r="D45" i="3"/>
  <c r="C40" i="3"/>
  <c r="E34" i="3"/>
  <c r="D29" i="3"/>
  <c r="C24" i="3"/>
  <c r="D54" i="3"/>
  <c r="C53" i="3"/>
  <c r="E51" i="3"/>
  <c r="D50" i="3"/>
  <c r="C49" i="3"/>
  <c r="E47" i="3"/>
  <c r="D46" i="3"/>
  <c r="C45" i="3"/>
  <c r="E43" i="3"/>
  <c r="D42" i="3"/>
  <c r="C41" i="3"/>
  <c r="E39" i="3"/>
  <c r="D38" i="3"/>
  <c r="C37" i="3"/>
  <c r="E35" i="3"/>
  <c r="D34" i="3"/>
  <c r="C33" i="3"/>
  <c r="E31" i="3"/>
  <c r="D30" i="3"/>
  <c r="C29" i="3"/>
  <c r="E27" i="3"/>
  <c r="D26" i="3"/>
  <c r="C25" i="3"/>
  <c r="E23" i="3"/>
  <c r="C54" i="3"/>
  <c r="E52" i="3"/>
  <c r="D51" i="3"/>
  <c r="C50" i="3"/>
  <c r="E48" i="3"/>
  <c r="D47" i="3"/>
  <c r="C46" i="3"/>
  <c r="E44" i="3"/>
  <c r="D43" i="3"/>
  <c r="C42" i="3"/>
  <c r="E40" i="3"/>
  <c r="D39" i="3"/>
  <c r="C38" i="3"/>
  <c r="E36" i="3"/>
  <c r="D35" i="3"/>
  <c r="C34" i="3"/>
  <c r="E32" i="3"/>
  <c r="D31" i="3"/>
  <c r="C30" i="3"/>
  <c r="E28" i="3"/>
  <c r="D27" i="3"/>
  <c r="C26" i="3"/>
  <c r="E24" i="3"/>
  <c r="D23" i="3"/>
  <c r="E53" i="3"/>
  <c r="D52" i="3"/>
  <c r="C51" i="3"/>
  <c r="E49" i="3"/>
  <c r="D48" i="3"/>
  <c r="C47" i="3"/>
  <c r="E45" i="3"/>
  <c r="D44" i="3"/>
  <c r="C43" i="3"/>
  <c r="E41" i="3"/>
  <c r="D40" i="3"/>
  <c r="C39" i="3"/>
  <c r="E37" i="3"/>
  <c r="D36" i="3"/>
  <c r="C35" i="3"/>
  <c r="E33" i="3"/>
  <c r="D32" i="3"/>
  <c r="C31" i="3"/>
  <c r="E29" i="3"/>
  <c r="D28" i="3"/>
  <c r="C27" i="3"/>
  <c r="E25" i="3"/>
  <c r="D24" i="3"/>
  <c r="C23" i="3"/>
  <c r="E22" i="3"/>
  <c r="D22" i="3"/>
  <c r="C22" i="3"/>
  <c r="I22" i="3"/>
  <c r="J22" i="3"/>
  <c r="K16" i="2"/>
  <c r="K15" i="2" s="1"/>
  <c r="J21" i="2"/>
  <c r="I21" i="2"/>
  <c r="E542" i="1"/>
  <c r="E701" i="1"/>
  <c r="E410" i="1"/>
  <c r="E330" i="1"/>
  <c r="E720" i="1"/>
  <c r="E449" i="1"/>
  <c r="E196" i="1"/>
  <c r="E674" i="1"/>
  <c r="E324" i="1"/>
  <c r="E478" i="1"/>
  <c r="E601" i="1"/>
  <c r="E635" i="1"/>
  <c r="E656" i="1"/>
  <c r="E221" i="1"/>
  <c r="E68" i="1"/>
  <c r="E685" i="1"/>
  <c r="E698" i="1"/>
  <c r="E213" i="1"/>
  <c r="E313" i="1"/>
  <c r="E691" i="1"/>
  <c r="E592" i="1"/>
  <c r="E412" i="1"/>
  <c r="E725" i="1"/>
  <c r="E649" i="1"/>
  <c r="E591" i="1"/>
  <c r="E686" i="1"/>
  <c r="E528" i="1"/>
  <c r="E194" i="1"/>
  <c r="E625" i="1"/>
  <c r="E749" i="1"/>
  <c r="E419" i="1"/>
  <c r="E618" i="1"/>
  <c r="E631" i="1"/>
  <c r="E384" i="1"/>
  <c r="E66" i="1"/>
  <c r="E91" i="1"/>
  <c r="E575" i="1"/>
  <c r="E747" i="1"/>
  <c r="E85" i="1"/>
  <c r="E509" i="1"/>
  <c r="E488" i="1"/>
  <c r="E369" i="1"/>
  <c r="E615" i="1"/>
  <c r="E562" i="1"/>
  <c r="E382" i="1"/>
  <c r="E545" i="1"/>
  <c r="E511" i="1"/>
  <c r="E347" i="1"/>
  <c r="E219" i="1"/>
  <c r="E446" i="1"/>
  <c r="E460" i="1"/>
  <c r="E745" i="1"/>
  <c r="E723" i="1"/>
  <c r="E648" i="1"/>
  <c r="E361" i="1"/>
  <c r="E658" i="1"/>
  <c r="E694" i="1"/>
  <c r="E621" i="1"/>
  <c r="E353" i="1"/>
  <c r="E707" i="1"/>
  <c r="E634" i="1"/>
  <c r="E561" i="1"/>
  <c r="E529" i="1"/>
  <c r="E551" i="1"/>
  <c r="E392" i="1"/>
  <c r="E610" i="1"/>
  <c r="E537" i="1"/>
  <c r="E456" i="1"/>
  <c r="E245" i="1"/>
  <c r="E617" i="1"/>
  <c r="E710" i="1"/>
  <c r="E637" i="1"/>
  <c r="E525" i="1"/>
  <c r="E69" i="1"/>
  <c r="E737" i="1"/>
  <c r="E627" i="1"/>
  <c r="E554" i="1"/>
  <c r="E512" i="1"/>
  <c r="E378" i="1"/>
  <c r="E750" i="1"/>
  <c r="E590" i="1"/>
  <c r="E732" i="1"/>
  <c r="E668" i="1"/>
  <c r="E604" i="1"/>
  <c r="E540" i="1"/>
  <c r="E486" i="1"/>
  <c r="E327" i="1"/>
  <c r="E326" i="1"/>
  <c r="E121" i="1"/>
  <c r="E388" i="1"/>
  <c r="E356" i="1"/>
  <c r="E228" i="1"/>
  <c r="E100" i="1"/>
  <c r="E251" i="1"/>
  <c r="E123" i="1"/>
  <c r="E226" i="1"/>
  <c r="E98" i="1"/>
  <c r="E730" i="1"/>
  <c r="E346" i="1"/>
  <c r="E520" i="1"/>
  <c r="E364" i="1"/>
  <c r="E727" i="1"/>
  <c r="E712" i="1"/>
  <c r="E304" i="1"/>
  <c r="E671" i="1"/>
  <c r="E758" i="1"/>
  <c r="E501" i="1"/>
  <c r="E521" i="1"/>
  <c r="E661" i="1"/>
  <c r="E508" i="1"/>
  <c r="E683" i="1"/>
  <c r="E626" i="1"/>
  <c r="E653" i="1"/>
  <c r="E543" i="1"/>
  <c r="E321" i="1"/>
  <c r="E739" i="1"/>
  <c r="E666" i="1"/>
  <c r="E593" i="1"/>
  <c r="E515" i="1"/>
  <c r="E387" i="1"/>
  <c r="E465" i="1"/>
  <c r="E693" i="1"/>
  <c r="E583" i="1"/>
  <c r="E345" i="1"/>
  <c r="E149" i="1"/>
  <c r="E715" i="1"/>
  <c r="E642" i="1"/>
  <c r="E569" i="1"/>
  <c r="E181" i="1"/>
  <c r="E742" i="1"/>
  <c r="E669" i="1"/>
  <c r="E559" i="1"/>
  <c r="E519" i="1"/>
  <c r="E659" i="1"/>
  <c r="E586" i="1"/>
  <c r="E360" i="1"/>
  <c r="E741" i="1"/>
  <c r="E581" i="1"/>
  <c r="E517" i="1"/>
  <c r="E724" i="1"/>
  <c r="E660" i="1"/>
  <c r="E596" i="1"/>
  <c r="E532" i="1"/>
  <c r="E459" i="1"/>
  <c r="E463" i="1"/>
  <c r="E269" i="1"/>
  <c r="E365" i="1"/>
  <c r="E336" i="1"/>
  <c r="E208" i="1"/>
  <c r="E80" i="1"/>
  <c r="E231" i="1"/>
  <c r="E103" i="1"/>
  <c r="E206" i="1"/>
  <c r="E78" i="1"/>
  <c r="E547" i="1"/>
  <c r="E681" i="1"/>
  <c r="E577" i="1"/>
  <c r="E584" i="1"/>
  <c r="E426" i="1"/>
  <c r="E141" i="1"/>
  <c r="E307" i="1"/>
  <c r="E176" i="1"/>
  <c r="E199" i="1"/>
  <c r="E71" i="1"/>
  <c r="E174" i="1"/>
  <c r="E639" i="1"/>
  <c r="E566" i="1"/>
  <c r="E428" i="1"/>
  <c r="E133" i="1"/>
  <c r="E689" i="1"/>
  <c r="E579" i="1"/>
  <c r="E314" i="1"/>
  <c r="E679" i="1"/>
  <c r="E606" i="1"/>
  <c r="E594" i="1"/>
  <c r="E717" i="1"/>
  <c r="E738" i="1"/>
  <c r="E665" i="1"/>
  <c r="E555" i="1"/>
  <c r="E722" i="1"/>
  <c r="E483" i="1"/>
  <c r="E655" i="1"/>
  <c r="E582" i="1"/>
  <c r="E492" i="1"/>
  <c r="E337" i="1"/>
  <c r="E667" i="1"/>
  <c r="E755" i="1"/>
  <c r="E682" i="1"/>
  <c r="E609" i="1"/>
  <c r="E451" i="1"/>
  <c r="E229" i="1"/>
  <c r="E553" i="1"/>
  <c r="E677" i="1"/>
  <c r="E558" i="1"/>
  <c r="E700" i="1"/>
  <c r="E636" i="1"/>
  <c r="E572" i="1"/>
  <c r="E505" i="1"/>
  <c r="E432" i="1"/>
  <c r="E209" i="1"/>
  <c r="E413" i="1"/>
  <c r="E93" i="1"/>
  <c r="E375" i="1"/>
  <c r="E461" i="1"/>
  <c r="E292" i="1"/>
  <c r="E164" i="1"/>
  <c r="E187" i="1"/>
  <c r="E59" i="1"/>
  <c r="E290" i="1"/>
  <c r="E162" i="1"/>
  <c r="E657" i="1"/>
  <c r="E574" i="1"/>
  <c r="E735" i="1"/>
  <c r="E733" i="1"/>
  <c r="E506" i="1"/>
  <c r="E650" i="1"/>
  <c r="E257" i="1"/>
  <c r="E507" i="1"/>
  <c r="E726" i="1"/>
  <c r="E638" i="1"/>
  <c r="E526" i="1"/>
  <c r="E699" i="1"/>
  <c r="E541" i="1"/>
  <c r="E305" i="1"/>
  <c r="E714" i="1"/>
  <c r="E641" i="1"/>
  <c r="E530" i="1"/>
  <c r="E433" i="1"/>
  <c r="E165" i="1"/>
  <c r="E718" i="1"/>
  <c r="E613" i="1"/>
  <c r="E396" i="1"/>
  <c r="E756" i="1"/>
  <c r="E692" i="1"/>
  <c r="E628" i="1"/>
  <c r="E564" i="1"/>
  <c r="E496" i="1"/>
  <c r="E129" i="1"/>
  <c r="E390" i="1"/>
  <c r="E535" i="1"/>
  <c r="E349" i="1"/>
  <c r="E297" i="1"/>
  <c r="E438" i="1"/>
  <c r="E272" i="1"/>
  <c r="E144" i="1"/>
  <c r="E295" i="1"/>
  <c r="E167" i="1"/>
  <c r="E270" i="1"/>
  <c r="E142" i="1"/>
  <c r="E571" i="1"/>
  <c r="E706" i="1"/>
  <c r="E401" i="1"/>
  <c r="E623" i="1"/>
  <c r="E354" i="1"/>
  <c r="E567" i="1"/>
  <c r="E721" i="1"/>
  <c r="E611" i="1"/>
  <c r="E538" i="1"/>
  <c r="E565" i="1"/>
  <c r="E101" i="1"/>
  <c r="E614" i="1"/>
  <c r="E557" i="1"/>
  <c r="E516" i="1"/>
  <c r="E391" i="1"/>
  <c r="E753" i="1"/>
  <c r="E643" i="1"/>
  <c r="E570" i="1"/>
  <c r="E533" i="1"/>
  <c r="E442" i="1"/>
  <c r="E197" i="1"/>
  <c r="E585" i="1"/>
  <c r="E757" i="1"/>
  <c r="E670" i="1"/>
  <c r="E597" i="1"/>
  <c r="E405" i="1"/>
  <c r="E754" i="1"/>
  <c r="E539" i="1"/>
  <c r="E743" i="1"/>
  <c r="E729" i="1"/>
  <c r="E619" i="1"/>
  <c r="E546" i="1"/>
  <c r="E338" i="1"/>
  <c r="E719" i="1"/>
  <c r="E646" i="1"/>
  <c r="E573" i="1"/>
  <c r="E455" i="1"/>
  <c r="E746" i="1"/>
  <c r="E673" i="1"/>
  <c r="E563" i="1"/>
  <c r="E53" i="1"/>
  <c r="E322" i="1"/>
  <c r="E663" i="1"/>
  <c r="E752" i="1"/>
  <c r="E688" i="1"/>
  <c r="E624" i="1"/>
  <c r="E560" i="1"/>
  <c r="E491" i="1"/>
  <c r="E409" i="1"/>
  <c r="E81" i="1"/>
  <c r="E522" i="1"/>
  <c r="E376" i="1"/>
  <c r="E485" i="1"/>
  <c r="E325" i="1"/>
  <c r="E457" i="1"/>
  <c r="E249" i="1"/>
  <c r="E260" i="1"/>
  <c r="E132" i="1"/>
  <c r="E283" i="1"/>
  <c r="E155" i="1"/>
  <c r="E258" i="1"/>
  <c r="E130" i="1"/>
  <c r="E607" i="1"/>
  <c r="E497" i="1"/>
  <c r="E647" i="1"/>
  <c r="E633" i="1"/>
  <c r="E534" i="1"/>
  <c r="E550" i="1"/>
  <c r="E293" i="1"/>
  <c r="E487" i="1"/>
  <c r="E389" i="1"/>
  <c r="E598" i="1"/>
  <c r="E261" i="1"/>
  <c r="E711" i="1"/>
  <c r="E423" i="1"/>
  <c r="E697" i="1"/>
  <c r="E587" i="1"/>
  <c r="E687" i="1"/>
  <c r="E713" i="1"/>
  <c r="E703" i="1"/>
  <c r="E630" i="1"/>
  <c r="E690" i="1"/>
  <c r="E277" i="1"/>
  <c r="E662" i="1"/>
  <c r="E589" i="1"/>
  <c r="E510" i="1"/>
  <c r="E373" i="1"/>
  <c r="E675" i="1"/>
  <c r="E602" i="1"/>
  <c r="E527" i="1"/>
  <c r="E424" i="1"/>
  <c r="E117" i="1"/>
  <c r="E702" i="1"/>
  <c r="E629" i="1"/>
  <c r="E734" i="1"/>
  <c r="E651" i="1"/>
  <c r="E578" i="1"/>
  <c r="E474" i="1"/>
  <c r="E306" i="1"/>
  <c r="E751" i="1"/>
  <c r="E678" i="1"/>
  <c r="E605" i="1"/>
  <c r="E437" i="1"/>
  <c r="E705" i="1"/>
  <c r="E595" i="1"/>
  <c r="E518" i="1"/>
  <c r="E731" i="1"/>
  <c r="E654" i="1"/>
  <c r="E329" i="1"/>
  <c r="E744" i="1"/>
  <c r="E680" i="1"/>
  <c r="E616" i="1"/>
  <c r="E552" i="1"/>
  <c r="E482" i="1"/>
  <c r="E386" i="1"/>
  <c r="E500" i="1"/>
  <c r="E351" i="1"/>
  <c r="E499" i="1"/>
  <c r="E350" i="1"/>
  <c r="E462" i="1"/>
  <c r="E434" i="1"/>
  <c r="E169" i="1"/>
  <c r="E240" i="1"/>
  <c r="E112" i="1"/>
  <c r="E263" i="1"/>
  <c r="E135" i="1"/>
  <c r="E238" i="1"/>
  <c r="E110" i="1"/>
  <c r="E645" i="1"/>
  <c r="E736" i="1"/>
  <c r="E704" i="1"/>
  <c r="E672" i="1"/>
  <c r="E640" i="1"/>
  <c r="E608" i="1"/>
  <c r="E576" i="1"/>
  <c r="E544" i="1"/>
  <c r="E473" i="1"/>
  <c r="E400" i="1"/>
  <c r="E363" i="1"/>
  <c r="E177" i="1"/>
  <c r="E477" i="1"/>
  <c r="E404" i="1"/>
  <c r="E367" i="1"/>
  <c r="E311" i="1"/>
  <c r="E513" i="1"/>
  <c r="E440" i="1"/>
  <c r="E403" i="1"/>
  <c r="E310" i="1"/>
  <c r="E189" i="1"/>
  <c r="E61" i="1"/>
  <c r="E476" i="1"/>
  <c r="E439" i="1"/>
  <c r="E366" i="1"/>
  <c r="E309" i="1"/>
  <c r="E448" i="1"/>
  <c r="E411" i="1"/>
  <c r="E217" i="1"/>
  <c r="E89" i="1"/>
  <c r="E452" i="1"/>
  <c r="E415" i="1"/>
  <c r="E331" i="1"/>
  <c r="E348" i="1"/>
  <c r="E316" i="1"/>
  <c r="E284" i="1"/>
  <c r="E252" i="1"/>
  <c r="E220" i="1"/>
  <c r="E188" i="1"/>
  <c r="E156" i="1"/>
  <c r="E124" i="1"/>
  <c r="E92" i="1"/>
  <c r="E60" i="1"/>
  <c r="E275" i="1"/>
  <c r="E243" i="1"/>
  <c r="E211" i="1"/>
  <c r="E179" i="1"/>
  <c r="E147" i="1"/>
  <c r="E115" i="1"/>
  <c r="E83" i="1"/>
  <c r="E282" i="1"/>
  <c r="E250" i="1"/>
  <c r="E218" i="1"/>
  <c r="E186" i="1"/>
  <c r="E154" i="1"/>
  <c r="E122" i="1"/>
  <c r="E90" i="1"/>
  <c r="E58" i="1"/>
  <c r="E395" i="1"/>
  <c r="E289" i="1"/>
  <c r="E161" i="1"/>
  <c r="E436" i="1"/>
  <c r="E399" i="1"/>
  <c r="E302" i="1"/>
  <c r="E472" i="1"/>
  <c r="E435" i="1"/>
  <c r="E362" i="1"/>
  <c r="E301" i="1"/>
  <c r="E173" i="1"/>
  <c r="E471" i="1"/>
  <c r="E398" i="1"/>
  <c r="E480" i="1"/>
  <c r="E443" i="1"/>
  <c r="E370" i="1"/>
  <c r="E201" i="1"/>
  <c r="E73" i="1"/>
  <c r="E484" i="1"/>
  <c r="E447" i="1"/>
  <c r="E374" i="1"/>
  <c r="E323" i="1"/>
  <c r="E344" i="1"/>
  <c r="E312" i="1"/>
  <c r="E280" i="1"/>
  <c r="E248" i="1"/>
  <c r="E216" i="1"/>
  <c r="E184" i="1"/>
  <c r="E152" i="1"/>
  <c r="E120" i="1"/>
  <c r="E88" i="1"/>
  <c r="E56" i="1"/>
  <c r="E303" i="1"/>
  <c r="E271" i="1"/>
  <c r="E239" i="1"/>
  <c r="E207" i="1"/>
  <c r="E175" i="1"/>
  <c r="E143" i="1"/>
  <c r="E111" i="1"/>
  <c r="E79" i="1"/>
  <c r="E278" i="1"/>
  <c r="E246" i="1"/>
  <c r="E214" i="1"/>
  <c r="E182" i="1"/>
  <c r="E150" i="1"/>
  <c r="E118" i="1"/>
  <c r="E86" i="1"/>
  <c r="E54" i="1"/>
  <c r="E603" i="1"/>
  <c r="E709" i="1"/>
  <c r="E599" i="1"/>
  <c r="E524" i="1"/>
  <c r="E414" i="1"/>
  <c r="E728" i="1"/>
  <c r="E696" i="1"/>
  <c r="E664" i="1"/>
  <c r="E632" i="1"/>
  <c r="E600" i="1"/>
  <c r="E568" i="1"/>
  <c r="E536" i="1"/>
  <c r="E464" i="1"/>
  <c r="E427" i="1"/>
  <c r="E273" i="1"/>
  <c r="E145" i="1"/>
  <c r="E468" i="1"/>
  <c r="E431" i="1"/>
  <c r="E358" i="1"/>
  <c r="E504" i="1"/>
  <c r="E467" i="1"/>
  <c r="E394" i="1"/>
  <c r="E285" i="1"/>
  <c r="E157" i="1"/>
  <c r="E430" i="1"/>
  <c r="E357" i="1"/>
  <c r="E475" i="1"/>
  <c r="E402" i="1"/>
  <c r="E185" i="1"/>
  <c r="E57" i="1"/>
  <c r="E479" i="1"/>
  <c r="E406" i="1"/>
  <c r="E315" i="1"/>
  <c r="E340" i="1"/>
  <c r="E308" i="1"/>
  <c r="E276" i="1"/>
  <c r="E244" i="1"/>
  <c r="E212" i="1"/>
  <c r="E180" i="1"/>
  <c r="E148" i="1"/>
  <c r="E116" i="1"/>
  <c r="E84" i="1"/>
  <c r="E52" i="1"/>
  <c r="E299" i="1"/>
  <c r="E267" i="1"/>
  <c r="E235" i="1"/>
  <c r="E203" i="1"/>
  <c r="E171" i="1"/>
  <c r="E139" i="1"/>
  <c r="E107" i="1"/>
  <c r="E75" i="1"/>
  <c r="E274" i="1"/>
  <c r="E242" i="1"/>
  <c r="E210" i="1"/>
  <c r="E178" i="1"/>
  <c r="E146" i="1"/>
  <c r="E114" i="1"/>
  <c r="E82" i="1"/>
  <c r="E418" i="1"/>
  <c r="E241" i="1"/>
  <c r="E113" i="1"/>
  <c r="E495" i="1"/>
  <c r="E422" i="1"/>
  <c r="E343" i="1"/>
  <c r="E531" i="1"/>
  <c r="E458" i="1"/>
  <c r="E385" i="1"/>
  <c r="E342" i="1"/>
  <c r="E253" i="1"/>
  <c r="E125" i="1"/>
  <c r="E494" i="1"/>
  <c r="E421" i="1"/>
  <c r="E341" i="1"/>
  <c r="E466" i="1"/>
  <c r="E393" i="1"/>
  <c r="E281" i="1"/>
  <c r="E153" i="1"/>
  <c r="E470" i="1"/>
  <c r="E397" i="1"/>
  <c r="E332" i="1"/>
  <c r="E300" i="1"/>
  <c r="E268" i="1"/>
  <c r="E236" i="1"/>
  <c r="E204" i="1"/>
  <c r="E172" i="1"/>
  <c r="E140" i="1"/>
  <c r="E108" i="1"/>
  <c r="E76" i="1"/>
  <c r="E291" i="1"/>
  <c r="E259" i="1"/>
  <c r="E227" i="1"/>
  <c r="E195" i="1"/>
  <c r="E163" i="1"/>
  <c r="E131" i="1"/>
  <c r="E99" i="1"/>
  <c r="E67" i="1"/>
  <c r="E298" i="1"/>
  <c r="E266" i="1"/>
  <c r="E234" i="1"/>
  <c r="E202" i="1"/>
  <c r="E170" i="1"/>
  <c r="E138" i="1"/>
  <c r="E106" i="1"/>
  <c r="E74" i="1"/>
  <c r="E695" i="1"/>
  <c r="E622" i="1"/>
  <c r="E549" i="1"/>
  <c r="E503" i="1"/>
  <c r="E359" i="1"/>
  <c r="E748" i="1"/>
  <c r="E716" i="1"/>
  <c r="E684" i="1"/>
  <c r="E652" i="1"/>
  <c r="E620" i="1"/>
  <c r="E588" i="1"/>
  <c r="E556" i="1"/>
  <c r="E523" i="1"/>
  <c r="E450" i="1"/>
  <c r="E377" i="1"/>
  <c r="E225" i="1"/>
  <c r="E97" i="1"/>
  <c r="E454" i="1"/>
  <c r="E381" i="1"/>
  <c r="E335" i="1"/>
  <c r="E490" i="1"/>
  <c r="E417" i="1"/>
  <c r="E334" i="1"/>
  <c r="E237" i="1"/>
  <c r="E109" i="1"/>
  <c r="E453" i="1"/>
  <c r="E380" i="1"/>
  <c r="E333" i="1"/>
  <c r="E498" i="1"/>
  <c r="E425" i="1"/>
  <c r="E265" i="1"/>
  <c r="E137" i="1"/>
  <c r="E502" i="1"/>
  <c r="E429" i="1"/>
  <c r="E355" i="1"/>
  <c r="E328" i="1"/>
  <c r="E296" i="1"/>
  <c r="E264" i="1"/>
  <c r="E232" i="1"/>
  <c r="E200" i="1"/>
  <c r="E168" i="1"/>
  <c r="E136" i="1"/>
  <c r="E104" i="1"/>
  <c r="E72" i="1"/>
  <c r="E287" i="1"/>
  <c r="E255" i="1"/>
  <c r="E223" i="1"/>
  <c r="E191" i="1"/>
  <c r="E159" i="1"/>
  <c r="E127" i="1"/>
  <c r="E95" i="1"/>
  <c r="E63" i="1"/>
  <c r="E294" i="1"/>
  <c r="E262" i="1"/>
  <c r="E230" i="1"/>
  <c r="E198" i="1"/>
  <c r="E166" i="1"/>
  <c r="E134" i="1"/>
  <c r="E102" i="1"/>
  <c r="E70" i="1"/>
  <c r="E469" i="1"/>
  <c r="E740" i="1"/>
  <c r="E708" i="1"/>
  <c r="E676" i="1"/>
  <c r="E644" i="1"/>
  <c r="E612" i="1"/>
  <c r="E580" i="1"/>
  <c r="E548" i="1"/>
  <c r="E514" i="1"/>
  <c r="E441" i="1"/>
  <c r="E368" i="1"/>
  <c r="E193" i="1"/>
  <c r="E65" i="1"/>
  <c r="E445" i="1"/>
  <c r="E372" i="1"/>
  <c r="E319" i="1"/>
  <c r="E481" i="1"/>
  <c r="E408" i="1"/>
  <c r="E371" i="1"/>
  <c r="E318" i="1"/>
  <c r="E205" i="1"/>
  <c r="E77" i="1"/>
  <c r="E444" i="1"/>
  <c r="E407" i="1"/>
  <c r="E317" i="1"/>
  <c r="E489" i="1"/>
  <c r="E416" i="1"/>
  <c r="E379" i="1"/>
  <c r="E233" i="1"/>
  <c r="E105" i="1"/>
  <c r="E493" i="1"/>
  <c r="E420" i="1"/>
  <c r="E383" i="1"/>
  <c r="E339" i="1"/>
  <c r="E352" i="1"/>
  <c r="E320" i="1"/>
  <c r="E288" i="1"/>
  <c r="E256" i="1"/>
  <c r="E224" i="1"/>
  <c r="E192" i="1"/>
  <c r="E160" i="1"/>
  <c r="E128" i="1"/>
  <c r="E96" i="1"/>
  <c r="E64" i="1"/>
  <c r="E279" i="1"/>
  <c r="E247" i="1"/>
  <c r="E215" i="1"/>
  <c r="E183" i="1"/>
  <c r="E151" i="1"/>
  <c r="E119" i="1"/>
  <c r="E87" i="1"/>
  <c r="E55" i="1"/>
  <c r="E286" i="1"/>
  <c r="E254" i="1"/>
  <c r="E222" i="1"/>
  <c r="E190" i="1"/>
  <c r="E158" i="1"/>
  <c r="E126" i="1"/>
  <c r="E94" i="1"/>
  <c r="E62" i="1"/>
  <c r="E51" i="1"/>
  <c r="I21" i="1"/>
  <c r="J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<sst xmlns="http://schemas.openxmlformats.org/spreadsheetml/2006/main" count="49" uniqueCount="14">
  <si>
    <t>date</t>
  </si>
  <si>
    <t>close</t>
  </si>
  <si>
    <t>bank</t>
  </si>
  <si>
    <t>invested</t>
  </si>
  <si>
    <t>portfolio</t>
  </si>
  <si>
    <t>max</t>
  </si>
  <si>
    <t>min</t>
  </si>
  <si>
    <t>end</t>
  </si>
  <si>
    <t xml:space="preserve">profit </t>
  </si>
  <si>
    <t>num behind</t>
  </si>
  <si>
    <t>A</t>
  </si>
  <si>
    <t>B</t>
  </si>
  <si>
    <t>C</t>
  </si>
  <si>
    <t>shares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</si>
</sst>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Var(--ff-mono)"/>
    </font>
    <font>
      <sz val="10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18" fillId="0" borderId="0" xfId="0" applyFont="1" applyAlignment="1">
      <alignment horizontal="left" vertical="center" indent="1"/>
    </xf>
    <xf numFmtId="0" fontId="0" fillId="0" borderId="0" xfId="0" applyNumberFormat="1" applyFont="1"/>
    <xf numFmtId="0" fontId="19" fillId="0" borderId="0" xfId="0" applyNumberFormat="1" applyFont="1" applyAlignment="1">
      <alignment horizontal="left" vertical="center" indent="1"/>
    </xf>
    <xf numFmtId="0" fontId="0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applyNumberFormat="1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Close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'tesla-stock-price'!$A$3:$A$758</c:f>
              <c:numCache>
                <c:formatCode>m/d/yyyy</c:formatCode>
                <c:ptCount val="756"/>
                <c:pt idx="0">
                  <c:v>42292</c:v>
                </c:pt>
                <c:pt idx="1">
                  <c:v>42293</c:v>
                </c:pt>
                <c:pt idx="2">
                  <c:v>42296</c:v>
                </c:pt>
                <c:pt idx="3">
                  <c:v>42297</c:v>
                </c:pt>
                <c:pt idx="4">
                  <c:v>42298</c:v>
                </c:pt>
                <c:pt idx="5">
                  <c:v>42299</c:v>
                </c:pt>
                <c:pt idx="6">
                  <c:v>42300</c:v>
                </c:pt>
                <c:pt idx="7">
                  <c:v>42303</c:v>
                </c:pt>
                <c:pt idx="8">
                  <c:v>42304</c:v>
                </c:pt>
                <c:pt idx="9">
                  <c:v>42305</c:v>
                </c:pt>
                <c:pt idx="10">
                  <c:v>42306</c:v>
                </c:pt>
                <c:pt idx="11">
                  <c:v>42307</c:v>
                </c:pt>
                <c:pt idx="12">
                  <c:v>42310</c:v>
                </c:pt>
                <c:pt idx="13">
                  <c:v>42311</c:v>
                </c:pt>
                <c:pt idx="14">
                  <c:v>42312</c:v>
                </c:pt>
                <c:pt idx="15">
                  <c:v>42313</c:v>
                </c:pt>
                <c:pt idx="16">
                  <c:v>42314</c:v>
                </c:pt>
                <c:pt idx="17">
                  <c:v>42317</c:v>
                </c:pt>
                <c:pt idx="18">
                  <c:v>42318</c:v>
                </c:pt>
                <c:pt idx="19">
                  <c:v>42319</c:v>
                </c:pt>
                <c:pt idx="20">
                  <c:v>42320</c:v>
                </c:pt>
                <c:pt idx="21">
                  <c:v>42321</c:v>
                </c:pt>
                <c:pt idx="22">
                  <c:v>42324</c:v>
                </c:pt>
                <c:pt idx="23">
                  <c:v>42325</c:v>
                </c:pt>
                <c:pt idx="24">
                  <c:v>42326</c:v>
                </c:pt>
                <c:pt idx="25">
                  <c:v>42327</c:v>
                </c:pt>
                <c:pt idx="26">
                  <c:v>42328</c:v>
                </c:pt>
                <c:pt idx="27">
                  <c:v>42331</c:v>
                </c:pt>
                <c:pt idx="28">
                  <c:v>42332</c:v>
                </c:pt>
                <c:pt idx="29">
                  <c:v>42333</c:v>
                </c:pt>
                <c:pt idx="30">
                  <c:v>42335</c:v>
                </c:pt>
                <c:pt idx="31">
                  <c:v>42338</c:v>
                </c:pt>
                <c:pt idx="32">
                  <c:v>42339</c:v>
                </c:pt>
                <c:pt idx="33">
                  <c:v>42340</c:v>
                </c:pt>
                <c:pt idx="34">
                  <c:v>42341</c:v>
                </c:pt>
                <c:pt idx="35">
                  <c:v>42342</c:v>
                </c:pt>
                <c:pt idx="36">
                  <c:v>42345</c:v>
                </c:pt>
                <c:pt idx="37">
                  <c:v>42346</c:v>
                </c:pt>
                <c:pt idx="38">
                  <c:v>42347</c:v>
                </c:pt>
                <c:pt idx="39">
                  <c:v>42348</c:v>
                </c:pt>
                <c:pt idx="40">
                  <c:v>42349</c:v>
                </c:pt>
                <c:pt idx="41">
                  <c:v>42352</c:v>
                </c:pt>
                <c:pt idx="42">
                  <c:v>42353</c:v>
                </c:pt>
                <c:pt idx="43">
                  <c:v>42354</c:v>
                </c:pt>
                <c:pt idx="44">
                  <c:v>42355</c:v>
                </c:pt>
                <c:pt idx="45">
                  <c:v>42356</c:v>
                </c:pt>
                <c:pt idx="46">
                  <c:v>42359</c:v>
                </c:pt>
                <c:pt idx="47">
                  <c:v>42360</c:v>
                </c:pt>
                <c:pt idx="48">
                  <c:v>42361</c:v>
                </c:pt>
                <c:pt idx="49">
                  <c:v>42362</c:v>
                </c:pt>
                <c:pt idx="50">
                  <c:v>42366</c:v>
                </c:pt>
                <c:pt idx="51">
                  <c:v>42367</c:v>
                </c:pt>
                <c:pt idx="52">
                  <c:v>42368</c:v>
                </c:pt>
                <c:pt idx="53">
                  <c:v>42369</c:v>
                </c:pt>
                <c:pt idx="54">
                  <c:v>42373</c:v>
                </c:pt>
                <c:pt idx="55">
                  <c:v>42374</c:v>
                </c:pt>
                <c:pt idx="56">
                  <c:v>42375</c:v>
                </c:pt>
                <c:pt idx="57">
                  <c:v>42376</c:v>
                </c:pt>
                <c:pt idx="58">
                  <c:v>42377</c:v>
                </c:pt>
                <c:pt idx="59">
                  <c:v>42380</c:v>
                </c:pt>
                <c:pt idx="60">
                  <c:v>42381</c:v>
                </c:pt>
                <c:pt idx="61">
                  <c:v>42382</c:v>
                </c:pt>
                <c:pt idx="62">
                  <c:v>42383</c:v>
                </c:pt>
                <c:pt idx="63">
                  <c:v>42384</c:v>
                </c:pt>
                <c:pt idx="64">
                  <c:v>42388</c:v>
                </c:pt>
                <c:pt idx="65">
                  <c:v>42389</c:v>
                </c:pt>
                <c:pt idx="66">
                  <c:v>42390</c:v>
                </c:pt>
                <c:pt idx="67">
                  <c:v>42391</c:v>
                </c:pt>
                <c:pt idx="68">
                  <c:v>42394</c:v>
                </c:pt>
                <c:pt idx="69">
                  <c:v>42395</c:v>
                </c:pt>
                <c:pt idx="70">
                  <c:v>42396</c:v>
                </c:pt>
                <c:pt idx="71">
                  <c:v>42397</c:v>
                </c:pt>
                <c:pt idx="72">
                  <c:v>42398</c:v>
                </c:pt>
                <c:pt idx="73">
                  <c:v>42401</c:v>
                </c:pt>
                <c:pt idx="74">
                  <c:v>42402</c:v>
                </c:pt>
                <c:pt idx="75">
                  <c:v>42403</c:v>
                </c:pt>
                <c:pt idx="76">
                  <c:v>42404</c:v>
                </c:pt>
                <c:pt idx="77">
                  <c:v>42405</c:v>
                </c:pt>
                <c:pt idx="78">
                  <c:v>42408</c:v>
                </c:pt>
                <c:pt idx="79">
                  <c:v>42409</c:v>
                </c:pt>
                <c:pt idx="80">
                  <c:v>42410</c:v>
                </c:pt>
                <c:pt idx="81">
                  <c:v>42411</c:v>
                </c:pt>
                <c:pt idx="82">
                  <c:v>42412</c:v>
                </c:pt>
                <c:pt idx="83">
                  <c:v>42416</c:v>
                </c:pt>
                <c:pt idx="84">
                  <c:v>42417</c:v>
                </c:pt>
                <c:pt idx="85">
                  <c:v>42418</c:v>
                </c:pt>
                <c:pt idx="86">
                  <c:v>42419</c:v>
                </c:pt>
                <c:pt idx="87">
                  <c:v>42422</c:v>
                </c:pt>
                <c:pt idx="88">
                  <c:v>42423</c:v>
                </c:pt>
                <c:pt idx="89">
                  <c:v>42424</c:v>
                </c:pt>
                <c:pt idx="90">
                  <c:v>42425</c:v>
                </c:pt>
                <c:pt idx="91">
                  <c:v>42426</c:v>
                </c:pt>
                <c:pt idx="92">
                  <c:v>42429</c:v>
                </c:pt>
                <c:pt idx="93">
                  <c:v>42430</c:v>
                </c:pt>
                <c:pt idx="94">
                  <c:v>42431</c:v>
                </c:pt>
                <c:pt idx="95">
                  <c:v>42432</c:v>
                </c:pt>
                <c:pt idx="96">
                  <c:v>42433</c:v>
                </c:pt>
                <c:pt idx="97">
                  <c:v>42436</c:v>
                </c:pt>
                <c:pt idx="98">
                  <c:v>42437</c:v>
                </c:pt>
                <c:pt idx="99">
                  <c:v>42438</c:v>
                </c:pt>
                <c:pt idx="100">
                  <c:v>42439</c:v>
                </c:pt>
                <c:pt idx="101">
                  <c:v>42440</c:v>
                </c:pt>
                <c:pt idx="102">
                  <c:v>42443</c:v>
                </c:pt>
                <c:pt idx="103">
                  <c:v>42444</c:v>
                </c:pt>
                <c:pt idx="104">
                  <c:v>42445</c:v>
                </c:pt>
                <c:pt idx="105">
                  <c:v>42446</c:v>
                </c:pt>
                <c:pt idx="106">
                  <c:v>42447</c:v>
                </c:pt>
                <c:pt idx="107">
                  <c:v>42450</c:v>
                </c:pt>
                <c:pt idx="108">
                  <c:v>42451</c:v>
                </c:pt>
                <c:pt idx="109">
                  <c:v>42452</c:v>
                </c:pt>
                <c:pt idx="110">
                  <c:v>42453</c:v>
                </c:pt>
                <c:pt idx="111">
                  <c:v>42457</c:v>
                </c:pt>
                <c:pt idx="112">
                  <c:v>42458</c:v>
                </c:pt>
                <c:pt idx="113">
                  <c:v>42459</c:v>
                </c:pt>
                <c:pt idx="114">
                  <c:v>42460</c:v>
                </c:pt>
                <c:pt idx="115">
                  <c:v>42461</c:v>
                </c:pt>
                <c:pt idx="116">
                  <c:v>42464</c:v>
                </c:pt>
                <c:pt idx="117">
                  <c:v>42465</c:v>
                </c:pt>
                <c:pt idx="118">
                  <c:v>42466</c:v>
                </c:pt>
                <c:pt idx="119">
                  <c:v>42467</c:v>
                </c:pt>
                <c:pt idx="120">
                  <c:v>42468</c:v>
                </c:pt>
                <c:pt idx="121">
                  <c:v>42471</c:v>
                </c:pt>
                <c:pt idx="122">
                  <c:v>42472</c:v>
                </c:pt>
                <c:pt idx="123">
                  <c:v>42473</c:v>
                </c:pt>
                <c:pt idx="124">
                  <c:v>42474</c:v>
                </c:pt>
                <c:pt idx="125">
                  <c:v>42475</c:v>
                </c:pt>
                <c:pt idx="126">
                  <c:v>42478</c:v>
                </c:pt>
                <c:pt idx="127">
                  <c:v>42479</c:v>
                </c:pt>
                <c:pt idx="128">
                  <c:v>42480</c:v>
                </c:pt>
                <c:pt idx="129">
                  <c:v>42481</c:v>
                </c:pt>
                <c:pt idx="130">
                  <c:v>42482</c:v>
                </c:pt>
                <c:pt idx="131">
                  <c:v>42485</c:v>
                </c:pt>
                <c:pt idx="132">
                  <c:v>42486</c:v>
                </c:pt>
                <c:pt idx="133">
                  <c:v>42487</c:v>
                </c:pt>
                <c:pt idx="134">
                  <c:v>42488</c:v>
                </c:pt>
                <c:pt idx="135">
                  <c:v>42489</c:v>
                </c:pt>
                <c:pt idx="136">
                  <c:v>42492</c:v>
                </c:pt>
                <c:pt idx="137">
                  <c:v>42493</c:v>
                </c:pt>
                <c:pt idx="138">
                  <c:v>42494</c:v>
                </c:pt>
                <c:pt idx="139">
                  <c:v>42495</c:v>
                </c:pt>
                <c:pt idx="140">
                  <c:v>42496</c:v>
                </c:pt>
                <c:pt idx="141">
                  <c:v>42499</c:v>
                </c:pt>
                <c:pt idx="142">
                  <c:v>42500</c:v>
                </c:pt>
                <c:pt idx="143">
                  <c:v>42501</c:v>
                </c:pt>
                <c:pt idx="144">
                  <c:v>42502</c:v>
                </c:pt>
                <c:pt idx="145">
                  <c:v>42503</c:v>
                </c:pt>
                <c:pt idx="146">
                  <c:v>42506</c:v>
                </c:pt>
                <c:pt idx="147">
                  <c:v>42507</c:v>
                </c:pt>
                <c:pt idx="148">
                  <c:v>42508</c:v>
                </c:pt>
                <c:pt idx="149">
                  <c:v>42509</c:v>
                </c:pt>
                <c:pt idx="150">
                  <c:v>42510</c:v>
                </c:pt>
                <c:pt idx="151">
                  <c:v>42513</c:v>
                </c:pt>
                <c:pt idx="152">
                  <c:v>42514</c:v>
                </c:pt>
                <c:pt idx="153">
                  <c:v>42515</c:v>
                </c:pt>
                <c:pt idx="154">
                  <c:v>42516</c:v>
                </c:pt>
                <c:pt idx="155">
                  <c:v>42517</c:v>
                </c:pt>
                <c:pt idx="156">
                  <c:v>42521</c:v>
                </c:pt>
                <c:pt idx="157">
                  <c:v>42522</c:v>
                </c:pt>
                <c:pt idx="158">
                  <c:v>42523</c:v>
                </c:pt>
                <c:pt idx="159">
                  <c:v>42524</c:v>
                </c:pt>
                <c:pt idx="160">
                  <c:v>42527</c:v>
                </c:pt>
                <c:pt idx="161">
                  <c:v>42528</c:v>
                </c:pt>
                <c:pt idx="162">
                  <c:v>42529</c:v>
                </c:pt>
                <c:pt idx="163">
                  <c:v>42530</c:v>
                </c:pt>
                <c:pt idx="164">
                  <c:v>42531</c:v>
                </c:pt>
                <c:pt idx="165">
                  <c:v>42534</c:v>
                </c:pt>
                <c:pt idx="166">
                  <c:v>42535</c:v>
                </c:pt>
                <c:pt idx="167">
                  <c:v>42536</c:v>
                </c:pt>
                <c:pt idx="168">
                  <c:v>42537</c:v>
                </c:pt>
                <c:pt idx="169">
                  <c:v>42538</c:v>
                </c:pt>
                <c:pt idx="170">
                  <c:v>42541</c:v>
                </c:pt>
                <c:pt idx="171">
                  <c:v>42542</c:v>
                </c:pt>
                <c:pt idx="172">
                  <c:v>42543</c:v>
                </c:pt>
                <c:pt idx="173">
                  <c:v>42544</c:v>
                </c:pt>
                <c:pt idx="174">
                  <c:v>42545</c:v>
                </c:pt>
                <c:pt idx="175">
                  <c:v>42548</c:v>
                </c:pt>
                <c:pt idx="176">
                  <c:v>42549</c:v>
                </c:pt>
                <c:pt idx="177">
                  <c:v>42550</c:v>
                </c:pt>
                <c:pt idx="178">
                  <c:v>42551</c:v>
                </c:pt>
                <c:pt idx="179">
                  <c:v>42552</c:v>
                </c:pt>
                <c:pt idx="180">
                  <c:v>42556</c:v>
                </c:pt>
                <c:pt idx="181">
                  <c:v>42557</c:v>
                </c:pt>
                <c:pt idx="182">
                  <c:v>42558</c:v>
                </c:pt>
                <c:pt idx="183">
                  <c:v>42559</c:v>
                </c:pt>
                <c:pt idx="184">
                  <c:v>42562</c:v>
                </c:pt>
                <c:pt idx="185">
                  <c:v>42563</c:v>
                </c:pt>
                <c:pt idx="186">
                  <c:v>42564</c:v>
                </c:pt>
                <c:pt idx="187">
                  <c:v>42565</c:v>
                </c:pt>
                <c:pt idx="188">
                  <c:v>42566</c:v>
                </c:pt>
                <c:pt idx="189">
                  <c:v>42569</c:v>
                </c:pt>
                <c:pt idx="190">
                  <c:v>42570</c:v>
                </c:pt>
                <c:pt idx="191">
                  <c:v>42571</c:v>
                </c:pt>
                <c:pt idx="192">
                  <c:v>42572</c:v>
                </c:pt>
                <c:pt idx="193">
                  <c:v>42573</c:v>
                </c:pt>
                <c:pt idx="194">
                  <c:v>42576</c:v>
                </c:pt>
                <c:pt idx="195">
                  <c:v>42577</c:v>
                </c:pt>
                <c:pt idx="196">
                  <c:v>42578</c:v>
                </c:pt>
                <c:pt idx="197">
                  <c:v>42579</c:v>
                </c:pt>
                <c:pt idx="198">
                  <c:v>42580</c:v>
                </c:pt>
                <c:pt idx="199">
                  <c:v>42583</c:v>
                </c:pt>
                <c:pt idx="200">
                  <c:v>42584</c:v>
                </c:pt>
                <c:pt idx="201">
                  <c:v>42585</c:v>
                </c:pt>
                <c:pt idx="202">
                  <c:v>42586</c:v>
                </c:pt>
                <c:pt idx="203">
                  <c:v>42587</c:v>
                </c:pt>
                <c:pt idx="204">
                  <c:v>42590</c:v>
                </c:pt>
                <c:pt idx="205">
                  <c:v>42591</c:v>
                </c:pt>
                <c:pt idx="206">
                  <c:v>42592</c:v>
                </c:pt>
                <c:pt idx="207">
                  <c:v>42593</c:v>
                </c:pt>
                <c:pt idx="208">
                  <c:v>42594</c:v>
                </c:pt>
                <c:pt idx="209">
                  <c:v>42597</c:v>
                </c:pt>
                <c:pt idx="210">
                  <c:v>42598</c:v>
                </c:pt>
                <c:pt idx="211">
                  <c:v>42599</c:v>
                </c:pt>
                <c:pt idx="212">
                  <c:v>42600</c:v>
                </c:pt>
                <c:pt idx="213">
                  <c:v>42601</c:v>
                </c:pt>
                <c:pt idx="214">
                  <c:v>42604</c:v>
                </c:pt>
                <c:pt idx="215">
                  <c:v>42605</c:v>
                </c:pt>
                <c:pt idx="216">
                  <c:v>42606</c:v>
                </c:pt>
                <c:pt idx="217">
                  <c:v>42607</c:v>
                </c:pt>
                <c:pt idx="218">
                  <c:v>42608</c:v>
                </c:pt>
                <c:pt idx="219">
                  <c:v>42611</c:v>
                </c:pt>
                <c:pt idx="220">
                  <c:v>42612</c:v>
                </c:pt>
                <c:pt idx="221">
                  <c:v>42613</c:v>
                </c:pt>
                <c:pt idx="222">
                  <c:v>42614</c:v>
                </c:pt>
                <c:pt idx="223">
                  <c:v>42615</c:v>
                </c:pt>
                <c:pt idx="224">
                  <c:v>42619</c:v>
                </c:pt>
                <c:pt idx="225">
                  <c:v>42620</c:v>
                </c:pt>
                <c:pt idx="226">
                  <c:v>42621</c:v>
                </c:pt>
                <c:pt idx="227">
                  <c:v>42622</c:v>
                </c:pt>
                <c:pt idx="228">
                  <c:v>42625</c:v>
                </c:pt>
                <c:pt idx="229">
                  <c:v>42626</c:v>
                </c:pt>
                <c:pt idx="230">
                  <c:v>42627</c:v>
                </c:pt>
                <c:pt idx="231">
                  <c:v>42628</c:v>
                </c:pt>
                <c:pt idx="232">
                  <c:v>42629</c:v>
                </c:pt>
                <c:pt idx="233">
                  <c:v>42632</c:v>
                </c:pt>
                <c:pt idx="234">
                  <c:v>42633</c:v>
                </c:pt>
                <c:pt idx="235">
                  <c:v>42634</c:v>
                </c:pt>
                <c:pt idx="236">
                  <c:v>42635</c:v>
                </c:pt>
                <c:pt idx="237">
                  <c:v>42636</c:v>
                </c:pt>
                <c:pt idx="238">
                  <c:v>42639</c:v>
                </c:pt>
                <c:pt idx="239">
                  <c:v>42640</c:v>
                </c:pt>
                <c:pt idx="240">
                  <c:v>42641</c:v>
                </c:pt>
                <c:pt idx="241">
                  <c:v>42642</c:v>
                </c:pt>
                <c:pt idx="242">
                  <c:v>42643</c:v>
                </c:pt>
                <c:pt idx="243">
                  <c:v>42646</c:v>
                </c:pt>
                <c:pt idx="244">
                  <c:v>42647</c:v>
                </c:pt>
                <c:pt idx="245">
                  <c:v>42648</c:v>
                </c:pt>
                <c:pt idx="246">
                  <c:v>42649</c:v>
                </c:pt>
                <c:pt idx="247">
                  <c:v>42650</c:v>
                </c:pt>
                <c:pt idx="248">
                  <c:v>42653</c:v>
                </c:pt>
                <c:pt idx="249">
                  <c:v>42654</c:v>
                </c:pt>
                <c:pt idx="250">
                  <c:v>42655</c:v>
                </c:pt>
                <c:pt idx="251">
                  <c:v>42656</c:v>
                </c:pt>
                <c:pt idx="252">
                  <c:v>42657</c:v>
                </c:pt>
                <c:pt idx="253">
                  <c:v>42660</c:v>
                </c:pt>
                <c:pt idx="254">
                  <c:v>42661</c:v>
                </c:pt>
                <c:pt idx="255">
                  <c:v>42662</c:v>
                </c:pt>
                <c:pt idx="256">
                  <c:v>42663</c:v>
                </c:pt>
                <c:pt idx="257">
                  <c:v>42664</c:v>
                </c:pt>
                <c:pt idx="258">
                  <c:v>42667</c:v>
                </c:pt>
                <c:pt idx="259">
                  <c:v>42668</c:v>
                </c:pt>
                <c:pt idx="260">
                  <c:v>42669</c:v>
                </c:pt>
                <c:pt idx="261">
                  <c:v>42670</c:v>
                </c:pt>
                <c:pt idx="262">
                  <c:v>42671</c:v>
                </c:pt>
                <c:pt idx="263">
                  <c:v>42674</c:v>
                </c:pt>
                <c:pt idx="264">
                  <c:v>42675</c:v>
                </c:pt>
                <c:pt idx="265">
                  <c:v>42676</c:v>
                </c:pt>
                <c:pt idx="266">
                  <c:v>42677</c:v>
                </c:pt>
                <c:pt idx="267">
                  <c:v>42678</c:v>
                </c:pt>
                <c:pt idx="268">
                  <c:v>42681</c:v>
                </c:pt>
                <c:pt idx="269">
                  <c:v>42682</c:v>
                </c:pt>
                <c:pt idx="270">
                  <c:v>42683</c:v>
                </c:pt>
                <c:pt idx="271">
                  <c:v>42684</c:v>
                </c:pt>
                <c:pt idx="272">
                  <c:v>42685</c:v>
                </c:pt>
                <c:pt idx="273">
                  <c:v>42688</c:v>
                </c:pt>
                <c:pt idx="274">
                  <c:v>42689</c:v>
                </c:pt>
                <c:pt idx="275">
                  <c:v>42690</c:v>
                </c:pt>
                <c:pt idx="276">
                  <c:v>42691</c:v>
                </c:pt>
                <c:pt idx="277">
                  <c:v>42692</c:v>
                </c:pt>
                <c:pt idx="278">
                  <c:v>42695</c:v>
                </c:pt>
                <c:pt idx="279">
                  <c:v>42696</c:v>
                </c:pt>
                <c:pt idx="280">
                  <c:v>42697</c:v>
                </c:pt>
                <c:pt idx="281">
                  <c:v>42699</c:v>
                </c:pt>
                <c:pt idx="282">
                  <c:v>42702</c:v>
                </c:pt>
                <c:pt idx="283">
                  <c:v>42703</c:v>
                </c:pt>
                <c:pt idx="284">
                  <c:v>42704</c:v>
                </c:pt>
                <c:pt idx="285">
                  <c:v>42705</c:v>
                </c:pt>
                <c:pt idx="286">
                  <c:v>42706</c:v>
                </c:pt>
                <c:pt idx="287">
                  <c:v>42709</c:v>
                </c:pt>
                <c:pt idx="288">
                  <c:v>42710</c:v>
                </c:pt>
                <c:pt idx="289">
                  <c:v>42711</c:v>
                </c:pt>
                <c:pt idx="290">
                  <c:v>42712</c:v>
                </c:pt>
                <c:pt idx="291">
                  <c:v>42713</c:v>
                </c:pt>
                <c:pt idx="292">
                  <c:v>42716</c:v>
                </c:pt>
                <c:pt idx="293">
                  <c:v>42717</c:v>
                </c:pt>
                <c:pt idx="294">
                  <c:v>42718</c:v>
                </c:pt>
                <c:pt idx="295">
                  <c:v>42719</c:v>
                </c:pt>
                <c:pt idx="296">
                  <c:v>42720</c:v>
                </c:pt>
                <c:pt idx="297">
                  <c:v>42723</c:v>
                </c:pt>
                <c:pt idx="298">
                  <c:v>42724</c:v>
                </c:pt>
                <c:pt idx="299">
                  <c:v>42725</c:v>
                </c:pt>
                <c:pt idx="300">
                  <c:v>42726</c:v>
                </c:pt>
                <c:pt idx="301">
                  <c:v>42727</c:v>
                </c:pt>
                <c:pt idx="302">
                  <c:v>42731</c:v>
                </c:pt>
                <c:pt idx="303">
                  <c:v>42732</c:v>
                </c:pt>
                <c:pt idx="304">
                  <c:v>42733</c:v>
                </c:pt>
                <c:pt idx="305">
                  <c:v>42734</c:v>
                </c:pt>
                <c:pt idx="306">
                  <c:v>42738</c:v>
                </c:pt>
                <c:pt idx="307">
                  <c:v>42739</c:v>
                </c:pt>
                <c:pt idx="308">
                  <c:v>42740</c:v>
                </c:pt>
                <c:pt idx="309">
                  <c:v>42741</c:v>
                </c:pt>
                <c:pt idx="310">
                  <c:v>42744</c:v>
                </c:pt>
                <c:pt idx="311">
                  <c:v>42745</c:v>
                </c:pt>
                <c:pt idx="312">
                  <c:v>42746</c:v>
                </c:pt>
                <c:pt idx="313">
                  <c:v>42747</c:v>
                </c:pt>
                <c:pt idx="314">
                  <c:v>42748</c:v>
                </c:pt>
                <c:pt idx="315">
                  <c:v>42752</c:v>
                </c:pt>
                <c:pt idx="316">
                  <c:v>42753</c:v>
                </c:pt>
                <c:pt idx="317">
                  <c:v>42754</c:v>
                </c:pt>
                <c:pt idx="318">
                  <c:v>42755</c:v>
                </c:pt>
                <c:pt idx="319">
                  <c:v>42758</c:v>
                </c:pt>
                <c:pt idx="320">
                  <c:v>42759</c:v>
                </c:pt>
                <c:pt idx="321">
                  <c:v>42760</c:v>
                </c:pt>
                <c:pt idx="322">
                  <c:v>42761</c:v>
                </c:pt>
                <c:pt idx="323">
                  <c:v>42762</c:v>
                </c:pt>
                <c:pt idx="324">
                  <c:v>42765</c:v>
                </c:pt>
                <c:pt idx="325">
                  <c:v>42766</c:v>
                </c:pt>
                <c:pt idx="326">
                  <c:v>42767</c:v>
                </c:pt>
                <c:pt idx="327">
                  <c:v>42768</c:v>
                </c:pt>
                <c:pt idx="328">
                  <c:v>42769</c:v>
                </c:pt>
                <c:pt idx="329">
                  <c:v>42772</c:v>
                </c:pt>
                <c:pt idx="330">
                  <c:v>42773</c:v>
                </c:pt>
                <c:pt idx="331">
                  <c:v>42774</c:v>
                </c:pt>
                <c:pt idx="332">
                  <c:v>42775</c:v>
                </c:pt>
                <c:pt idx="333">
                  <c:v>42776</c:v>
                </c:pt>
                <c:pt idx="334">
                  <c:v>42779</c:v>
                </c:pt>
                <c:pt idx="335">
                  <c:v>42780</c:v>
                </c:pt>
                <c:pt idx="336">
                  <c:v>42781</c:v>
                </c:pt>
                <c:pt idx="337">
                  <c:v>42782</c:v>
                </c:pt>
                <c:pt idx="338">
                  <c:v>42783</c:v>
                </c:pt>
                <c:pt idx="339">
                  <c:v>42787</c:v>
                </c:pt>
                <c:pt idx="340">
                  <c:v>42788</c:v>
                </c:pt>
                <c:pt idx="341">
                  <c:v>42789</c:v>
                </c:pt>
                <c:pt idx="342">
                  <c:v>42790</c:v>
                </c:pt>
                <c:pt idx="343">
                  <c:v>42793</c:v>
                </c:pt>
                <c:pt idx="344">
                  <c:v>42794</c:v>
                </c:pt>
                <c:pt idx="345">
                  <c:v>42795</c:v>
                </c:pt>
                <c:pt idx="346">
                  <c:v>42796</c:v>
                </c:pt>
                <c:pt idx="347">
                  <c:v>42797</c:v>
                </c:pt>
                <c:pt idx="348">
                  <c:v>42800</c:v>
                </c:pt>
                <c:pt idx="349">
                  <c:v>42801</c:v>
                </c:pt>
                <c:pt idx="350">
                  <c:v>42802</c:v>
                </c:pt>
                <c:pt idx="351">
                  <c:v>42803</c:v>
                </c:pt>
                <c:pt idx="352">
                  <c:v>42804</c:v>
                </c:pt>
                <c:pt idx="353">
                  <c:v>42807</c:v>
                </c:pt>
                <c:pt idx="354">
                  <c:v>42808</c:v>
                </c:pt>
                <c:pt idx="355">
                  <c:v>42809</c:v>
                </c:pt>
                <c:pt idx="356">
                  <c:v>42810</c:v>
                </c:pt>
                <c:pt idx="357">
                  <c:v>42811</c:v>
                </c:pt>
                <c:pt idx="358">
                  <c:v>42814</c:v>
                </c:pt>
                <c:pt idx="359">
                  <c:v>42815</c:v>
                </c:pt>
                <c:pt idx="360">
                  <c:v>42816</c:v>
                </c:pt>
                <c:pt idx="361">
                  <c:v>42817</c:v>
                </c:pt>
                <c:pt idx="362">
                  <c:v>42818</c:v>
                </c:pt>
                <c:pt idx="363">
                  <c:v>42821</c:v>
                </c:pt>
                <c:pt idx="364">
                  <c:v>42822</c:v>
                </c:pt>
                <c:pt idx="365">
                  <c:v>42823</c:v>
                </c:pt>
                <c:pt idx="366">
                  <c:v>42824</c:v>
                </c:pt>
                <c:pt idx="367">
                  <c:v>42825</c:v>
                </c:pt>
                <c:pt idx="368">
                  <c:v>42828</c:v>
                </c:pt>
                <c:pt idx="369">
                  <c:v>42829</c:v>
                </c:pt>
                <c:pt idx="370">
                  <c:v>42830</c:v>
                </c:pt>
                <c:pt idx="371">
                  <c:v>42831</c:v>
                </c:pt>
                <c:pt idx="372">
                  <c:v>42832</c:v>
                </c:pt>
                <c:pt idx="373">
                  <c:v>42835</c:v>
                </c:pt>
                <c:pt idx="374">
                  <c:v>42836</c:v>
                </c:pt>
                <c:pt idx="375">
                  <c:v>42837</c:v>
                </c:pt>
                <c:pt idx="376">
                  <c:v>42838</c:v>
                </c:pt>
                <c:pt idx="377">
                  <c:v>42842</c:v>
                </c:pt>
                <c:pt idx="378">
                  <c:v>42843</c:v>
                </c:pt>
                <c:pt idx="379">
                  <c:v>42844</c:v>
                </c:pt>
                <c:pt idx="380">
                  <c:v>42845</c:v>
                </c:pt>
                <c:pt idx="381">
                  <c:v>42846</c:v>
                </c:pt>
                <c:pt idx="382">
                  <c:v>42849</c:v>
                </c:pt>
                <c:pt idx="383">
                  <c:v>42850</c:v>
                </c:pt>
                <c:pt idx="384">
                  <c:v>42851</c:v>
                </c:pt>
                <c:pt idx="385">
                  <c:v>42852</c:v>
                </c:pt>
                <c:pt idx="386">
                  <c:v>42853</c:v>
                </c:pt>
                <c:pt idx="387">
                  <c:v>42856</c:v>
                </c:pt>
                <c:pt idx="388">
                  <c:v>42857</c:v>
                </c:pt>
                <c:pt idx="389">
                  <c:v>42858</c:v>
                </c:pt>
                <c:pt idx="390">
                  <c:v>42859</c:v>
                </c:pt>
                <c:pt idx="391">
                  <c:v>42860</c:v>
                </c:pt>
                <c:pt idx="392">
                  <c:v>42863</c:v>
                </c:pt>
                <c:pt idx="393">
                  <c:v>42864</c:v>
                </c:pt>
                <c:pt idx="394">
                  <c:v>42865</c:v>
                </c:pt>
                <c:pt idx="395">
                  <c:v>42866</c:v>
                </c:pt>
                <c:pt idx="396">
                  <c:v>42867</c:v>
                </c:pt>
                <c:pt idx="397">
                  <c:v>42870</c:v>
                </c:pt>
                <c:pt idx="398">
                  <c:v>42871</c:v>
                </c:pt>
                <c:pt idx="399">
                  <c:v>42872</c:v>
                </c:pt>
                <c:pt idx="400">
                  <c:v>42873</c:v>
                </c:pt>
                <c:pt idx="401">
                  <c:v>42874</c:v>
                </c:pt>
                <c:pt idx="402">
                  <c:v>42877</c:v>
                </c:pt>
                <c:pt idx="403">
                  <c:v>42878</c:v>
                </c:pt>
                <c:pt idx="404">
                  <c:v>42879</c:v>
                </c:pt>
                <c:pt idx="405">
                  <c:v>42880</c:v>
                </c:pt>
                <c:pt idx="406">
                  <c:v>42881</c:v>
                </c:pt>
                <c:pt idx="407">
                  <c:v>42885</c:v>
                </c:pt>
                <c:pt idx="408">
                  <c:v>42886</c:v>
                </c:pt>
                <c:pt idx="409">
                  <c:v>42887</c:v>
                </c:pt>
                <c:pt idx="410">
                  <c:v>42888</c:v>
                </c:pt>
                <c:pt idx="411">
                  <c:v>42891</c:v>
                </c:pt>
                <c:pt idx="412">
                  <c:v>42892</c:v>
                </c:pt>
                <c:pt idx="413">
                  <c:v>42893</c:v>
                </c:pt>
                <c:pt idx="414">
                  <c:v>42894</c:v>
                </c:pt>
                <c:pt idx="415">
                  <c:v>42895</c:v>
                </c:pt>
                <c:pt idx="416">
                  <c:v>42898</c:v>
                </c:pt>
                <c:pt idx="417">
                  <c:v>42899</c:v>
                </c:pt>
                <c:pt idx="418">
                  <c:v>42900</c:v>
                </c:pt>
                <c:pt idx="419">
                  <c:v>42901</c:v>
                </c:pt>
                <c:pt idx="420">
                  <c:v>42902</c:v>
                </c:pt>
                <c:pt idx="421">
                  <c:v>42905</c:v>
                </c:pt>
                <c:pt idx="422">
                  <c:v>42906</c:v>
                </c:pt>
                <c:pt idx="423">
                  <c:v>42907</c:v>
                </c:pt>
                <c:pt idx="424">
                  <c:v>42908</c:v>
                </c:pt>
                <c:pt idx="425">
                  <c:v>42909</c:v>
                </c:pt>
                <c:pt idx="426">
                  <c:v>42912</c:v>
                </c:pt>
                <c:pt idx="427">
                  <c:v>42913</c:v>
                </c:pt>
                <c:pt idx="428">
                  <c:v>42914</c:v>
                </c:pt>
                <c:pt idx="429">
                  <c:v>42915</c:v>
                </c:pt>
                <c:pt idx="430">
                  <c:v>42916</c:v>
                </c:pt>
                <c:pt idx="431">
                  <c:v>42919</c:v>
                </c:pt>
                <c:pt idx="432">
                  <c:v>42921</c:v>
                </c:pt>
                <c:pt idx="433">
                  <c:v>42922</c:v>
                </c:pt>
                <c:pt idx="434">
                  <c:v>42923</c:v>
                </c:pt>
                <c:pt idx="435">
                  <c:v>42926</c:v>
                </c:pt>
                <c:pt idx="436">
                  <c:v>42927</c:v>
                </c:pt>
                <c:pt idx="437">
                  <c:v>42928</c:v>
                </c:pt>
                <c:pt idx="438">
                  <c:v>42929</c:v>
                </c:pt>
                <c:pt idx="439">
                  <c:v>42930</c:v>
                </c:pt>
                <c:pt idx="440">
                  <c:v>42933</c:v>
                </c:pt>
                <c:pt idx="441">
                  <c:v>42934</c:v>
                </c:pt>
                <c:pt idx="442">
                  <c:v>42935</c:v>
                </c:pt>
                <c:pt idx="443">
                  <c:v>42936</c:v>
                </c:pt>
                <c:pt idx="444">
                  <c:v>42937</c:v>
                </c:pt>
                <c:pt idx="445">
                  <c:v>42940</c:v>
                </c:pt>
                <c:pt idx="446">
                  <c:v>42941</c:v>
                </c:pt>
                <c:pt idx="447">
                  <c:v>42942</c:v>
                </c:pt>
                <c:pt idx="448">
                  <c:v>42943</c:v>
                </c:pt>
                <c:pt idx="449">
                  <c:v>42944</c:v>
                </c:pt>
                <c:pt idx="450">
                  <c:v>42947</c:v>
                </c:pt>
                <c:pt idx="451">
                  <c:v>42948</c:v>
                </c:pt>
                <c:pt idx="452">
                  <c:v>42949</c:v>
                </c:pt>
                <c:pt idx="453">
                  <c:v>42950</c:v>
                </c:pt>
                <c:pt idx="454">
                  <c:v>42951</c:v>
                </c:pt>
                <c:pt idx="455">
                  <c:v>42954</c:v>
                </c:pt>
                <c:pt idx="456">
                  <c:v>42955</c:v>
                </c:pt>
                <c:pt idx="457">
                  <c:v>42956</c:v>
                </c:pt>
                <c:pt idx="458">
                  <c:v>42957</c:v>
                </c:pt>
                <c:pt idx="459">
                  <c:v>42958</c:v>
                </c:pt>
                <c:pt idx="460">
                  <c:v>42961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42965</c:v>
                </c:pt>
                <c:pt idx="465">
                  <c:v>42968</c:v>
                </c:pt>
                <c:pt idx="466">
                  <c:v>42969</c:v>
                </c:pt>
                <c:pt idx="467">
                  <c:v>42970</c:v>
                </c:pt>
                <c:pt idx="468">
                  <c:v>42971</c:v>
                </c:pt>
                <c:pt idx="469">
                  <c:v>42972</c:v>
                </c:pt>
                <c:pt idx="470">
                  <c:v>42975</c:v>
                </c:pt>
                <c:pt idx="471">
                  <c:v>42976</c:v>
                </c:pt>
                <c:pt idx="472">
                  <c:v>42977</c:v>
                </c:pt>
                <c:pt idx="473">
                  <c:v>42978</c:v>
                </c:pt>
                <c:pt idx="474">
                  <c:v>42979</c:v>
                </c:pt>
                <c:pt idx="475">
                  <c:v>42983</c:v>
                </c:pt>
                <c:pt idx="476">
                  <c:v>42984</c:v>
                </c:pt>
                <c:pt idx="477">
                  <c:v>42985</c:v>
                </c:pt>
                <c:pt idx="478">
                  <c:v>42986</c:v>
                </c:pt>
                <c:pt idx="479">
                  <c:v>42989</c:v>
                </c:pt>
                <c:pt idx="480">
                  <c:v>42990</c:v>
                </c:pt>
                <c:pt idx="481">
                  <c:v>42991</c:v>
                </c:pt>
                <c:pt idx="482">
                  <c:v>42992</c:v>
                </c:pt>
                <c:pt idx="483">
                  <c:v>42993</c:v>
                </c:pt>
                <c:pt idx="484">
                  <c:v>42996</c:v>
                </c:pt>
                <c:pt idx="485">
                  <c:v>42997</c:v>
                </c:pt>
                <c:pt idx="486">
                  <c:v>42998</c:v>
                </c:pt>
                <c:pt idx="487">
                  <c:v>42999</c:v>
                </c:pt>
                <c:pt idx="488">
                  <c:v>43000</c:v>
                </c:pt>
                <c:pt idx="489">
                  <c:v>43003</c:v>
                </c:pt>
                <c:pt idx="490">
                  <c:v>43004</c:v>
                </c:pt>
                <c:pt idx="491">
                  <c:v>43005</c:v>
                </c:pt>
                <c:pt idx="492">
                  <c:v>43006</c:v>
                </c:pt>
                <c:pt idx="493">
                  <c:v>43007</c:v>
                </c:pt>
                <c:pt idx="494">
                  <c:v>43010</c:v>
                </c:pt>
                <c:pt idx="495">
                  <c:v>43011</c:v>
                </c:pt>
                <c:pt idx="496">
                  <c:v>43012</c:v>
                </c:pt>
                <c:pt idx="497">
                  <c:v>43013</c:v>
                </c:pt>
                <c:pt idx="498">
                  <c:v>43014</c:v>
                </c:pt>
                <c:pt idx="499">
                  <c:v>43017</c:v>
                </c:pt>
                <c:pt idx="500">
                  <c:v>43018</c:v>
                </c:pt>
                <c:pt idx="501">
                  <c:v>43019</c:v>
                </c:pt>
                <c:pt idx="502">
                  <c:v>43020</c:v>
                </c:pt>
                <c:pt idx="503">
                  <c:v>43021</c:v>
                </c:pt>
                <c:pt idx="504">
                  <c:v>43024</c:v>
                </c:pt>
                <c:pt idx="505">
                  <c:v>43025</c:v>
                </c:pt>
                <c:pt idx="506">
                  <c:v>43026</c:v>
                </c:pt>
                <c:pt idx="507">
                  <c:v>43027</c:v>
                </c:pt>
                <c:pt idx="508">
                  <c:v>43028</c:v>
                </c:pt>
                <c:pt idx="509">
                  <c:v>43031</c:v>
                </c:pt>
                <c:pt idx="510">
                  <c:v>43032</c:v>
                </c:pt>
                <c:pt idx="511">
                  <c:v>43033</c:v>
                </c:pt>
                <c:pt idx="512">
                  <c:v>43034</c:v>
                </c:pt>
                <c:pt idx="513">
                  <c:v>43035</c:v>
                </c:pt>
                <c:pt idx="514">
                  <c:v>43038</c:v>
                </c:pt>
                <c:pt idx="515">
                  <c:v>43039</c:v>
                </c:pt>
                <c:pt idx="516">
                  <c:v>43040</c:v>
                </c:pt>
                <c:pt idx="517">
                  <c:v>43041</c:v>
                </c:pt>
                <c:pt idx="518">
                  <c:v>43042</c:v>
                </c:pt>
                <c:pt idx="519">
                  <c:v>43045</c:v>
                </c:pt>
                <c:pt idx="520">
                  <c:v>43046</c:v>
                </c:pt>
                <c:pt idx="521">
                  <c:v>43047</c:v>
                </c:pt>
                <c:pt idx="522">
                  <c:v>43048</c:v>
                </c:pt>
                <c:pt idx="523">
                  <c:v>43049</c:v>
                </c:pt>
                <c:pt idx="524">
                  <c:v>43052</c:v>
                </c:pt>
                <c:pt idx="525">
                  <c:v>43053</c:v>
                </c:pt>
                <c:pt idx="526">
                  <c:v>43054</c:v>
                </c:pt>
                <c:pt idx="527">
                  <c:v>43055</c:v>
                </c:pt>
                <c:pt idx="528">
                  <c:v>43056</c:v>
                </c:pt>
                <c:pt idx="529">
                  <c:v>43059</c:v>
                </c:pt>
                <c:pt idx="530">
                  <c:v>43060</c:v>
                </c:pt>
                <c:pt idx="531">
                  <c:v>43061</c:v>
                </c:pt>
                <c:pt idx="532">
                  <c:v>43063</c:v>
                </c:pt>
                <c:pt idx="533">
                  <c:v>43066</c:v>
                </c:pt>
                <c:pt idx="534">
                  <c:v>43067</c:v>
                </c:pt>
                <c:pt idx="535">
                  <c:v>43068</c:v>
                </c:pt>
                <c:pt idx="536">
                  <c:v>43069</c:v>
                </c:pt>
                <c:pt idx="537">
                  <c:v>43070</c:v>
                </c:pt>
                <c:pt idx="538">
                  <c:v>43073</c:v>
                </c:pt>
                <c:pt idx="539">
                  <c:v>43074</c:v>
                </c:pt>
                <c:pt idx="540">
                  <c:v>43075</c:v>
                </c:pt>
                <c:pt idx="541">
                  <c:v>43076</c:v>
                </c:pt>
                <c:pt idx="542">
                  <c:v>43077</c:v>
                </c:pt>
                <c:pt idx="543">
                  <c:v>43080</c:v>
                </c:pt>
                <c:pt idx="544">
                  <c:v>43081</c:v>
                </c:pt>
                <c:pt idx="545">
                  <c:v>43082</c:v>
                </c:pt>
                <c:pt idx="546">
                  <c:v>43083</c:v>
                </c:pt>
                <c:pt idx="547">
                  <c:v>43084</c:v>
                </c:pt>
                <c:pt idx="548">
                  <c:v>43087</c:v>
                </c:pt>
                <c:pt idx="549">
                  <c:v>43088</c:v>
                </c:pt>
                <c:pt idx="550">
                  <c:v>43089</c:v>
                </c:pt>
                <c:pt idx="551">
                  <c:v>43090</c:v>
                </c:pt>
                <c:pt idx="552">
                  <c:v>43091</c:v>
                </c:pt>
                <c:pt idx="553">
                  <c:v>43095</c:v>
                </c:pt>
                <c:pt idx="554">
                  <c:v>43096</c:v>
                </c:pt>
                <c:pt idx="555">
                  <c:v>43097</c:v>
                </c:pt>
                <c:pt idx="556">
                  <c:v>43098</c:v>
                </c:pt>
                <c:pt idx="557">
                  <c:v>43102</c:v>
                </c:pt>
                <c:pt idx="558">
                  <c:v>43103</c:v>
                </c:pt>
                <c:pt idx="559">
                  <c:v>43104</c:v>
                </c:pt>
                <c:pt idx="560">
                  <c:v>43105</c:v>
                </c:pt>
                <c:pt idx="561">
                  <c:v>43108</c:v>
                </c:pt>
                <c:pt idx="562">
                  <c:v>43109</c:v>
                </c:pt>
                <c:pt idx="563">
                  <c:v>43110</c:v>
                </c:pt>
                <c:pt idx="564">
                  <c:v>43111</c:v>
                </c:pt>
                <c:pt idx="565">
                  <c:v>43112</c:v>
                </c:pt>
                <c:pt idx="566">
                  <c:v>43116</c:v>
                </c:pt>
                <c:pt idx="567">
                  <c:v>43117</c:v>
                </c:pt>
                <c:pt idx="568">
                  <c:v>43118</c:v>
                </c:pt>
                <c:pt idx="569">
                  <c:v>43119</c:v>
                </c:pt>
                <c:pt idx="570">
                  <c:v>43122</c:v>
                </c:pt>
                <c:pt idx="571">
                  <c:v>43123</c:v>
                </c:pt>
                <c:pt idx="572">
                  <c:v>43124</c:v>
                </c:pt>
                <c:pt idx="573">
                  <c:v>43125</c:v>
                </c:pt>
                <c:pt idx="574">
                  <c:v>43126</c:v>
                </c:pt>
                <c:pt idx="575">
                  <c:v>43129</c:v>
                </c:pt>
                <c:pt idx="576">
                  <c:v>43130</c:v>
                </c:pt>
                <c:pt idx="577">
                  <c:v>43131</c:v>
                </c:pt>
                <c:pt idx="578">
                  <c:v>43132</c:v>
                </c:pt>
                <c:pt idx="579">
                  <c:v>43133</c:v>
                </c:pt>
                <c:pt idx="580">
                  <c:v>43136</c:v>
                </c:pt>
                <c:pt idx="581">
                  <c:v>43137</c:v>
                </c:pt>
                <c:pt idx="582">
                  <c:v>43138</c:v>
                </c:pt>
                <c:pt idx="583">
                  <c:v>43139</c:v>
                </c:pt>
                <c:pt idx="584">
                  <c:v>43140</c:v>
                </c:pt>
                <c:pt idx="585">
                  <c:v>43143</c:v>
                </c:pt>
                <c:pt idx="586">
                  <c:v>43144</c:v>
                </c:pt>
                <c:pt idx="587">
                  <c:v>43145</c:v>
                </c:pt>
                <c:pt idx="588">
                  <c:v>43146</c:v>
                </c:pt>
                <c:pt idx="589">
                  <c:v>43147</c:v>
                </c:pt>
                <c:pt idx="590">
                  <c:v>43151</c:v>
                </c:pt>
                <c:pt idx="591">
                  <c:v>43152</c:v>
                </c:pt>
                <c:pt idx="592">
                  <c:v>43153</c:v>
                </c:pt>
                <c:pt idx="593">
                  <c:v>43154</c:v>
                </c:pt>
                <c:pt idx="594">
                  <c:v>43157</c:v>
                </c:pt>
                <c:pt idx="595">
                  <c:v>43158</c:v>
                </c:pt>
                <c:pt idx="596">
                  <c:v>43159</c:v>
                </c:pt>
                <c:pt idx="597">
                  <c:v>43160</c:v>
                </c:pt>
                <c:pt idx="598">
                  <c:v>43161</c:v>
                </c:pt>
                <c:pt idx="599">
                  <c:v>43164</c:v>
                </c:pt>
                <c:pt idx="600">
                  <c:v>43165</c:v>
                </c:pt>
                <c:pt idx="601">
                  <c:v>43166</c:v>
                </c:pt>
                <c:pt idx="602">
                  <c:v>43167</c:v>
                </c:pt>
                <c:pt idx="603">
                  <c:v>43168</c:v>
                </c:pt>
                <c:pt idx="604">
                  <c:v>43171</c:v>
                </c:pt>
                <c:pt idx="605">
                  <c:v>43172</c:v>
                </c:pt>
                <c:pt idx="606">
                  <c:v>43173</c:v>
                </c:pt>
                <c:pt idx="607">
                  <c:v>43174</c:v>
                </c:pt>
                <c:pt idx="608">
                  <c:v>43175</c:v>
                </c:pt>
                <c:pt idx="609">
                  <c:v>43178</c:v>
                </c:pt>
                <c:pt idx="610">
                  <c:v>43179</c:v>
                </c:pt>
                <c:pt idx="611">
                  <c:v>43180</c:v>
                </c:pt>
                <c:pt idx="612">
                  <c:v>43181</c:v>
                </c:pt>
                <c:pt idx="613">
                  <c:v>43182</c:v>
                </c:pt>
                <c:pt idx="614">
                  <c:v>43185</c:v>
                </c:pt>
                <c:pt idx="615">
                  <c:v>43186</c:v>
                </c:pt>
                <c:pt idx="616">
                  <c:v>43187</c:v>
                </c:pt>
                <c:pt idx="617">
                  <c:v>43188</c:v>
                </c:pt>
                <c:pt idx="618">
                  <c:v>43192</c:v>
                </c:pt>
                <c:pt idx="619">
                  <c:v>43193</c:v>
                </c:pt>
                <c:pt idx="620">
                  <c:v>43194</c:v>
                </c:pt>
                <c:pt idx="621">
                  <c:v>43195</c:v>
                </c:pt>
                <c:pt idx="622">
                  <c:v>43196</c:v>
                </c:pt>
                <c:pt idx="623">
                  <c:v>43199</c:v>
                </c:pt>
                <c:pt idx="624">
                  <c:v>43200</c:v>
                </c:pt>
                <c:pt idx="625">
                  <c:v>43201</c:v>
                </c:pt>
                <c:pt idx="626">
                  <c:v>43202</c:v>
                </c:pt>
                <c:pt idx="627">
                  <c:v>43203</c:v>
                </c:pt>
                <c:pt idx="628">
                  <c:v>43206</c:v>
                </c:pt>
                <c:pt idx="629">
                  <c:v>43207</c:v>
                </c:pt>
                <c:pt idx="630">
                  <c:v>43208</c:v>
                </c:pt>
                <c:pt idx="631">
                  <c:v>43209</c:v>
                </c:pt>
                <c:pt idx="632">
                  <c:v>43210</c:v>
                </c:pt>
                <c:pt idx="633">
                  <c:v>43213</c:v>
                </c:pt>
                <c:pt idx="634">
                  <c:v>43214</c:v>
                </c:pt>
                <c:pt idx="635">
                  <c:v>43215</c:v>
                </c:pt>
                <c:pt idx="636">
                  <c:v>43216</c:v>
                </c:pt>
                <c:pt idx="637">
                  <c:v>43217</c:v>
                </c:pt>
                <c:pt idx="638">
                  <c:v>43220</c:v>
                </c:pt>
                <c:pt idx="639">
                  <c:v>43221</c:v>
                </c:pt>
                <c:pt idx="640">
                  <c:v>43222</c:v>
                </c:pt>
                <c:pt idx="641">
                  <c:v>43223</c:v>
                </c:pt>
                <c:pt idx="642">
                  <c:v>43224</c:v>
                </c:pt>
                <c:pt idx="643">
                  <c:v>43227</c:v>
                </c:pt>
                <c:pt idx="644">
                  <c:v>43228</c:v>
                </c:pt>
                <c:pt idx="645">
                  <c:v>43229</c:v>
                </c:pt>
                <c:pt idx="646">
                  <c:v>43230</c:v>
                </c:pt>
                <c:pt idx="647">
                  <c:v>43231</c:v>
                </c:pt>
                <c:pt idx="648">
                  <c:v>43234</c:v>
                </c:pt>
                <c:pt idx="649">
                  <c:v>43235</c:v>
                </c:pt>
                <c:pt idx="650">
                  <c:v>43236</c:v>
                </c:pt>
                <c:pt idx="651">
                  <c:v>43237</c:v>
                </c:pt>
                <c:pt idx="652">
                  <c:v>43238</c:v>
                </c:pt>
                <c:pt idx="653">
                  <c:v>43241</c:v>
                </c:pt>
                <c:pt idx="654">
                  <c:v>43242</c:v>
                </c:pt>
                <c:pt idx="655">
                  <c:v>43243</c:v>
                </c:pt>
                <c:pt idx="656">
                  <c:v>43244</c:v>
                </c:pt>
                <c:pt idx="657">
                  <c:v>43245</c:v>
                </c:pt>
                <c:pt idx="658">
                  <c:v>43249</c:v>
                </c:pt>
                <c:pt idx="659">
                  <c:v>43250</c:v>
                </c:pt>
                <c:pt idx="660">
                  <c:v>43251</c:v>
                </c:pt>
                <c:pt idx="661">
                  <c:v>43252</c:v>
                </c:pt>
                <c:pt idx="662">
                  <c:v>43255</c:v>
                </c:pt>
                <c:pt idx="663">
                  <c:v>43256</c:v>
                </c:pt>
                <c:pt idx="664">
                  <c:v>43257</c:v>
                </c:pt>
                <c:pt idx="665">
                  <c:v>43258</c:v>
                </c:pt>
                <c:pt idx="666">
                  <c:v>43259</c:v>
                </c:pt>
                <c:pt idx="667">
                  <c:v>43262</c:v>
                </c:pt>
                <c:pt idx="668">
                  <c:v>43263</c:v>
                </c:pt>
                <c:pt idx="669">
                  <c:v>43264</c:v>
                </c:pt>
                <c:pt idx="670">
                  <c:v>43265</c:v>
                </c:pt>
                <c:pt idx="671">
                  <c:v>43266</c:v>
                </c:pt>
                <c:pt idx="672">
                  <c:v>43269</c:v>
                </c:pt>
                <c:pt idx="673">
                  <c:v>43270</c:v>
                </c:pt>
                <c:pt idx="674">
                  <c:v>43271</c:v>
                </c:pt>
                <c:pt idx="675">
                  <c:v>43272</c:v>
                </c:pt>
                <c:pt idx="676">
                  <c:v>43273</c:v>
                </c:pt>
                <c:pt idx="677">
                  <c:v>43276</c:v>
                </c:pt>
                <c:pt idx="678">
                  <c:v>43277</c:v>
                </c:pt>
                <c:pt idx="679">
                  <c:v>43278</c:v>
                </c:pt>
                <c:pt idx="680">
                  <c:v>43279</c:v>
                </c:pt>
                <c:pt idx="681">
                  <c:v>43280</c:v>
                </c:pt>
                <c:pt idx="682">
                  <c:v>43283</c:v>
                </c:pt>
                <c:pt idx="683">
                  <c:v>43284</c:v>
                </c:pt>
                <c:pt idx="684">
                  <c:v>43286</c:v>
                </c:pt>
                <c:pt idx="685">
                  <c:v>43287</c:v>
                </c:pt>
                <c:pt idx="686">
                  <c:v>43290</c:v>
                </c:pt>
                <c:pt idx="687">
                  <c:v>43291</c:v>
                </c:pt>
                <c:pt idx="688">
                  <c:v>43292</c:v>
                </c:pt>
                <c:pt idx="689">
                  <c:v>43293</c:v>
                </c:pt>
                <c:pt idx="690">
                  <c:v>43294</c:v>
                </c:pt>
                <c:pt idx="691">
                  <c:v>43297</c:v>
                </c:pt>
                <c:pt idx="692">
                  <c:v>43298</c:v>
                </c:pt>
                <c:pt idx="693">
                  <c:v>43299</c:v>
                </c:pt>
                <c:pt idx="694">
                  <c:v>43300</c:v>
                </c:pt>
                <c:pt idx="695">
                  <c:v>43301</c:v>
                </c:pt>
                <c:pt idx="696">
                  <c:v>43304</c:v>
                </c:pt>
                <c:pt idx="697">
                  <c:v>43305</c:v>
                </c:pt>
                <c:pt idx="698">
                  <c:v>43306</c:v>
                </c:pt>
                <c:pt idx="699">
                  <c:v>43307</c:v>
                </c:pt>
                <c:pt idx="700">
                  <c:v>43308</c:v>
                </c:pt>
                <c:pt idx="701">
                  <c:v>43311</c:v>
                </c:pt>
                <c:pt idx="702">
                  <c:v>43312</c:v>
                </c:pt>
                <c:pt idx="703">
                  <c:v>43313</c:v>
                </c:pt>
                <c:pt idx="704">
                  <c:v>43314</c:v>
                </c:pt>
                <c:pt idx="705">
                  <c:v>43315</c:v>
                </c:pt>
                <c:pt idx="706">
                  <c:v>43318</c:v>
                </c:pt>
                <c:pt idx="707">
                  <c:v>43319</c:v>
                </c:pt>
                <c:pt idx="708">
                  <c:v>43320</c:v>
                </c:pt>
                <c:pt idx="709">
                  <c:v>43321</c:v>
                </c:pt>
                <c:pt idx="710">
                  <c:v>43322</c:v>
                </c:pt>
                <c:pt idx="711">
                  <c:v>43325</c:v>
                </c:pt>
                <c:pt idx="712">
                  <c:v>43326</c:v>
                </c:pt>
                <c:pt idx="713">
                  <c:v>43327</c:v>
                </c:pt>
                <c:pt idx="714">
                  <c:v>43328</c:v>
                </c:pt>
                <c:pt idx="715">
                  <c:v>43329</c:v>
                </c:pt>
                <c:pt idx="716">
                  <c:v>43332</c:v>
                </c:pt>
                <c:pt idx="717">
                  <c:v>43333</c:v>
                </c:pt>
                <c:pt idx="718">
                  <c:v>43334</c:v>
                </c:pt>
                <c:pt idx="719">
                  <c:v>43335</c:v>
                </c:pt>
                <c:pt idx="720">
                  <c:v>43336</c:v>
                </c:pt>
                <c:pt idx="721">
                  <c:v>43339</c:v>
                </c:pt>
                <c:pt idx="722">
                  <c:v>43340</c:v>
                </c:pt>
                <c:pt idx="723">
                  <c:v>43341</c:v>
                </c:pt>
                <c:pt idx="724">
                  <c:v>43342</c:v>
                </c:pt>
                <c:pt idx="725">
                  <c:v>43343</c:v>
                </c:pt>
                <c:pt idx="726">
                  <c:v>43347</c:v>
                </c:pt>
                <c:pt idx="727">
                  <c:v>43348</c:v>
                </c:pt>
                <c:pt idx="728">
                  <c:v>43349</c:v>
                </c:pt>
                <c:pt idx="729">
                  <c:v>43350</c:v>
                </c:pt>
                <c:pt idx="730">
                  <c:v>43353</c:v>
                </c:pt>
                <c:pt idx="731">
                  <c:v>43354</c:v>
                </c:pt>
                <c:pt idx="732">
                  <c:v>43355</c:v>
                </c:pt>
                <c:pt idx="733">
                  <c:v>43356</c:v>
                </c:pt>
                <c:pt idx="734">
                  <c:v>43357</c:v>
                </c:pt>
                <c:pt idx="735">
                  <c:v>43360</c:v>
                </c:pt>
                <c:pt idx="736">
                  <c:v>43361</c:v>
                </c:pt>
                <c:pt idx="737">
                  <c:v>43362</c:v>
                </c:pt>
                <c:pt idx="738">
                  <c:v>43363</c:v>
                </c:pt>
                <c:pt idx="739">
                  <c:v>43364</c:v>
                </c:pt>
                <c:pt idx="740">
                  <c:v>43367</c:v>
                </c:pt>
                <c:pt idx="741">
                  <c:v>43368</c:v>
                </c:pt>
                <c:pt idx="742">
                  <c:v>43369</c:v>
                </c:pt>
                <c:pt idx="743">
                  <c:v>43370</c:v>
                </c:pt>
                <c:pt idx="744">
                  <c:v>43371</c:v>
                </c:pt>
                <c:pt idx="745">
                  <c:v>43374</c:v>
                </c:pt>
                <c:pt idx="746">
                  <c:v>43375</c:v>
                </c:pt>
                <c:pt idx="747">
                  <c:v>43376</c:v>
                </c:pt>
                <c:pt idx="748">
                  <c:v>43377</c:v>
                </c:pt>
                <c:pt idx="749">
                  <c:v>43378</c:v>
                </c:pt>
                <c:pt idx="750">
                  <c:v>43381</c:v>
                </c:pt>
                <c:pt idx="751">
                  <c:v>43382</c:v>
                </c:pt>
                <c:pt idx="752">
                  <c:v>43383</c:v>
                </c:pt>
                <c:pt idx="753">
                  <c:v>43384</c:v>
                </c:pt>
                <c:pt idx="754">
                  <c:v>43385</c:v>
                </c:pt>
                <c:pt idx="755">
                  <c:v>43388</c:v>
                </c:pt>
              </c:numCache>
            </c:numRef>
          </c:xVal>
          <c:yVal>
            <c:numRef>
              <c:f>'tesla-stock-price'!$B$3:$B$758</c:f>
              <c:numCache>
                <c:formatCode>General</c:formatCode>
                <c:ptCount val="756"/>
                <c:pt idx="0">
                  <c:v>221.31</c:v>
                </c:pt>
                <c:pt idx="1">
                  <c:v>227.01</c:v>
                </c:pt>
                <c:pt idx="2">
                  <c:v>228.1</c:v>
                </c:pt>
                <c:pt idx="3">
                  <c:v>213.03</c:v>
                </c:pt>
                <c:pt idx="4">
                  <c:v>210.09</c:v>
                </c:pt>
                <c:pt idx="5">
                  <c:v>211.72</c:v>
                </c:pt>
                <c:pt idx="6">
                  <c:v>209.09</c:v>
                </c:pt>
                <c:pt idx="7">
                  <c:v>215.26</c:v>
                </c:pt>
                <c:pt idx="8">
                  <c:v>210.35</c:v>
                </c:pt>
                <c:pt idx="9">
                  <c:v>212.96</c:v>
                </c:pt>
                <c:pt idx="10">
                  <c:v>211.63</c:v>
                </c:pt>
                <c:pt idx="11">
                  <c:v>206.93</c:v>
                </c:pt>
                <c:pt idx="12">
                  <c:v>213.79</c:v>
                </c:pt>
                <c:pt idx="13">
                  <c:v>208.35</c:v>
                </c:pt>
                <c:pt idx="14">
                  <c:v>231.63</c:v>
                </c:pt>
                <c:pt idx="15">
                  <c:v>231.77</c:v>
                </c:pt>
                <c:pt idx="16">
                  <c:v>232.36</c:v>
                </c:pt>
                <c:pt idx="17">
                  <c:v>225.33</c:v>
                </c:pt>
                <c:pt idx="18">
                  <c:v>216.5</c:v>
                </c:pt>
                <c:pt idx="19">
                  <c:v>219.08</c:v>
                </c:pt>
                <c:pt idx="20">
                  <c:v>212.94</c:v>
                </c:pt>
                <c:pt idx="21">
                  <c:v>207.19</c:v>
                </c:pt>
                <c:pt idx="22">
                  <c:v>214.31</c:v>
                </c:pt>
                <c:pt idx="23">
                  <c:v>214</c:v>
                </c:pt>
                <c:pt idx="24">
                  <c:v>221.07</c:v>
                </c:pt>
                <c:pt idx="25">
                  <c:v>221.8</c:v>
                </c:pt>
                <c:pt idx="26">
                  <c:v>220.01</c:v>
                </c:pt>
                <c:pt idx="27">
                  <c:v>217.75</c:v>
                </c:pt>
                <c:pt idx="28">
                  <c:v>218.25</c:v>
                </c:pt>
                <c:pt idx="29">
                  <c:v>229.64</c:v>
                </c:pt>
                <c:pt idx="30">
                  <c:v>231.61</c:v>
                </c:pt>
                <c:pt idx="31">
                  <c:v>230.26</c:v>
                </c:pt>
                <c:pt idx="32">
                  <c:v>237.19</c:v>
                </c:pt>
                <c:pt idx="33">
                  <c:v>231.99</c:v>
                </c:pt>
                <c:pt idx="34">
                  <c:v>232.71</c:v>
                </c:pt>
                <c:pt idx="35">
                  <c:v>230.38</c:v>
                </c:pt>
                <c:pt idx="36">
                  <c:v>231.13</c:v>
                </c:pt>
                <c:pt idx="37">
                  <c:v>226.72</c:v>
                </c:pt>
                <c:pt idx="38">
                  <c:v>224.52</c:v>
                </c:pt>
                <c:pt idx="39">
                  <c:v>227.07</c:v>
                </c:pt>
                <c:pt idx="40">
                  <c:v>217.02</c:v>
                </c:pt>
                <c:pt idx="41">
                  <c:v>218.58</c:v>
                </c:pt>
                <c:pt idx="42">
                  <c:v>221.09</c:v>
                </c:pt>
                <c:pt idx="43">
                  <c:v>234.51</c:v>
                </c:pt>
                <c:pt idx="44">
                  <c:v>233.39</c:v>
                </c:pt>
                <c:pt idx="45">
                  <c:v>230.46</c:v>
                </c:pt>
                <c:pt idx="46">
                  <c:v>232.56</c:v>
                </c:pt>
                <c:pt idx="47">
                  <c:v>229.95</c:v>
                </c:pt>
                <c:pt idx="48">
                  <c:v>229.7</c:v>
                </c:pt>
                <c:pt idx="49">
                  <c:v>230.57</c:v>
                </c:pt>
                <c:pt idx="50">
                  <c:v>228.95</c:v>
                </c:pt>
                <c:pt idx="51">
                  <c:v>237.19</c:v>
                </c:pt>
                <c:pt idx="52">
                  <c:v>238.09</c:v>
                </c:pt>
                <c:pt idx="53">
                  <c:v>240.01</c:v>
                </c:pt>
                <c:pt idx="54">
                  <c:v>223.41</c:v>
                </c:pt>
                <c:pt idx="55">
                  <c:v>223.43</c:v>
                </c:pt>
                <c:pt idx="56">
                  <c:v>219.04</c:v>
                </c:pt>
                <c:pt idx="57">
                  <c:v>215.65</c:v>
                </c:pt>
                <c:pt idx="58">
                  <c:v>211</c:v>
                </c:pt>
                <c:pt idx="59">
                  <c:v>207.85</c:v>
                </c:pt>
                <c:pt idx="60">
                  <c:v>209.97</c:v>
                </c:pt>
                <c:pt idx="61">
                  <c:v>200.31</c:v>
                </c:pt>
                <c:pt idx="62">
                  <c:v>206.18</c:v>
                </c:pt>
                <c:pt idx="63">
                  <c:v>204.99</c:v>
                </c:pt>
                <c:pt idx="64">
                  <c:v>204.72</c:v>
                </c:pt>
                <c:pt idx="65">
                  <c:v>198.7</c:v>
                </c:pt>
                <c:pt idx="66">
                  <c:v>199.97</c:v>
                </c:pt>
                <c:pt idx="67">
                  <c:v>202.55</c:v>
                </c:pt>
                <c:pt idx="68">
                  <c:v>196.38</c:v>
                </c:pt>
                <c:pt idx="69">
                  <c:v>193.56</c:v>
                </c:pt>
                <c:pt idx="70">
                  <c:v>188.07</c:v>
                </c:pt>
                <c:pt idx="71">
                  <c:v>189.7</c:v>
                </c:pt>
                <c:pt idx="72">
                  <c:v>191.2</c:v>
                </c:pt>
                <c:pt idx="73">
                  <c:v>196.94</c:v>
                </c:pt>
                <c:pt idx="74">
                  <c:v>182.78</c:v>
                </c:pt>
                <c:pt idx="75">
                  <c:v>173.48</c:v>
                </c:pt>
                <c:pt idx="76">
                  <c:v>175.33</c:v>
                </c:pt>
                <c:pt idx="77">
                  <c:v>162.6</c:v>
                </c:pt>
                <c:pt idx="78">
                  <c:v>147.99</c:v>
                </c:pt>
                <c:pt idx="79">
                  <c:v>148.25</c:v>
                </c:pt>
                <c:pt idx="80">
                  <c:v>143.66999999999999</c:v>
                </c:pt>
                <c:pt idx="81">
                  <c:v>150.47</c:v>
                </c:pt>
                <c:pt idx="82">
                  <c:v>151.04</c:v>
                </c:pt>
                <c:pt idx="83">
                  <c:v>155.16999999999999</c:v>
                </c:pt>
                <c:pt idx="84">
                  <c:v>168.68</c:v>
                </c:pt>
                <c:pt idx="85">
                  <c:v>166.77</c:v>
                </c:pt>
                <c:pt idx="86">
                  <c:v>166.58</c:v>
                </c:pt>
                <c:pt idx="87">
                  <c:v>177.74</c:v>
                </c:pt>
                <c:pt idx="88">
                  <c:v>177.21</c:v>
                </c:pt>
                <c:pt idx="89">
                  <c:v>179</c:v>
                </c:pt>
                <c:pt idx="90">
                  <c:v>187.43</c:v>
                </c:pt>
                <c:pt idx="91">
                  <c:v>190.34</c:v>
                </c:pt>
                <c:pt idx="92">
                  <c:v>191.93</c:v>
                </c:pt>
                <c:pt idx="93">
                  <c:v>186.35</c:v>
                </c:pt>
                <c:pt idx="94">
                  <c:v>188.34</c:v>
                </c:pt>
                <c:pt idx="95">
                  <c:v>195.74</c:v>
                </c:pt>
                <c:pt idx="96">
                  <c:v>201.04</c:v>
                </c:pt>
                <c:pt idx="97">
                  <c:v>205.29</c:v>
                </c:pt>
                <c:pt idx="98">
                  <c:v>202.6</c:v>
                </c:pt>
                <c:pt idx="99">
                  <c:v>208.72</c:v>
                </c:pt>
                <c:pt idx="100">
                  <c:v>205.18</c:v>
                </c:pt>
                <c:pt idx="101">
                  <c:v>207.5</c:v>
                </c:pt>
                <c:pt idx="102">
                  <c:v>215.15</c:v>
                </c:pt>
                <c:pt idx="103">
                  <c:v>218.34</c:v>
                </c:pt>
                <c:pt idx="104">
                  <c:v>221.93</c:v>
                </c:pt>
                <c:pt idx="105">
                  <c:v>226.38</c:v>
                </c:pt>
                <c:pt idx="106">
                  <c:v>232.74</c:v>
                </c:pt>
                <c:pt idx="107">
                  <c:v>238.32</c:v>
                </c:pt>
                <c:pt idx="108">
                  <c:v>234.24</c:v>
                </c:pt>
                <c:pt idx="109">
                  <c:v>222.58</c:v>
                </c:pt>
                <c:pt idx="110">
                  <c:v>227.75</c:v>
                </c:pt>
                <c:pt idx="111">
                  <c:v>230.26</c:v>
                </c:pt>
                <c:pt idx="112">
                  <c:v>230.13</c:v>
                </c:pt>
                <c:pt idx="113">
                  <c:v>226.89</c:v>
                </c:pt>
                <c:pt idx="114">
                  <c:v>229.77</c:v>
                </c:pt>
                <c:pt idx="115">
                  <c:v>237.59</c:v>
                </c:pt>
                <c:pt idx="116">
                  <c:v>246.99</c:v>
                </c:pt>
                <c:pt idx="117">
                  <c:v>255.47</c:v>
                </c:pt>
                <c:pt idx="118">
                  <c:v>265.42</c:v>
                </c:pt>
                <c:pt idx="119">
                  <c:v>257.2</c:v>
                </c:pt>
                <c:pt idx="120">
                  <c:v>250.07</c:v>
                </c:pt>
                <c:pt idx="121">
                  <c:v>249.92</c:v>
                </c:pt>
                <c:pt idx="122">
                  <c:v>247.82</c:v>
                </c:pt>
                <c:pt idx="123">
                  <c:v>254.53</c:v>
                </c:pt>
                <c:pt idx="124">
                  <c:v>251.86</c:v>
                </c:pt>
                <c:pt idx="125">
                  <c:v>254.51</c:v>
                </c:pt>
                <c:pt idx="126">
                  <c:v>253.88</c:v>
                </c:pt>
                <c:pt idx="127">
                  <c:v>247.37</c:v>
                </c:pt>
                <c:pt idx="128">
                  <c:v>249.97</c:v>
                </c:pt>
                <c:pt idx="129">
                  <c:v>248.29</c:v>
                </c:pt>
                <c:pt idx="130">
                  <c:v>253.75</c:v>
                </c:pt>
                <c:pt idx="131">
                  <c:v>251.82</c:v>
                </c:pt>
                <c:pt idx="132">
                  <c:v>253.74</c:v>
                </c:pt>
                <c:pt idx="133">
                  <c:v>251.47</c:v>
                </c:pt>
                <c:pt idx="134">
                  <c:v>247.71</c:v>
                </c:pt>
                <c:pt idx="135">
                  <c:v>240.76</c:v>
                </c:pt>
                <c:pt idx="136">
                  <c:v>241.8</c:v>
                </c:pt>
                <c:pt idx="137">
                  <c:v>232.32</c:v>
                </c:pt>
                <c:pt idx="138">
                  <c:v>222.56</c:v>
                </c:pt>
                <c:pt idx="139">
                  <c:v>211.53</c:v>
                </c:pt>
                <c:pt idx="140">
                  <c:v>214.93</c:v>
                </c:pt>
                <c:pt idx="141">
                  <c:v>208.92</c:v>
                </c:pt>
                <c:pt idx="142">
                  <c:v>208.69</c:v>
                </c:pt>
                <c:pt idx="143">
                  <c:v>208.96</c:v>
                </c:pt>
                <c:pt idx="144">
                  <c:v>207.28</c:v>
                </c:pt>
                <c:pt idx="145">
                  <c:v>207.61</c:v>
                </c:pt>
                <c:pt idx="146">
                  <c:v>208.29</c:v>
                </c:pt>
                <c:pt idx="147">
                  <c:v>204.66</c:v>
                </c:pt>
                <c:pt idx="148">
                  <c:v>211.17</c:v>
                </c:pt>
                <c:pt idx="149">
                  <c:v>215.21</c:v>
                </c:pt>
                <c:pt idx="150">
                  <c:v>220.28</c:v>
                </c:pt>
                <c:pt idx="151">
                  <c:v>216.22</c:v>
                </c:pt>
                <c:pt idx="152">
                  <c:v>217.91</c:v>
                </c:pt>
                <c:pt idx="153">
                  <c:v>219.58</c:v>
                </c:pt>
                <c:pt idx="154">
                  <c:v>225.12</c:v>
                </c:pt>
                <c:pt idx="155">
                  <c:v>223.04</c:v>
                </c:pt>
                <c:pt idx="156">
                  <c:v>223.23</c:v>
                </c:pt>
                <c:pt idx="157">
                  <c:v>219.56</c:v>
                </c:pt>
                <c:pt idx="158">
                  <c:v>218.96</c:v>
                </c:pt>
                <c:pt idx="159">
                  <c:v>218.99</c:v>
                </c:pt>
                <c:pt idx="160">
                  <c:v>220.68</c:v>
                </c:pt>
                <c:pt idx="161">
                  <c:v>232.34</c:v>
                </c:pt>
                <c:pt idx="162">
                  <c:v>235.52</c:v>
                </c:pt>
                <c:pt idx="163">
                  <c:v>229.36</c:v>
                </c:pt>
                <c:pt idx="164">
                  <c:v>218.79</c:v>
                </c:pt>
                <c:pt idx="165">
                  <c:v>217.87</c:v>
                </c:pt>
                <c:pt idx="166">
                  <c:v>214.96</c:v>
                </c:pt>
                <c:pt idx="167">
                  <c:v>217.7</c:v>
                </c:pt>
                <c:pt idx="168">
                  <c:v>217.93</c:v>
                </c:pt>
                <c:pt idx="169">
                  <c:v>215.47</c:v>
                </c:pt>
                <c:pt idx="170">
                  <c:v>219.7</c:v>
                </c:pt>
                <c:pt idx="171">
                  <c:v>219.61</c:v>
                </c:pt>
                <c:pt idx="172">
                  <c:v>196.66</c:v>
                </c:pt>
                <c:pt idx="173">
                  <c:v>196.4</c:v>
                </c:pt>
                <c:pt idx="174">
                  <c:v>193.15</c:v>
                </c:pt>
                <c:pt idx="175">
                  <c:v>198.55</c:v>
                </c:pt>
                <c:pt idx="176">
                  <c:v>201.79</c:v>
                </c:pt>
                <c:pt idx="177">
                  <c:v>210.19</c:v>
                </c:pt>
                <c:pt idx="178">
                  <c:v>212.28</c:v>
                </c:pt>
                <c:pt idx="179">
                  <c:v>216.5</c:v>
                </c:pt>
                <c:pt idx="180">
                  <c:v>213.98</c:v>
                </c:pt>
                <c:pt idx="181">
                  <c:v>214.44</c:v>
                </c:pt>
                <c:pt idx="182">
                  <c:v>215.94</c:v>
                </c:pt>
                <c:pt idx="183">
                  <c:v>216.78</c:v>
                </c:pt>
                <c:pt idx="184">
                  <c:v>224.78</c:v>
                </c:pt>
                <c:pt idx="185">
                  <c:v>224.65</c:v>
                </c:pt>
                <c:pt idx="186">
                  <c:v>222.53</c:v>
                </c:pt>
                <c:pt idx="187">
                  <c:v>221.53</c:v>
                </c:pt>
                <c:pt idx="188">
                  <c:v>220.4</c:v>
                </c:pt>
                <c:pt idx="189">
                  <c:v>226.25</c:v>
                </c:pt>
                <c:pt idx="190">
                  <c:v>225.26</c:v>
                </c:pt>
                <c:pt idx="191">
                  <c:v>228.36</c:v>
                </c:pt>
                <c:pt idx="192">
                  <c:v>220.5</c:v>
                </c:pt>
                <c:pt idx="193">
                  <c:v>222.27</c:v>
                </c:pt>
                <c:pt idx="194">
                  <c:v>230.01</c:v>
                </c:pt>
                <c:pt idx="195">
                  <c:v>229.51</c:v>
                </c:pt>
                <c:pt idx="196">
                  <c:v>228.49</c:v>
                </c:pt>
                <c:pt idx="197">
                  <c:v>230.61</c:v>
                </c:pt>
                <c:pt idx="198">
                  <c:v>234.79</c:v>
                </c:pt>
                <c:pt idx="199">
                  <c:v>230.01</c:v>
                </c:pt>
                <c:pt idx="200">
                  <c:v>227.2</c:v>
                </c:pt>
                <c:pt idx="201">
                  <c:v>225.79</c:v>
                </c:pt>
                <c:pt idx="202">
                  <c:v>230.61</c:v>
                </c:pt>
                <c:pt idx="203">
                  <c:v>230.03</c:v>
                </c:pt>
                <c:pt idx="204">
                  <c:v>226.16</c:v>
                </c:pt>
                <c:pt idx="205">
                  <c:v>229.08</c:v>
                </c:pt>
                <c:pt idx="206">
                  <c:v>225.65</c:v>
                </c:pt>
                <c:pt idx="207">
                  <c:v>224.91</c:v>
                </c:pt>
                <c:pt idx="208">
                  <c:v>225.61</c:v>
                </c:pt>
                <c:pt idx="209">
                  <c:v>225.59</c:v>
                </c:pt>
                <c:pt idx="210">
                  <c:v>223.61</c:v>
                </c:pt>
                <c:pt idx="211">
                  <c:v>223.24</c:v>
                </c:pt>
                <c:pt idx="212">
                  <c:v>223.51</c:v>
                </c:pt>
                <c:pt idx="213">
                  <c:v>225</c:v>
                </c:pt>
                <c:pt idx="214">
                  <c:v>222.93</c:v>
                </c:pt>
                <c:pt idx="215">
                  <c:v>224.84</c:v>
                </c:pt>
                <c:pt idx="216">
                  <c:v>222.62</c:v>
                </c:pt>
                <c:pt idx="217">
                  <c:v>220.96</c:v>
                </c:pt>
                <c:pt idx="218">
                  <c:v>219.99</c:v>
                </c:pt>
                <c:pt idx="219">
                  <c:v>215.2</c:v>
                </c:pt>
                <c:pt idx="220">
                  <c:v>211.34</c:v>
                </c:pt>
                <c:pt idx="221">
                  <c:v>212.01</c:v>
                </c:pt>
                <c:pt idx="222">
                  <c:v>200.77</c:v>
                </c:pt>
                <c:pt idx="223">
                  <c:v>197.78</c:v>
                </c:pt>
                <c:pt idx="224">
                  <c:v>202.83</c:v>
                </c:pt>
                <c:pt idx="225">
                  <c:v>201.71</c:v>
                </c:pt>
                <c:pt idx="226">
                  <c:v>197.36</c:v>
                </c:pt>
                <c:pt idx="227">
                  <c:v>194.47</c:v>
                </c:pt>
                <c:pt idx="228">
                  <c:v>198.3</c:v>
                </c:pt>
                <c:pt idx="229">
                  <c:v>196.05</c:v>
                </c:pt>
                <c:pt idx="230">
                  <c:v>196.41</c:v>
                </c:pt>
                <c:pt idx="231">
                  <c:v>200.42</c:v>
                </c:pt>
                <c:pt idx="232">
                  <c:v>205.4</c:v>
                </c:pt>
                <c:pt idx="233">
                  <c:v>206.34</c:v>
                </c:pt>
                <c:pt idx="234">
                  <c:v>204.64</c:v>
                </c:pt>
                <c:pt idx="235">
                  <c:v>205.22</c:v>
                </c:pt>
                <c:pt idx="236">
                  <c:v>206.43</c:v>
                </c:pt>
                <c:pt idx="237">
                  <c:v>207.45</c:v>
                </c:pt>
                <c:pt idx="238">
                  <c:v>208.99</c:v>
                </c:pt>
                <c:pt idx="239">
                  <c:v>205.81</c:v>
                </c:pt>
                <c:pt idx="240">
                  <c:v>206.27</c:v>
                </c:pt>
                <c:pt idx="241">
                  <c:v>200.7</c:v>
                </c:pt>
                <c:pt idx="242">
                  <c:v>204.03</c:v>
                </c:pt>
                <c:pt idx="243">
                  <c:v>213.7</c:v>
                </c:pt>
                <c:pt idx="244">
                  <c:v>211.41</c:v>
                </c:pt>
                <c:pt idx="245">
                  <c:v>208.46</c:v>
                </c:pt>
                <c:pt idx="246">
                  <c:v>201</c:v>
                </c:pt>
                <c:pt idx="247">
                  <c:v>196.61</c:v>
                </c:pt>
                <c:pt idx="248">
                  <c:v>200.95</c:v>
                </c:pt>
                <c:pt idx="249">
                  <c:v>200.1</c:v>
                </c:pt>
                <c:pt idx="250">
                  <c:v>201.51</c:v>
                </c:pt>
                <c:pt idx="251">
                  <c:v>200.24</c:v>
                </c:pt>
                <c:pt idx="252">
                  <c:v>196.51</c:v>
                </c:pt>
                <c:pt idx="253">
                  <c:v>193.96</c:v>
                </c:pt>
                <c:pt idx="254">
                  <c:v>199.1</c:v>
                </c:pt>
                <c:pt idx="255">
                  <c:v>203.56</c:v>
                </c:pt>
                <c:pt idx="256">
                  <c:v>199.1</c:v>
                </c:pt>
                <c:pt idx="257">
                  <c:v>200.09</c:v>
                </c:pt>
                <c:pt idx="258">
                  <c:v>202.76</c:v>
                </c:pt>
                <c:pt idx="259">
                  <c:v>202.34</c:v>
                </c:pt>
                <c:pt idx="260">
                  <c:v>202.24</c:v>
                </c:pt>
                <c:pt idx="261">
                  <c:v>204.01</c:v>
                </c:pt>
                <c:pt idx="262">
                  <c:v>199.97</c:v>
                </c:pt>
                <c:pt idx="263">
                  <c:v>197.73</c:v>
                </c:pt>
                <c:pt idx="264">
                  <c:v>190.79</c:v>
                </c:pt>
                <c:pt idx="265">
                  <c:v>188.02</c:v>
                </c:pt>
                <c:pt idx="266">
                  <c:v>187.42</c:v>
                </c:pt>
                <c:pt idx="267">
                  <c:v>190.56</c:v>
                </c:pt>
                <c:pt idx="268">
                  <c:v>193.21</c:v>
                </c:pt>
                <c:pt idx="269">
                  <c:v>194.94</c:v>
                </c:pt>
                <c:pt idx="270">
                  <c:v>190.06</c:v>
                </c:pt>
                <c:pt idx="271">
                  <c:v>185.35</c:v>
                </c:pt>
                <c:pt idx="272">
                  <c:v>188.56</c:v>
                </c:pt>
                <c:pt idx="273">
                  <c:v>181.45</c:v>
                </c:pt>
                <c:pt idx="274">
                  <c:v>183.77</c:v>
                </c:pt>
                <c:pt idx="275">
                  <c:v>183.93</c:v>
                </c:pt>
                <c:pt idx="276">
                  <c:v>188.66</c:v>
                </c:pt>
                <c:pt idx="277">
                  <c:v>185.02</c:v>
                </c:pt>
                <c:pt idx="278">
                  <c:v>184.52</c:v>
                </c:pt>
                <c:pt idx="279">
                  <c:v>191.17</c:v>
                </c:pt>
                <c:pt idx="280">
                  <c:v>193.14</c:v>
                </c:pt>
                <c:pt idx="281">
                  <c:v>196.65</c:v>
                </c:pt>
                <c:pt idx="282">
                  <c:v>196.12</c:v>
                </c:pt>
                <c:pt idx="283">
                  <c:v>189.57</c:v>
                </c:pt>
                <c:pt idx="284">
                  <c:v>189.4</c:v>
                </c:pt>
                <c:pt idx="285">
                  <c:v>181.88</c:v>
                </c:pt>
                <c:pt idx="286">
                  <c:v>181.47</c:v>
                </c:pt>
                <c:pt idx="287">
                  <c:v>186.8</c:v>
                </c:pt>
                <c:pt idx="288">
                  <c:v>185.85</c:v>
                </c:pt>
                <c:pt idx="289">
                  <c:v>193.15</c:v>
                </c:pt>
                <c:pt idx="290">
                  <c:v>192.29</c:v>
                </c:pt>
                <c:pt idx="291">
                  <c:v>192.18</c:v>
                </c:pt>
                <c:pt idx="292">
                  <c:v>192.43</c:v>
                </c:pt>
                <c:pt idx="293">
                  <c:v>198.15</c:v>
                </c:pt>
                <c:pt idx="294">
                  <c:v>198.69</c:v>
                </c:pt>
                <c:pt idx="295">
                  <c:v>197.58</c:v>
                </c:pt>
                <c:pt idx="296">
                  <c:v>202.49</c:v>
                </c:pt>
                <c:pt idx="297">
                  <c:v>202.73</c:v>
                </c:pt>
                <c:pt idx="298">
                  <c:v>208.79</c:v>
                </c:pt>
                <c:pt idx="299">
                  <c:v>207.7</c:v>
                </c:pt>
                <c:pt idx="300">
                  <c:v>208.45</c:v>
                </c:pt>
                <c:pt idx="301">
                  <c:v>213.34</c:v>
                </c:pt>
                <c:pt idx="302">
                  <c:v>219.53</c:v>
                </c:pt>
                <c:pt idx="303">
                  <c:v>219.74</c:v>
                </c:pt>
                <c:pt idx="304">
                  <c:v>214.68</c:v>
                </c:pt>
                <c:pt idx="305">
                  <c:v>213.69</c:v>
                </c:pt>
                <c:pt idx="306">
                  <c:v>216.99</c:v>
                </c:pt>
                <c:pt idx="307">
                  <c:v>226.99</c:v>
                </c:pt>
                <c:pt idx="308">
                  <c:v>226.75</c:v>
                </c:pt>
                <c:pt idx="309">
                  <c:v>229.01</c:v>
                </c:pt>
                <c:pt idx="310">
                  <c:v>231.28</c:v>
                </c:pt>
                <c:pt idx="311">
                  <c:v>229.87</c:v>
                </c:pt>
                <c:pt idx="312">
                  <c:v>229.73</c:v>
                </c:pt>
                <c:pt idx="313">
                  <c:v>229.59</c:v>
                </c:pt>
                <c:pt idx="314">
                  <c:v>237.75</c:v>
                </c:pt>
                <c:pt idx="315">
                  <c:v>235.58</c:v>
                </c:pt>
                <c:pt idx="316">
                  <c:v>238.36</c:v>
                </c:pt>
                <c:pt idx="317">
                  <c:v>243.76</c:v>
                </c:pt>
                <c:pt idx="318">
                  <c:v>244.73</c:v>
                </c:pt>
                <c:pt idx="319">
                  <c:v>248.92</c:v>
                </c:pt>
                <c:pt idx="320">
                  <c:v>254.61</c:v>
                </c:pt>
                <c:pt idx="321">
                  <c:v>254.47</c:v>
                </c:pt>
                <c:pt idx="322">
                  <c:v>252.51</c:v>
                </c:pt>
                <c:pt idx="323">
                  <c:v>252.95</c:v>
                </c:pt>
                <c:pt idx="324">
                  <c:v>250.63</c:v>
                </c:pt>
                <c:pt idx="325">
                  <c:v>251.93</c:v>
                </c:pt>
                <c:pt idx="326">
                  <c:v>249.24</c:v>
                </c:pt>
                <c:pt idx="327">
                  <c:v>251.55</c:v>
                </c:pt>
                <c:pt idx="328">
                  <c:v>251.33</c:v>
                </c:pt>
                <c:pt idx="329">
                  <c:v>257.77</c:v>
                </c:pt>
                <c:pt idx="330">
                  <c:v>257.48</c:v>
                </c:pt>
                <c:pt idx="331">
                  <c:v>262.08</c:v>
                </c:pt>
                <c:pt idx="332">
                  <c:v>269.2</c:v>
                </c:pt>
                <c:pt idx="333">
                  <c:v>269.23</c:v>
                </c:pt>
                <c:pt idx="334">
                  <c:v>280.60000000000002</c:v>
                </c:pt>
                <c:pt idx="335">
                  <c:v>280.98</c:v>
                </c:pt>
                <c:pt idx="336">
                  <c:v>279.76</c:v>
                </c:pt>
                <c:pt idx="337">
                  <c:v>268.95</c:v>
                </c:pt>
                <c:pt idx="338">
                  <c:v>272.23</c:v>
                </c:pt>
                <c:pt idx="339">
                  <c:v>277.39</c:v>
                </c:pt>
                <c:pt idx="340">
                  <c:v>273.51</c:v>
                </c:pt>
                <c:pt idx="341">
                  <c:v>255.99</c:v>
                </c:pt>
                <c:pt idx="342">
                  <c:v>257</c:v>
                </c:pt>
                <c:pt idx="343">
                  <c:v>246.23</c:v>
                </c:pt>
                <c:pt idx="344">
                  <c:v>249.99</c:v>
                </c:pt>
                <c:pt idx="345">
                  <c:v>250.02</c:v>
                </c:pt>
                <c:pt idx="346">
                  <c:v>250.48</c:v>
                </c:pt>
                <c:pt idx="347">
                  <c:v>251.57</c:v>
                </c:pt>
                <c:pt idx="348">
                  <c:v>251.21</c:v>
                </c:pt>
                <c:pt idx="349">
                  <c:v>248.59</c:v>
                </c:pt>
                <c:pt idx="350">
                  <c:v>246.87</c:v>
                </c:pt>
                <c:pt idx="351">
                  <c:v>244.9</c:v>
                </c:pt>
                <c:pt idx="352">
                  <c:v>243.69</c:v>
                </c:pt>
                <c:pt idx="353">
                  <c:v>246.17</c:v>
                </c:pt>
                <c:pt idx="354">
                  <c:v>258</c:v>
                </c:pt>
                <c:pt idx="355">
                  <c:v>255.73</c:v>
                </c:pt>
                <c:pt idx="356">
                  <c:v>262.05</c:v>
                </c:pt>
                <c:pt idx="357">
                  <c:v>261.5</c:v>
                </c:pt>
                <c:pt idx="358">
                  <c:v>261.92</c:v>
                </c:pt>
                <c:pt idx="359">
                  <c:v>250.68</c:v>
                </c:pt>
                <c:pt idx="360">
                  <c:v>255.01</c:v>
                </c:pt>
                <c:pt idx="361">
                  <c:v>254.78</c:v>
                </c:pt>
                <c:pt idx="362">
                  <c:v>263.16000000000003</c:v>
                </c:pt>
                <c:pt idx="363">
                  <c:v>270.22000000000003</c:v>
                </c:pt>
                <c:pt idx="364">
                  <c:v>277.45</c:v>
                </c:pt>
                <c:pt idx="365">
                  <c:v>277.38</c:v>
                </c:pt>
                <c:pt idx="366">
                  <c:v>277.92</c:v>
                </c:pt>
                <c:pt idx="367">
                  <c:v>278.3</c:v>
                </c:pt>
                <c:pt idx="368">
                  <c:v>298.52</c:v>
                </c:pt>
                <c:pt idx="369">
                  <c:v>303.7</c:v>
                </c:pt>
                <c:pt idx="370">
                  <c:v>295</c:v>
                </c:pt>
                <c:pt idx="371">
                  <c:v>298.7</c:v>
                </c:pt>
                <c:pt idx="372">
                  <c:v>302.54000000000002</c:v>
                </c:pt>
                <c:pt idx="373">
                  <c:v>312.39</c:v>
                </c:pt>
                <c:pt idx="374">
                  <c:v>308.70999999999998</c:v>
                </c:pt>
                <c:pt idx="375">
                  <c:v>296.83999999999997</c:v>
                </c:pt>
                <c:pt idx="376">
                  <c:v>304</c:v>
                </c:pt>
                <c:pt idx="377">
                  <c:v>301.44</c:v>
                </c:pt>
                <c:pt idx="378">
                  <c:v>300.25</c:v>
                </c:pt>
                <c:pt idx="379">
                  <c:v>305.52</c:v>
                </c:pt>
                <c:pt idx="380">
                  <c:v>302.51</c:v>
                </c:pt>
                <c:pt idx="381">
                  <c:v>305.60000000000002</c:v>
                </c:pt>
                <c:pt idx="382">
                  <c:v>308.02999999999997</c:v>
                </c:pt>
                <c:pt idx="383">
                  <c:v>313.79000000000002</c:v>
                </c:pt>
                <c:pt idx="384">
                  <c:v>310.17</c:v>
                </c:pt>
                <c:pt idx="385">
                  <c:v>308.63</c:v>
                </c:pt>
                <c:pt idx="386">
                  <c:v>314.07</c:v>
                </c:pt>
                <c:pt idx="387">
                  <c:v>322.83</c:v>
                </c:pt>
                <c:pt idx="388">
                  <c:v>318.89</c:v>
                </c:pt>
                <c:pt idx="389">
                  <c:v>311.02</c:v>
                </c:pt>
                <c:pt idx="390">
                  <c:v>295.45999999999998</c:v>
                </c:pt>
                <c:pt idx="391">
                  <c:v>308.35000000000002</c:v>
                </c:pt>
                <c:pt idx="392">
                  <c:v>307.19</c:v>
                </c:pt>
                <c:pt idx="393">
                  <c:v>321.26</c:v>
                </c:pt>
                <c:pt idx="394">
                  <c:v>325.22000000000003</c:v>
                </c:pt>
                <c:pt idx="395">
                  <c:v>323.10000000000002</c:v>
                </c:pt>
                <c:pt idx="396">
                  <c:v>324.81</c:v>
                </c:pt>
                <c:pt idx="397">
                  <c:v>315.88</c:v>
                </c:pt>
                <c:pt idx="398">
                  <c:v>317.01</c:v>
                </c:pt>
                <c:pt idx="399">
                  <c:v>306.11</c:v>
                </c:pt>
                <c:pt idx="400">
                  <c:v>313.06</c:v>
                </c:pt>
                <c:pt idx="401">
                  <c:v>310.83</c:v>
                </c:pt>
                <c:pt idx="402">
                  <c:v>310.35000000000002</c:v>
                </c:pt>
                <c:pt idx="403">
                  <c:v>303.86</c:v>
                </c:pt>
                <c:pt idx="404">
                  <c:v>310.22000000000003</c:v>
                </c:pt>
                <c:pt idx="405">
                  <c:v>316.83</c:v>
                </c:pt>
                <c:pt idx="406">
                  <c:v>325.14</c:v>
                </c:pt>
                <c:pt idx="407">
                  <c:v>335.1</c:v>
                </c:pt>
                <c:pt idx="408">
                  <c:v>341.01</c:v>
                </c:pt>
                <c:pt idx="409">
                  <c:v>340.37</c:v>
                </c:pt>
                <c:pt idx="410">
                  <c:v>339.85</c:v>
                </c:pt>
                <c:pt idx="411">
                  <c:v>347.32</c:v>
                </c:pt>
                <c:pt idx="412">
                  <c:v>352.85</c:v>
                </c:pt>
                <c:pt idx="413">
                  <c:v>359.65</c:v>
                </c:pt>
                <c:pt idx="414">
                  <c:v>370</c:v>
                </c:pt>
                <c:pt idx="415">
                  <c:v>357.32</c:v>
                </c:pt>
                <c:pt idx="416">
                  <c:v>359.01</c:v>
                </c:pt>
                <c:pt idx="417">
                  <c:v>375.95</c:v>
                </c:pt>
                <c:pt idx="418">
                  <c:v>380.66</c:v>
                </c:pt>
                <c:pt idx="419">
                  <c:v>375.34</c:v>
                </c:pt>
                <c:pt idx="420">
                  <c:v>371.4</c:v>
                </c:pt>
                <c:pt idx="421">
                  <c:v>369.8</c:v>
                </c:pt>
                <c:pt idx="422">
                  <c:v>372.24</c:v>
                </c:pt>
                <c:pt idx="423">
                  <c:v>376.4</c:v>
                </c:pt>
                <c:pt idx="424">
                  <c:v>382.61</c:v>
                </c:pt>
                <c:pt idx="425">
                  <c:v>383.45</c:v>
                </c:pt>
                <c:pt idx="426">
                  <c:v>377.49</c:v>
                </c:pt>
                <c:pt idx="427">
                  <c:v>362.37</c:v>
                </c:pt>
                <c:pt idx="428">
                  <c:v>371.24</c:v>
                </c:pt>
                <c:pt idx="429">
                  <c:v>360.75</c:v>
                </c:pt>
                <c:pt idx="430">
                  <c:v>361.61</c:v>
                </c:pt>
                <c:pt idx="431">
                  <c:v>352.62</c:v>
                </c:pt>
                <c:pt idx="432">
                  <c:v>327.08999999999997</c:v>
                </c:pt>
                <c:pt idx="433">
                  <c:v>308.83</c:v>
                </c:pt>
                <c:pt idx="434">
                  <c:v>313.22000000000003</c:v>
                </c:pt>
                <c:pt idx="435">
                  <c:v>316.05</c:v>
                </c:pt>
                <c:pt idx="436">
                  <c:v>327.22000000000003</c:v>
                </c:pt>
                <c:pt idx="437">
                  <c:v>329.52</c:v>
                </c:pt>
                <c:pt idx="438">
                  <c:v>323.41000000000003</c:v>
                </c:pt>
                <c:pt idx="439">
                  <c:v>327.78</c:v>
                </c:pt>
                <c:pt idx="440">
                  <c:v>319.57</c:v>
                </c:pt>
                <c:pt idx="441">
                  <c:v>328.24</c:v>
                </c:pt>
                <c:pt idx="442">
                  <c:v>325.26</c:v>
                </c:pt>
                <c:pt idx="443">
                  <c:v>329.92</c:v>
                </c:pt>
                <c:pt idx="444">
                  <c:v>328.4</c:v>
                </c:pt>
                <c:pt idx="445">
                  <c:v>342.52</c:v>
                </c:pt>
                <c:pt idx="446">
                  <c:v>339.6</c:v>
                </c:pt>
                <c:pt idx="447">
                  <c:v>343.85</c:v>
                </c:pt>
                <c:pt idx="448">
                  <c:v>334.46</c:v>
                </c:pt>
                <c:pt idx="449">
                  <c:v>335.07</c:v>
                </c:pt>
                <c:pt idx="450">
                  <c:v>323.47000000000003</c:v>
                </c:pt>
                <c:pt idx="451">
                  <c:v>319.57</c:v>
                </c:pt>
                <c:pt idx="452">
                  <c:v>325.89</c:v>
                </c:pt>
                <c:pt idx="453">
                  <c:v>347.09</c:v>
                </c:pt>
                <c:pt idx="454">
                  <c:v>356.91</c:v>
                </c:pt>
                <c:pt idx="455">
                  <c:v>355.17</c:v>
                </c:pt>
                <c:pt idx="456">
                  <c:v>365.22</c:v>
                </c:pt>
                <c:pt idx="457">
                  <c:v>363.53</c:v>
                </c:pt>
                <c:pt idx="458">
                  <c:v>355.4</c:v>
                </c:pt>
                <c:pt idx="459">
                  <c:v>357.87</c:v>
                </c:pt>
                <c:pt idx="460">
                  <c:v>363.8</c:v>
                </c:pt>
                <c:pt idx="461">
                  <c:v>362.33</c:v>
                </c:pt>
                <c:pt idx="462">
                  <c:v>362.91</c:v>
                </c:pt>
                <c:pt idx="463">
                  <c:v>351.92</c:v>
                </c:pt>
                <c:pt idx="464">
                  <c:v>347.46</c:v>
                </c:pt>
                <c:pt idx="465">
                  <c:v>337.86</c:v>
                </c:pt>
                <c:pt idx="466">
                  <c:v>341.35</c:v>
                </c:pt>
                <c:pt idx="467">
                  <c:v>352.77</c:v>
                </c:pt>
                <c:pt idx="468">
                  <c:v>352.93</c:v>
                </c:pt>
                <c:pt idx="469">
                  <c:v>348.05</c:v>
                </c:pt>
                <c:pt idx="470">
                  <c:v>345.66</c:v>
                </c:pt>
                <c:pt idx="471">
                  <c:v>347.36</c:v>
                </c:pt>
                <c:pt idx="472">
                  <c:v>353.18</c:v>
                </c:pt>
                <c:pt idx="473">
                  <c:v>355.9</c:v>
                </c:pt>
                <c:pt idx="474">
                  <c:v>355.4</c:v>
                </c:pt>
                <c:pt idx="475">
                  <c:v>349.59</c:v>
                </c:pt>
                <c:pt idx="476">
                  <c:v>344.53</c:v>
                </c:pt>
                <c:pt idx="477">
                  <c:v>350.61</c:v>
                </c:pt>
                <c:pt idx="478">
                  <c:v>343.4</c:v>
                </c:pt>
                <c:pt idx="479">
                  <c:v>363.69</c:v>
                </c:pt>
                <c:pt idx="480">
                  <c:v>362.75</c:v>
                </c:pt>
                <c:pt idx="481">
                  <c:v>366.23</c:v>
                </c:pt>
                <c:pt idx="482">
                  <c:v>377.64</c:v>
                </c:pt>
                <c:pt idx="483">
                  <c:v>379.81</c:v>
                </c:pt>
                <c:pt idx="484">
                  <c:v>385</c:v>
                </c:pt>
                <c:pt idx="485">
                  <c:v>375.1</c:v>
                </c:pt>
                <c:pt idx="486">
                  <c:v>373.91</c:v>
                </c:pt>
                <c:pt idx="487">
                  <c:v>366.48</c:v>
                </c:pt>
                <c:pt idx="488">
                  <c:v>351.09</c:v>
                </c:pt>
                <c:pt idx="489">
                  <c:v>344.99</c:v>
                </c:pt>
                <c:pt idx="490">
                  <c:v>345.25</c:v>
                </c:pt>
                <c:pt idx="491">
                  <c:v>340.97</c:v>
                </c:pt>
                <c:pt idx="492">
                  <c:v>339.6</c:v>
                </c:pt>
                <c:pt idx="493">
                  <c:v>341.1</c:v>
                </c:pt>
                <c:pt idx="494">
                  <c:v>341.53</c:v>
                </c:pt>
                <c:pt idx="495">
                  <c:v>348.14</c:v>
                </c:pt>
                <c:pt idx="496">
                  <c:v>355.01</c:v>
                </c:pt>
                <c:pt idx="497">
                  <c:v>355.33</c:v>
                </c:pt>
                <c:pt idx="498">
                  <c:v>356.88</c:v>
                </c:pt>
                <c:pt idx="499">
                  <c:v>342.94</c:v>
                </c:pt>
                <c:pt idx="500">
                  <c:v>355.59</c:v>
                </c:pt>
                <c:pt idx="501">
                  <c:v>354.6</c:v>
                </c:pt>
                <c:pt idx="502">
                  <c:v>355.68</c:v>
                </c:pt>
                <c:pt idx="503">
                  <c:v>355.57</c:v>
                </c:pt>
                <c:pt idx="504">
                  <c:v>350.6</c:v>
                </c:pt>
                <c:pt idx="505">
                  <c:v>355.75</c:v>
                </c:pt>
                <c:pt idx="506">
                  <c:v>359.65</c:v>
                </c:pt>
                <c:pt idx="507">
                  <c:v>351.81</c:v>
                </c:pt>
                <c:pt idx="508">
                  <c:v>345.1</c:v>
                </c:pt>
                <c:pt idx="509">
                  <c:v>337.02</c:v>
                </c:pt>
                <c:pt idx="510">
                  <c:v>337.34</c:v>
                </c:pt>
                <c:pt idx="511">
                  <c:v>325.83999999999997</c:v>
                </c:pt>
                <c:pt idx="512">
                  <c:v>326.17</c:v>
                </c:pt>
                <c:pt idx="513">
                  <c:v>320.87</c:v>
                </c:pt>
                <c:pt idx="514">
                  <c:v>320.08</c:v>
                </c:pt>
                <c:pt idx="515">
                  <c:v>331.53</c:v>
                </c:pt>
                <c:pt idx="516">
                  <c:v>321.08</c:v>
                </c:pt>
                <c:pt idx="517">
                  <c:v>299.26</c:v>
                </c:pt>
                <c:pt idx="518">
                  <c:v>306.08999999999997</c:v>
                </c:pt>
                <c:pt idx="519">
                  <c:v>302.77999999999997</c:v>
                </c:pt>
                <c:pt idx="520">
                  <c:v>306.05</c:v>
                </c:pt>
                <c:pt idx="521">
                  <c:v>304.39</c:v>
                </c:pt>
                <c:pt idx="522">
                  <c:v>302.99</c:v>
                </c:pt>
                <c:pt idx="523">
                  <c:v>302.99</c:v>
                </c:pt>
                <c:pt idx="524">
                  <c:v>315.39999999999998</c:v>
                </c:pt>
                <c:pt idx="525">
                  <c:v>308.7</c:v>
                </c:pt>
                <c:pt idx="526">
                  <c:v>311.3</c:v>
                </c:pt>
                <c:pt idx="527">
                  <c:v>312.5</c:v>
                </c:pt>
                <c:pt idx="528">
                  <c:v>315.05</c:v>
                </c:pt>
                <c:pt idx="529">
                  <c:v>308.74</c:v>
                </c:pt>
                <c:pt idx="530">
                  <c:v>317.81</c:v>
                </c:pt>
                <c:pt idx="531">
                  <c:v>312.60000000000002</c:v>
                </c:pt>
                <c:pt idx="532">
                  <c:v>315.55</c:v>
                </c:pt>
                <c:pt idx="533">
                  <c:v>316.81</c:v>
                </c:pt>
                <c:pt idx="534">
                  <c:v>317.55</c:v>
                </c:pt>
                <c:pt idx="535">
                  <c:v>307.54000000000002</c:v>
                </c:pt>
                <c:pt idx="536">
                  <c:v>308.85000000000002</c:v>
                </c:pt>
                <c:pt idx="537">
                  <c:v>306.52999999999997</c:v>
                </c:pt>
                <c:pt idx="538">
                  <c:v>305.2</c:v>
                </c:pt>
                <c:pt idx="539">
                  <c:v>303.7</c:v>
                </c:pt>
                <c:pt idx="540">
                  <c:v>313.26</c:v>
                </c:pt>
                <c:pt idx="541">
                  <c:v>311.24</c:v>
                </c:pt>
                <c:pt idx="542">
                  <c:v>315.13</c:v>
                </c:pt>
                <c:pt idx="543">
                  <c:v>328.91</c:v>
                </c:pt>
                <c:pt idx="544">
                  <c:v>341.03</c:v>
                </c:pt>
                <c:pt idx="545">
                  <c:v>339.03</c:v>
                </c:pt>
                <c:pt idx="546">
                  <c:v>337.89</c:v>
                </c:pt>
                <c:pt idx="547">
                  <c:v>343.45</c:v>
                </c:pt>
                <c:pt idx="548">
                  <c:v>338.87</c:v>
                </c:pt>
                <c:pt idx="549">
                  <c:v>331.1</c:v>
                </c:pt>
                <c:pt idx="550">
                  <c:v>328.98</c:v>
                </c:pt>
                <c:pt idx="551">
                  <c:v>331.66</c:v>
                </c:pt>
                <c:pt idx="552">
                  <c:v>325.2</c:v>
                </c:pt>
                <c:pt idx="553">
                  <c:v>317.29000000000002</c:v>
                </c:pt>
                <c:pt idx="554">
                  <c:v>311.64</c:v>
                </c:pt>
                <c:pt idx="555">
                  <c:v>315.36</c:v>
                </c:pt>
                <c:pt idx="556">
                  <c:v>311.35000000000002</c:v>
                </c:pt>
                <c:pt idx="557">
                  <c:v>320.52999999999997</c:v>
                </c:pt>
                <c:pt idx="558">
                  <c:v>317.25</c:v>
                </c:pt>
                <c:pt idx="559">
                  <c:v>314.62</c:v>
                </c:pt>
                <c:pt idx="560">
                  <c:v>316.58</c:v>
                </c:pt>
                <c:pt idx="561">
                  <c:v>336.41</c:v>
                </c:pt>
                <c:pt idx="562">
                  <c:v>333.69</c:v>
                </c:pt>
                <c:pt idx="563">
                  <c:v>334.8</c:v>
                </c:pt>
                <c:pt idx="564">
                  <c:v>337.95</c:v>
                </c:pt>
                <c:pt idx="565">
                  <c:v>336.22</c:v>
                </c:pt>
                <c:pt idx="566">
                  <c:v>340.06</c:v>
                </c:pt>
                <c:pt idx="567">
                  <c:v>347.16</c:v>
                </c:pt>
                <c:pt idx="568">
                  <c:v>344.57</c:v>
                </c:pt>
                <c:pt idx="569">
                  <c:v>350.02</c:v>
                </c:pt>
                <c:pt idx="570">
                  <c:v>351.56</c:v>
                </c:pt>
                <c:pt idx="571">
                  <c:v>352.79</c:v>
                </c:pt>
                <c:pt idx="572">
                  <c:v>345.89</c:v>
                </c:pt>
                <c:pt idx="573">
                  <c:v>337.64</c:v>
                </c:pt>
                <c:pt idx="574">
                  <c:v>342.85</c:v>
                </c:pt>
                <c:pt idx="575">
                  <c:v>349.53</c:v>
                </c:pt>
                <c:pt idx="576">
                  <c:v>345.82</c:v>
                </c:pt>
                <c:pt idx="577">
                  <c:v>354.31</c:v>
                </c:pt>
                <c:pt idx="578">
                  <c:v>349.25</c:v>
                </c:pt>
                <c:pt idx="579">
                  <c:v>343.75</c:v>
                </c:pt>
                <c:pt idx="580">
                  <c:v>333.13</c:v>
                </c:pt>
                <c:pt idx="581">
                  <c:v>333.97</c:v>
                </c:pt>
                <c:pt idx="582">
                  <c:v>345</c:v>
                </c:pt>
                <c:pt idx="583">
                  <c:v>315.23</c:v>
                </c:pt>
                <c:pt idx="584">
                  <c:v>310.42</c:v>
                </c:pt>
                <c:pt idx="585">
                  <c:v>315.73</c:v>
                </c:pt>
                <c:pt idx="586">
                  <c:v>323.66000000000003</c:v>
                </c:pt>
                <c:pt idx="587">
                  <c:v>322.31</c:v>
                </c:pt>
                <c:pt idx="588">
                  <c:v>334.065</c:v>
                </c:pt>
                <c:pt idx="589">
                  <c:v>335.49</c:v>
                </c:pt>
                <c:pt idx="590">
                  <c:v>334.77</c:v>
                </c:pt>
                <c:pt idx="591">
                  <c:v>333.3</c:v>
                </c:pt>
                <c:pt idx="592">
                  <c:v>346.17</c:v>
                </c:pt>
                <c:pt idx="593">
                  <c:v>352.05</c:v>
                </c:pt>
                <c:pt idx="594">
                  <c:v>357.42</c:v>
                </c:pt>
                <c:pt idx="595">
                  <c:v>350.99</c:v>
                </c:pt>
                <c:pt idx="596">
                  <c:v>343.06</c:v>
                </c:pt>
                <c:pt idx="597">
                  <c:v>330.93</c:v>
                </c:pt>
                <c:pt idx="598">
                  <c:v>335.12</c:v>
                </c:pt>
                <c:pt idx="599">
                  <c:v>333.35</c:v>
                </c:pt>
                <c:pt idx="600">
                  <c:v>328.2</c:v>
                </c:pt>
                <c:pt idx="601">
                  <c:v>332.3</c:v>
                </c:pt>
                <c:pt idx="602">
                  <c:v>329.1</c:v>
                </c:pt>
                <c:pt idx="603">
                  <c:v>327.17</c:v>
                </c:pt>
                <c:pt idx="604">
                  <c:v>345.51</c:v>
                </c:pt>
                <c:pt idx="605">
                  <c:v>341.84</c:v>
                </c:pt>
                <c:pt idx="606">
                  <c:v>326.63</c:v>
                </c:pt>
                <c:pt idx="607">
                  <c:v>325.60000000000002</c:v>
                </c:pt>
                <c:pt idx="608">
                  <c:v>321.35000000000002</c:v>
                </c:pt>
                <c:pt idx="609">
                  <c:v>313.56</c:v>
                </c:pt>
                <c:pt idx="610">
                  <c:v>310.55</c:v>
                </c:pt>
                <c:pt idx="611">
                  <c:v>316.52999999999997</c:v>
                </c:pt>
                <c:pt idx="612">
                  <c:v>309.10000000000002</c:v>
                </c:pt>
                <c:pt idx="613">
                  <c:v>301.54000000000002</c:v>
                </c:pt>
                <c:pt idx="614">
                  <c:v>304.18</c:v>
                </c:pt>
                <c:pt idx="615">
                  <c:v>279.18</c:v>
                </c:pt>
                <c:pt idx="616">
                  <c:v>257.77999999999997</c:v>
                </c:pt>
                <c:pt idx="617">
                  <c:v>266.13</c:v>
                </c:pt>
                <c:pt idx="618">
                  <c:v>252.48</c:v>
                </c:pt>
                <c:pt idx="619">
                  <c:v>267.52999999999997</c:v>
                </c:pt>
                <c:pt idx="620">
                  <c:v>286.94</c:v>
                </c:pt>
                <c:pt idx="621">
                  <c:v>305.72000000000003</c:v>
                </c:pt>
                <c:pt idx="622">
                  <c:v>299.3</c:v>
                </c:pt>
                <c:pt idx="623">
                  <c:v>289.66000000000003</c:v>
                </c:pt>
                <c:pt idx="624">
                  <c:v>304.7</c:v>
                </c:pt>
                <c:pt idx="625">
                  <c:v>300.93</c:v>
                </c:pt>
                <c:pt idx="626">
                  <c:v>294.08</c:v>
                </c:pt>
                <c:pt idx="627">
                  <c:v>300.33999999999997</c:v>
                </c:pt>
                <c:pt idx="628">
                  <c:v>291.20999999999998</c:v>
                </c:pt>
                <c:pt idx="629">
                  <c:v>287.69</c:v>
                </c:pt>
                <c:pt idx="630">
                  <c:v>293.35000000000002</c:v>
                </c:pt>
                <c:pt idx="631">
                  <c:v>300.08</c:v>
                </c:pt>
                <c:pt idx="632">
                  <c:v>290.24</c:v>
                </c:pt>
                <c:pt idx="633">
                  <c:v>283.37</c:v>
                </c:pt>
                <c:pt idx="634">
                  <c:v>283.45999999999998</c:v>
                </c:pt>
                <c:pt idx="635">
                  <c:v>280.69</c:v>
                </c:pt>
                <c:pt idx="636">
                  <c:v>285.48</c:v>
                </c:pt>
                <c:pt idx="637">
                  <c:v>294.07499999999999</c:v>
                </c:pt>
                <c:pt idx="638">
                  <c:v>293.89999999999998</c:v>
                </c:pt>
                <c:pt idx="639">
                  <c:v>299.92</c:v>
                </c:pt>
                <c:pt idx="640">
                  <c:v>301.14999999999998</c:v>
                </c:pt>
                <c:pt idx="641">
                  <c:v>284.45</c:v>
                </c:pt>
                <c:pt idx="642">
                  <c:v>294.08999999999997</c:v>
                </c:pt>
                <c:pt idx="643">
                  <c:v>302.77</c:v>
                </c:pt>
                <c:pt idx="644">
                  <c:v>301.97000000000003</c:v>
                </c:pt>
                <c:pt idx="645">
                  <c:v>306.85000000000002</c:v>
                </c:pt>
                <c:pt idx="646">
                  <c:v>305.02</c:v>
                </c:pt>
                <c:pt idx="647">
                  <c:v>301.06</c:v>
                </c:pt>
                <c:pt idx="648">
                  <c:v>291.97000000000003</c:v>
                </c:pt>
                <c:pt idx="649">
                  <c:v>284.18</c:v>
                </c:pt>
                <c:pt idx="650">
                  <c:v>286.48</c:v>
                </c:pt>
                <c:pt idx="651">
                  <c:v>284.54000000000002</c:v>
                </c:pt>
                <c:pt idx="652">
                  <c:v>276.82</c:v>
                </c:pt>
                <c:pt idx="653">
                  <c:v>284.49</c:v>
                </c:pt>
                <c:pt idx="654">
                  <c:v>275.01</c:v>
                </c:pt>
                <c:pt idx="655">
                  <c:v>279.07</c:v>
                </c:pt>
                <c:pt idx="656">
                  <c:v>277.85000000000002</c:v>
                </c:pt>
                <c:pt idx="657">
                  <c:v>278.85000000000002</c:v>
                </c:pt>
                <c:pt idx="658">
                  <c:v>283.76</c:v>
                </c:pt>
                <c:pt idx="659">
                  <c:v>291.72000000000003</c:v>
                </c:pt>
                <c:pt idx="660">
                  <c:v>284.73</c:v>
                </c:pt>
                <c:pt idx="661">
                  <c:v>291.82</c:v>
                </c:pt>
                <c:pt idx="662">
                  <c:v>296.74</c:v>
                </c:pt>
                <c:pt idx="663">
                  <c:v>291.13</c:v>
                </c:pt>
                <c:pt idx="664">
                  <c:v>319.5</c:v>
                </c:pt>
                <c:pt idx="665">
                  <c:v>316.08999999999997</c:v>
                </c:pt>
                <c:pt idx="666">
                  <c:v>317.66000000000003</c:v>
                </c:pt>
                <c:pt idx="667">
                  <c:v>332.1</c:v>
                </c:pt>
                <c:pt idx="668">
                  <c:v>342.77</c:v>
                </c:pt>
                <c:pt idx="669">
                  <c:v>344.78</c:v>
                </c:pt>
                <c:pt idx="670">
                  <c:v>357.72</c:v>
                </c:pt>
                <c:pt idx="671">
                  <c:v>358.17</c:v>
                </c:pt>
                <c:pt idx="672">
                  <c:v>370.83</c:v>
                </c:pt>
                <c:pt idx="673">
                  <c:v>352.55</c:v>
                </c:pt>
                <c:pt idx="674">
                  <c:v>362.22</c:v>
                </c:pt>
                <c:pt idx="675">
                  <c:v>347.51</c:v>
                </c:pt>
                <c:pt idx="676">
                  <c:v>333.63</c:v>
                </c:pt>
                <c:pt idx="677">
                  <c:v>333.01</c:v>
                </c:pt>
                <c:pt idx="678">
                  <c:v>342</c:v>
                </c:pt>
                <c:pt idx="679">
                  <c:v>344.5</c:v>
                </c:pt>
                <c:pt idx="680">
                  <c:v>349.93</c:v>
                </c:pt>
                <c:pt idx="681">
                  <c:v>342.95</c:v>
                </c:pt>
                <c:pt idx="682">
                  <c:v>335.07</c:v>
                </c:pt>
                <c:pt idx="683">
                  <c:v>310.86</c:v>
                </c:pt>
                <c:pt idx="684">
                  <c:v>309.16000000000003</c:v>
                </c:pt>
                <c:pt idx="685">
                  <c:v>308.89999999999998</c:v>
                </c:pt>
                <c:pt idx="686">
                  <c:v>318.51</c:v>
                </c:pt>
                <c:pt idx="687">
                  <c:v>322.47000000000003</c:v>
                </c:pt>
                <c:pt idx="688">
                  <c:v>318.95999999999998</c:v>
                </c:pt>
                <c:pt idx="689">
                  <c:v>316.70999999999998</c:v>
                </c:pt>
                <c:pt idx="690">
                  <c:v>318.87</c:v>
                </c:pt>
                <c:pt idx="691">
                  <c:v>310.10000000000002</c:v>
                </c:pt>
                <c:pt idx="692">
                  <c:v>322.69</c:v>
                </c:pt>
                <c:pt idx="693">
                  <c:v>323.85000000000002</c:v>
                </c:pt>
                <c:pt idx="694">
                  <c:v>320.23</c:v>
                </c:pt>
                <c:pt idx="695">
                  <c:v>313.58</c:v>
                </c:pt>
                <c:pt idx="696">
                  <c:v>303.2</c:v>
                </c:pt>
                <c:pt idx="697">
                  <c:v>297.43</c:v>
                </c:pt>
                <c:pt idx="698">
                  <c:v>308.74</c:v>
                </c:pt>
                <c:pt idx="699">
                  <c:v>306.64999999999998</c:v>
                </c:pt>
                <c:pt idx="700">
                  <c:v>297.18</c:v>
                </c:pt>
                <c:pt idx="701">
                  <c:v>290.17</c:v>
                </c:pt>
                <c:pt idx="702">
                  <c:v>298.14</c:v>
                </c:pt>
                <c:pt idx="703">
                  <c:v>300.83999999999997</c:v>
                </c:pt>
                <c:pt idx="704">
                  <c:v>349.54</c:v>
                </c:pt>
                <c:pt idx="705">
                  <c:v>348.17</c:v>
                </c:pt>
                <c:pt idx="706">
                  <c:v>341.99</c:v>
                </c:pt>
                <c:pt idx="707">
                  <c:v>379.57</c:v>
                </c:pt>
                <c:pt idx="708">
                  <c:v>370.34</c:v>
                </c:pt>
                <c:pt idx="709">
                  <c:v>352.45</c:v>
                </c:pt>
                <c:pt idx="710">
                  <c:v>355.49</c:v>
                </c:pt>
                <c:pt idx="711">
                  <c:v>356.41</c:v>
                </c:pt>
                <c:pt idx="712">
                  <c:v>347.64</c:v>
                </c:pt>
                <c:pt idx="713">
                  <c:v>338.69</c:v>
                </c:pt>
                <c:pt idx="714">
                  <c:v>335.45</c:v>
                </c:pt>
                <c:pt idx="715">
                  <c:v>305.5</c:v>
                </c:pt>
                <c:pt idx="716">
                  <c:v>308.44</c:v>
                </c:pt>
                <c:pt idx="717">
                  <c:v>321.89999999999998</c:v>
                </c:pt>
                <c:pt idx="718">
                  <c:v>321.64</c:v>
                </c:pt>
                <c:pt idx="719">
                  <c:v>320.10000000000002</c:v>
                </c:pt>
                <c:pt idx="720">
                  <c:v>322.82</c:v>
                </c:pt>
                <c:pt idx="721">
                  <c:v>319.27</c:v>
                </c:pt>
                <c:pt idx="722">
                  <c:v>311.86</c:v>
                </c:pt>
                <c:pt idx="723">
                  <c:v>305.01</c:v>
                </c:pt>
                <c:pt idx="724">
                  <c:v>303.14999999999998</c:v>
                </c:pt>
                <c:pt idx="725">
                  <c:v>301.66000000000003</c:v>
                </c:pt>
                <c:pt idx="726">
                  <c:v>288.95</c:v>
                </c:pt>
                <c:pt idx="727">
                  <c:v>280.74</c:v>
                </c:pt>
                <c:pt idx="728">
                  <c:v>280.95</c:v>
                </c:pt>
                <c:pt idx="729">
                  <c:v>263.24</c:v>
                </c:pt>
                <c:pt idx="730">
                  <c:v>285.5</c:v>
                </c:pt>
                <c:pt idx="731">
                  <c:v>279.44</c:v>
                </c:pt>
                <c:pt idx="732">
                  <c:v>290.54000000000002</c:v>
                </c:pt>
                <c:pt idx="733">
                  <c:v>289.45999999999998</c:v>
                </c:pt>
                <c:pt idx="734">
                  <c:v>295.2</c:v>
                </c:pt>
                <c:pt idx="735">
                  <c:v>294.83999999999997</c:v>
                </c:pt>
                <c:pt idx="736">
                  <c:v>284.95999999999998</c:v>
                </c:pt>
                <c:pt idx="737">
                  <c:v>299.02</c:v>
                </c:pt>
                <c:pt idx="738">
                  <c:v>298.33</c:v>
                </c:pt>
                <c:pt idx="739">
                  <c:v>299.10000000000002</c:v>
                </c:pt>
                <c:pt idx="740">
                  <c:v>299.68</c:v>
                </c:pt>
                <c:pt idx="741">
                  <c:v>300.99</c:v>
                </c:pt>
                <c:pt idx="742">
                  <c:v>309.58</c:v>
                </c:pt>
                <c:pt idx="743">
                  <c:v>307.52</c:v>
                </c:pt>
                <c:pt idx="744">
                  <c:v>264.77</c:v>
                </c:pt>
                <c:pt idx="745">
                  <c:v>310.7</c:v>
                </c:pt>
                <c:pt idx="746">
                  <c:v>301.02</c:v>
                </c:pt>
                <c:pt idx="747">
                  <c:v>294.8</c:v>
                </c:pt>
                <c:pt idx="748">
                  <c:v>281.83</c:v>
                </c:pt>
                <c:pt idx="749">
                  <c:v>261.95</c:v>
                </c:pt>
                <c:pt idx="750">
                  <c:v>250.56</c:v>
                </c:pt>
                <c:pt idx="751">
                  <c:v>262.8</c:v>
                </c:pt>
                <c:pt idx="752">
                  <c:v>256.88</c:v>
                </c:pt>
                <c:pt idx="753">
                  <c:v>252.23</c:v>
                </c:pt>
                <c:pt idx="754">
                  <c:v>258.77999999999997</c:v>
                </c:pt>
                <c:pt idx="755">
                  <c:v>259.58999999999997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69-4513-95A1-5743461B9F6B}"/>
            </c:ext>
          </c:extLst>
        </c:ser>
        <c:ser>
          <c:idx val="1"/>
          <c:order val="1"/>
          <c:tx>
            <c:v>20-average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'tesla-stock-price'!$A$21:$A$758</c:f>
              <c:numCache>
                <c:formatCode>m/d/yyyy</c:formatCode>
                <c:ptCount val="738"/>
                <c:pt idx="0">
                  <c:v>42318</c:v>
                </c:pt>
                <c:pt idx="1">
                  <c:v>42319</c:v>
                </c:pt>
                <c:pt idx="2">
                  <c:v>42320</c:v>
                </c:pt>
                <c:pt idx="3">
                  <c:v>42321</c:v>
                </c:pt>
                <c:pt idx="4">
                  <c:v>42324</c:v>
                </c:pt>
                <c:pt idx="5">
                  <c:v>42325</c:v>
                </c:pt>
                <c:pt idx="6">
                  <c:v>42326</c:v>
                </c:pt>
                <c:pt idx="7">
                  <c:v>42327</c:v>
                </c:pt>
                <c:pt idx="8">
                  <c:v>42328</c:v>
                </c:pt>
                <c:pt idx="9">
                  <c:v>42331</c:v>
                </c:pt>
                <c:pt idx="10">
                  <c:v>42332</c:v>
                </c:pt>
                <c:pt idx="11">
                  <c:v>42333</c:v>
                </c:pt>
                <c:pt idx="12">
                  <c:v>42335</c:v>
                </c:pt>
                <c:pt idx="13">
                  <c:v>42338</c:v>
                </c:pt>
                <c:pt idx="14">
                  <c:v>42339</c:v>
                </c:pt>
                <c:pt idx="15">
                  <c:v>42340</c:v>
                </c:pt>
                <c:pt idx="16">
                  <c:v>42341</c:v>
                </c:pt>
                <c:pt idx="17">
                  <c:v>42342</c:v>
                </c:pt>
                <c:pt idx="18">
                  <c:v>42345</c:v>
                </c:pt>
                <c:pt idx="19">
                  <c:v>42346</c:v>
                </c:pt>
                <c:pt idx="20">
                  <c:v>42347</c:v>
                </c:pt>
                <c:pt idx="21">
                  <c:v>42348</c:v>
                </c:pt>
                <c:pt idx="22">
                  <c:v>42349</c:v>
                </c:pt>
                <c:pt idx="23">
                  <c:v>42352</c:v>
                </c:pt>
                <c:pt idx="24">
                  <c:v>42353</c:v>
                </c:pt>
                <c:pt idx="25">
                  <c:v>42354</c:v>
                </c:pt>
                <c:pt idx="26">
                  <c:v>42355</c:v>
                </c:pt>
                <c:pt idx="27">
                  <c:v>42356</c:v>
                </c:pt>
                <c:pt idx="28">
                  <c:v>42359</c:v>
                </c:pt>
                <c:pt idx="29">
                  <c:v>42360</c:v>
                </c:pt>
                <c:pt idx="30">
                  <c:v>42361</c:v>
                </c:pt>
                <c:pt idx="31">
                  <c:v>42362</c:v>
                </c:pt>
                <c:pt idx="32">
                  <c:v>42366</c:v>
                </c:pt>
                <c:pt idx="33">
                  <c:v>42367</c:v>
                </c:pt>
                <c:pt idx="34">
                  <c:v>42368</c:v>
                </c:pt>
                <c:pt idx="35">
                  <c:v>42369</c:v>
                </c:pt>
                <c:pt idx="36">
                  <c:v>42373</c:v>
                </c:pt>
                <c:pt idx="37">
                  <c:v>42374</c:v>
                </c:pt>
                <c:pt idx="38">
                  <c:v>42375</c:v>
                </c:pt>
                <c:pt idx="39">
                  <c:v>42376</c:v>
                </c:pt>
                <c:pt idx="40">
                  <c:v>42377</c:v>
                </c:pt>
                <c:pt idx="41">
                  <c:v>42380</c:v>
                </c:pt>
                <c:pt idx="42">
                  <c:v>42381</c:v>
                </c:pt>
                <c:pt idx="43">
                  <c:v>42382</c:v>
                </c:pt>
                <c:pt idx="44">
                  <c:v>42383</c:v>
                </c:pt>
                <c:pt idx="45">
                  <c:v>42384</c:v>
                </c:pt>
                <c:pt idx="46">
                  <c:v>42388</c:v>
                </c:pt>
                <c:pt idx="47">
                  <c:v>42389</c:v>
                </c:pt>
                <c:pt idx="48">
                  <c:v>42390</c:v>
                </c:pt>
                <c:pt idx="49">
                  <c:v>42391</c:v>
                </c:pt>
                <c:pt idx="50">
                  <c:v>42394</c:v>
                </c:pt>
                <c:pt idx="51">
                  <c:v>42395</c:v>
                </c:pt>
                <c:pt idx="52">
                  <c:v>42396</c:v>
                </c:pt>
                <c:pt idx="53">
                  <c:v>42397</c:v>
                </c:pt>
                <c:pt idx="54">
                  <c:v>42398</c:v>
                </c:pt>
                <c:pt idx="55">
                  <c:v>42401</c:v>
                </c:pt>
                <c:pt idx="56">
                  <c:v>42402</c:v>
                </c:pt>
                <c:pt idx="57">
                  <c:v>42403</c:v>
                </c:pt>
                <c:pt idx="58">
                  <c:v>42404</c:v>
                </c:pt>
                <c:pt idx="59">
                  <c:v>42405</c:v>
                </c:pt>
                <c:pt idx="60">
                  <c:v>42408</c:v>
                </c:pt>
                <c:pt idx="61">
                  <c:v>42409</c:v>
                </c:pt>
                <c:pt idx="62">
                  <c:v>42410</c:v>
                </c:pt>
                <c:pt idx="63">
                  <c:v>42411</c:v>
                </c:pt>
                <c:pt idx="64">
                  <c:v>42412</c:v>
                </c:pt>
                <c:pt idx="65">
                  <c:v>42416</c:v>
                </c:pt>
                <c:pt idx="66">
                  <c:v>42417</c:v>
                </c:pt>
                <c:pt idx="67">
                  <c:v>42418</c:v>
                </c:pt>
                <c:pt idx="68">
                  <c:v>42419</c:v>
                </c:pt>
                <c:pt idx="69">
                  <c:v>42422</c:v>
                </c:pt>
                <c:pt idx="70">
                  <c:v>42423</c:v>
                </c:pt>
                <c:pt idx="71">
                  <c:v>42424</c:v>
                </c:pt>
                <c:pt idx="72">
                  <c:v>42425</c:v>
                </c:pt>
                <c:pt idx="73">
                  <c:v>42426</c:v>
                </c:pt>
                <c:pt idx="74">
                  <c:v>42429</c:v>
                </c:pt>
                <c:pt idx="75">
                  <c:v>42430</c:v>
                </c:pt>
                <c:pt idx="76">
                  <c:v>42431</c:v>
                </c:pt>
                <c:pt idx="77">
                  <c:v>42432</c:v>
                </c:pt>
                <c:pt idx="78">
                  <c:v>42433</c:v>
                </c:pt>
                <c:pt idx="79">
                  <c:v>42436</c:v>
                </c:pt>
                <c:pt idx="80">
                  <c:v>42437</c:v>
                </c:pt>
                <c:pt idx="81">
                  <c:v>42438</c:v>
                </c:pt>
                <c:pt idx="82">
                  <c:v>42439</c:v>
                </c:pt>
                <c:pt idx="83">
                  <c:v>42440</c:v>
                </c:pt>
                <c:pt idx="84">
                  <c:v>42443</c:v>
                </c:pt>
                <c:pt idx="85">
                  <c:v>42444</c:v>
                </c:pt>
                <c:pt idx="86">
                  <c:v>42445</c:v>
                </c:pt>
                <c:pt idx="87">
                  <c:v>42446</c:v>
                </c:pt>
                <c:pt idx="88">
                  <c:v>42447</c:v>
                </c:pt>
                <c:pt idx="89">
                  <c:v>42450</c:v>
                </c:pt>
                <c:pt idx="90">
                  <c:v>42451</c:v>
                </c:pt>
                <c:pt idx="91">
                  <c:v>42452</c:v>
                </c:pt>
                <c:pt idx="92">
                  <c:v>42453</c:v>
                </c:pt>
                <c:pt idx="93">
                  <c:v>42457</c:v>
                </c:pt>
                <c:pt idx="94">
                  <c:v>42458</c:v>
                </c:pt>
                <c:pt idx="95">
                  <c:v>42459</c:v>
                </c:pt>
                <c:pt idx="96">
                  <c:v>42460</c:v>
                </c:pt>
                <c:pt idx="97">
                  <c:v>42461</c:v>
                </c:pt>
                <c:pt idx="98">
                  <c:v>42464</c:v>
                </c:pt>
                <c:pt idx="99">
                  <c:v>42465</c:v>
                </c:pt>
                <c:pt idx="100">
                  <c:v>42466</c:v>
                </c:pt>
                <c:pt idx="101">
                  <c:v>42467</c:v>
                </c:pt>
                <c:pt idx="102">
                  <c:v>42468</c:v>
                </c:pt>
                <c:pt idx="103">
                  <c:v>42471</c:v>
                </c:pt>
                <c:pt idx="104">
                  <c:v>42472</c:v>
                </c:pt>
                <c:pt idx="105">
                  <c:v>42473</c:v>
                </c:pt>
                <c:pt idx="106">
                  <c:v>42474</c:v>
                </c:pt>
                <c:pt idx="107">
                  <c:v>42475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42485</c:v>
                </c:pt>
                <c:pt idx="114">
                  <c:v>42486</c:v>
                </c:pt>
                <c:pt idx="115">
                  <c:v>42487</c:v>
                </c:pt>
                <c:pt idx="116">
                  <c:v>42488</c:v>
                </c:pt>
                <c:pt idx="117">
                  <c:v>42489</c:v>
                </c:pt>
                <c:pt idx="118">
                  <c:v>42492</c:v>
                </c:pt>
                <c:pt idx="119">
                  <c:v>42493</c:v>
                </c:pt>
                <c:pt idx="120">
                  <c:v>42494</c:v>
                </c:pt>
                <c:pt idx="121">
                  <c:v>42495</c:v>
                </c:pt>
                <c:pt idx="122">
                  <c:v>42496</c:v>
                </c:pt>
                <c:pt idx="123">
                  <c:v>42499</c:v>
                </c:pt>
                <c:pt idx="124">
                  <c:v>42500</c:v>
                </c:pt>
                <c:pt idx="125">
                  <c:v>42501</c:v>
                </c:pt>
                <c:pt idx="126">
                  <c:v>42502</c:v>
                </c:pt>
                <c:pt idx="127">
                  <c:v>42503</c:v>
                </c:pt>
                <c:pt idx="128">
                  <c:v>42506</c:v>
                </c:pt>
                <c:pt idx="129">
                  <c:v>42507</c:v>
                </c:pt>
                <c:pt idx="130">
                  <c:v>42508</c:v>
                </c:pt>
                <c:pt idx="131">
                  <c:v>42509</c:v>
                </c:pt>
                <c:pt idx="132">
                  <c:v>42510</c:v>
                </c:pt>
                <c:pt idx="133">
                  <c:v>42513</c:v>
                </c:pt>
                <c:pt idx="134">
                  <c:v>42514</c:v>
                </c:pt>
                <c:pt idx="135">
                  <c:v>42515</c:v>
                </c:pt>
                <c:pt idx="136">
                  <c:v>42516</c:v>
                </c:pt>
                <c:pt idx="137">
                  <c:v>42517</c:v>
                </c:pt>
                <c:pt idx="138">
                  <c:v>42521</c:v>
                </c:pt>
                <c:pt idx="139">
                  <c:v>42522</c:v>
                </c:pt>
                <c:pt idx="140">
                  <c:v>42523</c:v>
                </c:pt>
                <c:pt idx="141">
                  <c:v>42524</c:v>
                </c:pt>
                <c:pt idx="142">
                  <c:v>42527</c:v>
                </c:pt>
                <c:pt idx="143">
                  <c:v>42528</c:v>
                </c:pt>
                <c:pt idx="144">
                  <c:v>42529</c:v>
                </c:pt>
                <c:pt idx="145">
                  <c:v>42530</c:v>
                </c:pt>
                <c:pt idx="146">
                  <c:v>42531</c:v>
                </c:pt>
                <c:pt idx="147">
                  <c:v>42534</c:v>
                </c:pt>
                <c:pt idx="148">
                  <c:v>42535</c:v>
                </c:pt>
                <c:pt idx="149">
                  <c:v>42536</c:v>
                </c:pt>
                <c:pt idx="150">
                  <c:v>42537</c:v>
                </c:pt>
                <c:pt idx="151">
                  <c:v>42538</c:v>
                </c:pt>
                <c:pt idx="152">
                  <c:v>42541</c:v>
                </c:pt>
                <c:pt idx="153">
                  <c:v>42542</c:v>
                </c:pt>
                <c:pt idx="154">
                  <c:v>42543</c:v>
                </c:pt>
                <c:pt idx="155">
                  <c:v>42544</c:v>
                </c:pt>
                <c:pt idx="156">
                  <c:v>42545</c:v>
                </c:pt>
                <c:pt idx="157">
                  <c:v>42548</c:v>
                </c:pt>
                <c:pt idx="158">
                  <c:v>42549</c:v>
                </c:pt>
                <c:pt idx="159">
                  <c:v>42550</c:v>
                </c:pt>
                <c:pt idx="160">
                  <c:v>42551</c:v>
                </c:pt>
                <c:pt idx="161">
                  <c:v>42552</c:v>
                </c:pt>
                <c:pt idx="162">
                  <c:v>42556</c:v>
                </c:pt>
                <c:pt idx="163">
                  <c:v>42557</c:v>
                </c:pt>
                <c:pt idx="164">
                  <c:v>42558</c:v>
                </c:pt>
                <c:pt idx="165">
                  <c:v>42559</c:v>
                </c:pt>
                <c:pt idx="166">
                  <c:v>42562</c:v>
                </c:pt>
                <c:pt idx="167">
                  <c:v>42563</c:v>
                </c:pt>
                <c:pt idx="168">
                  <c:v>42564</c:v>
                </c:pt>
                <c:pt idx="169">
                  <c:v>42565</c:v>
                </c:pt>
                <c:pt idx="170">
                  <c:v>42566</c:v>
                </c:pt>
                <c:pt idx="171">
                  <c:v>42569</c:v>
                </c:pt>
                <c:pt idx="172">
                  <c:v>42570</c:v>
                </c:pt>
                <c:pt idx="173">
                  <c:v>42571</c:v>
                </c:pt>
                <c:pt idx="174">
                  <c:v>42572</c:v>
                </c:pt>
                <c:pt idx="175">
                  <c:v>42573</c:v>
                </c:pt>
                <c:pt idx="176">
                  <c:v>42576</c:v>
                </c:pt>
                <c:pt idx="177">
                  <c:v>42577</c:v>
                </c:pt>
                <c:pt idx="178">
                  <c:v>42578</c:v>
                </c:pt>
                <c:pt idx="179">
                  <c:v>42579</c:v>
                </c:pt>
                <c:pt idx="180">
                  <c:v>42580</c:v>
                </c:pt>
                <c:pt idx="181">
                  <c:v>42583</c:v>
                </c:pt>
                <c:pt idx="182">
                  <c:v>42584</c:v>
                </c:pt>
                <c:pt idx="183">
                  <c:v>42585</c:v>
                </c:pt>
                <c:pt idx="184">
                  <c:v>42586</c:v>
                </c:pt>
                <c:pt idx="185">
                  <c:v>42587</c:v>
                </c:pt>
                <c:pt idx="186">
                  <c:v>42590</c:v>
                </c:pt>
                <c:pt idx="187">
                  <c:v>42591</c:v>
                </c:pt>
                <c:pt idx="188">
                  <c:v>42592</c:v>
                </c:pt>
                <c:pt idx="189">
                  <c:v>42593</c:v>
                </c:pt>
                <c:pt idx="190">
                  <c:v>42594</c:v>
                </c:pt>
                <c:pt idx="191">
                  <c:v>42597</c:v>
                </c:pt>
                <c:pt idx="192">
                  <c:v>42598</c:v>
                </c:pt>
                <c:pt idx="193">
                  <c:v>42599</c:v>
                </c:pt>
                <c:pt idx="194">
                  <c:v>42600</c:v>
                </c:pt>
                <c:pt idx="195">
                  <c:v>42601</c:v>
                </c:pt>
                <c:pt idx="196">
                  <c:v>42604</c:v>
                </c:pt>
                <c:pt idx="197">
                  <c:v>42605</c:v>
                </c:pt>
                <c:pt idx="198">
                  <c:v>42606</c:v>
                </c:pt>
                <c:pt idx="199">
                  <c:v>42607</c:v>
                </c:pt>
                <c:pt idx="200">
                  <c:v>42608</c:v>
                </c:pt>
                <c:pt idx="201">
                  <c:v>42611</c:v>
                </c:pt>
                <c:pt idx="202">
                  <c:v>42612</c:v>
                </c:pt>
                <c:pt idx="203">
                  <c:v>42613</c:v>
                </c:pt>
                <c:pt idx="204">
                  <c:v>42614</c:v>
                </c:pt>
                <c:pt idx="205">
                  <c:v>42615</c:v>
                </c:pt>
                <c:pt idx="206">
                  <c:v>42619</c:v>
                </c:pt>
                <c:pt idx="207">
                  <c:v>42620</c:v>
                </c:pt>
                <c:pt idx="208">
                  <c:v>42621</c:v>
                </c:pt>
                <c:pt idx="209">
                  <c:v>42622</c:v>
                </c:pt>
                <c:pt idx="210">
                  <c:v>42625</c:v>
                </c:pt>
                <c:pt idx="211">
                  <c:v>42626</c:v>
                </c:pt>
                <c:pt idx="212">
                  <c:v>42627</c:v>
                </c:pt>
                <c:pt idx="213">
                  <c:v>42628</c:v>
                </c:pt>
                <c:pt idx="214">
                  <c:v>42629</c:v>
                </c:pt>
                <c:pt idx="215">
                  <c:v>42632</c:v>
                </c:pt>
                <c:pt idx="216">
                  <c:v>42633</c:v>
                </c:pt>
                <c:pt idx="217">
                  <c:v>42634</c:v>
                </c:pt>
                <c:pt idx="218">
                  <c:v>42635</c:v>
                </c:pt>
                <c:pt idx="219">
                  <c:v>42636</c:v>
                </c:pt>
                <c:pt idx="220">
                  <c:v>42639</c:v>
                </c:pt>
                <c:pt idx="221">
                  <c:v>42640</c:v>
                </c:pt>
                <c:pt idx="222">
                  <c:v>42641</c:v>
                </c:pt>
                <c:pt idx="223">
                  <c:v>42642</c:v>
                </c:pt>
                <c:pt idx="224">
                  <c:v>42643</c:v>
                </c:pt>
                <c:pt idx="225">
                  <c:v>42646</c:v>
                </c:pt>
                <c:pt idx="226">
                  <c:v>42647</c:v>
                </c:pt>
                <c:pt idx="227">
                  <c:v>42648</c:v>
                </c:pt>
                <c:pt idx="228">
                  <c:v>42649</c:v>
                </c:pt>
                <c:pt idx="229">
                  <c:v>42650</c:v>
                </c:pt>
                <c:pt idx="230">
                  <c:v>42653</c:v>
                </c:pt>
                <c:pt idx="231">
                  <c:v>42654</c:v>
                </c:pt>
                <c:pt idx="232">
                  <c:v>42655</c:v>
                </c:pt>
                <c:pt idx="233">
                  <c:v>42656</c:v>
                </c:pt>
                <c:pt idx="234">
                  <c:v>42657</c:v>
                </c:pt>
                <c:pt idx="235">
                  <c:v>42660</c:v>
                </c:pt>
                <c:pt idx="236">
                  <c:v>42661</c:v>
                </c:pt>
                <c:pt idx="237">
                  <c:v>42662</c:v>
                </c:pt>
                <c:pt idx="238">
                  <c:v>42663</c:v>
                </c:pt>
                <c:pt idx="239">
                  <c:v>42664</c:v>
                </c:pt>
                <c:pt idx="240">
                  <c:v>42667</c:v>
                </c:pt>
                <c:pt idx="241">
                  <c:v>42668</c:v>
                </c:pt>
                <c:pt idx="242">
                  <c:v>42669</c:v>
                </c:pt>
                <c:pt idx="243">
                  <c:v>42670</c:v>
                </c:pt>
                <c:pt idx="244">
                  <c:v>42671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42681</c:v>
                </c:pt>
                <c:pt idx="251">
                  <c:v>42682</c:v>
                </c:pt>
                <c:pt idx="252">
                  <c:v>42683</c:v>
                </c:pt>
                <c:pt idx="253">
                  <c:v>42684</c:v>
                </c:pt>
                <c:pt idx="254">
                  <c:v>42685</c:v>
                </c:pt>
                <c:pt idx="255">
                  <c:v>42688</c:v>
                </c:pt>
                <c:pt idx="256">
                  <c:v>42689</c:v>
                </c:pt>
                <c:pt idx="257">
                  <c:v>42690</c:v>
                </c:pt>
                <c:pt idx="258">
                  <c:v>42691</c:v>
                </c:pt>
                <c:pt idx="259">
                  <c:v>42692</c:v>
                </c:pt>
                <c:pt idx="260">
                  <c:v>42695</c:v>
                </c:pt>
                <c:pt idx="261">
                  <c:v>42696</c:v>
                </c:pt>
                <c:pt idx="262">
                  <c:v>42697</c:v>
                </c:pt>
                <c:pt idx="263">
                  <c:v>42699</c:v>
                </c:pt>
                <c:pt idx="264">
                  <c:v>42702</c:v>
                </c:pt>
                <c:pt idx="265">
                  <c:v>42703</c:v>
                </c:pt>
                <c:pt idx="266">
                  <c:v>42704</c:v>
                </c:pt>
                <c:pt idx="267">
                  <c:v>42705</c:v>
                </c:pt>
                <c:pt idx="268">
                  <c:v>42706</c:v>
                </c:pt>
                <c:pt idx="269">
                  <c:v>42709</c:v>
                </c:pt>
                <c:pt idx="270">
                  <c:v>42710</c:v>
                </c:pt>
                <c:pt idx="271">
                  <c:v>42711</c:v>
                </c:pt>
                <c:pt idx="272">
                  <c:v>42712</c:v>
                </c:pt>
                <c:pt idx="273">
                  <c:v>42713</c:v>
                </c:pt>
                <c:pt idx="274">
                  <c:v>42716</c:v>
                </c:pt>
                <c:pt idx="275">
                  <c:v>42717</c:v>
                </c:pt>
                <c:pt idx="276">
                  <c:v>42718</c:v>
                </c:pt>
                <c:pt idx="277">
                  <c:v>42719</c:v>
                </c:pt>
                <c:pt idx="278">
                  <c:v>42720</c:v>
                </c:pt>
                <c:pt idx="279">
                  <c:v>42723</c:v>
                </c:pt>
                <c:pt idx="280">
                  <c:v>42724</c:v>
                </c:pt>
                <c:pt idx="281">
                  <c:v>42725</c:v>
                </c:pt>
                <c:pt idx="282">
                  <c:v>42726</c:v>
                </c:pt>
                <c:pt idx="283">
                  <c:v>42727</c:v>
                </c:pt>
                <c:pt idx="284">
                  <c:v>42731</c:v>
                </c:pt>
                <c:pt idx="285">
                  <c:v>42732</c:v>
                </c:pt>
                <c:pt idx="286">
                  <c:v>42733</c:v>
                </c:pt>
                <c:pt idx="287">
                  <c:v>42734</c:v>
                </c:pt>
                <c:pt idx="288">
                  <c:v>42738</c:v>
                </c:pt>
                <c:pt idx="289">
                  <c:v>42739</c:v>
                </c:pt>
                <c:pt idx="290">
                  <c:v>42740</c:v>
                </c:pt>
                <c:pt idx="291">
                  <c:v>42741</c:v>
                </c:pt>
                <c:pt idx="292">
                  <c:v>42744</c:v>
                </c:pt>
                <c:pt idx="293">
                  <c:v>42745</c:v>
                </c:pt>
                <c:pt idx="294">
                  <c:v>42746</c:v>
                </c:pt>
                <c:pt idx="295">
                  <c:v>42747</c:v>
                </c:pt>
                <c:pt idx="296">
                  <c:v>42748</c:v>
                </c:pt>
                <c:pt idx="297">
                  <c:v>42752</c:v>
                </c:pt>
                <c:pt idx="298">
                  <c:v>42753</c:v>
                </c:pt>
                <c:pt idx="299">
                  <c:v>42754</c:v>
                </c:pt>
                <c:pt idx="300">
                  <c:v>42755</c:v>
                </c:pt>
                <c:pt idx="301">
                  <c:v>42758</c:v>
                </c:pt>
                <c:pt idx="302">
                  <c:v>42759</c:v>
                </c:pt>
                <c:pt idx="303">
                  <c:v>42760</c:v>
                </c:pt>
                <c:pt idx="304">
                  <c:v>42761</c:v>
                </c:pt>
                <c:pt idx="305">
                  <c:v>42762</c:v>
                </c:pt>
                <c:pt idx="306">
                  <c:v>42765</c:v>
                </c:pt>
                <c:pt idx="307">
                  <c:v>42766</c:v>
                </c:pt>
                <c:pt idx="308">
                  <c:v>42767</c:v>
                </c:pt>
                <c:pt idx="309">
                  <c:v>42768</c:v>
                </c:pt>
                <c:pt idx="310">
                  <c:v>42769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42779</c:v>
                </c:pt>
                <c:pt idx="317">
                  <c:v>42780</c:v>
                </c:pt>
                <c:pt idx="318">
                  <c:v>42781</c:v>
                </c:pt>
                <c:pt idx="319">
                  <c:v>42782</c:v>
                </c:pt>
                <c:pt idx="320">
                  <c:v>42783</c:v>
                </c:pt>
                <c:pt idx="321">
                  <c:v>42787</c:v>
                </c:pt>
                <c:pt idx="322">
                  <c:v>42788</c:v>
                </c:pt>
                <c:pt idx="323">
                  <c:v>42789</c:v>
                </c:pt>
                <c:pt idx="324">
                  <c:v>42790</c:v>
                </c:pt>
                <c:pt idx="325">
                  <c:v>42793</c:v>
                </c:pt>
                <c:pt idx="326">
                  <c:v>42794</c:v>
                </c:pt>
                <c:pt idx="327">
                  <c:v>42795</c:v>
                </c:pt>
                <c:pt idx="328">
                  <c:v>42796</c:v>
                </c:pt>
                <c:pt idx="329">
                  <c:v>42797</c:v>
                </c:pt>
                <c:pt idx="330">
                  <c:v>42800</c:v>
                </c:pt>
                <c:pt idx="331">
                  <c:v>42801</c:v>
                </c:pt>
                <c:pt idx="332">
                  <c:v>42802</c:v>
                </c:pt>
                <c:pt idx="333">
                  <c:v>42803</c:v>
                </c:pt>
                <c:pt idx="334">
                  <c:v>42804</c:v>
                </c:pt>
                <c:pt idx="335">
                  <c:v>42807</c:v>
                </c:pt>
                <c:pt idx="336">
                  <c:v>42808</c:v>
                </c:pt>
                <c:pt idx="337">
                  <c:v>42809</c:v>
                </c:pt>
                <c:pt idx="338">
                  <c:v>42810</c:v>
                </c:pt>
                <c:pt idx="339">
                  <c:v>42811</c:v>
                </c:pt>
                <c:pt idx="340">
                  <c:v>42814</c:v>
                </c:pt>
                <c:pt idx="341">
                  <c:v>42815</c:v>
                </c:pt>
                <c:pt idx="342">
                  <c:v>42816</c:v>
                </c:pt>
                <c:pt idx="343">
                  <c:v>42817</c:v>
                </c:pt>
                <c:pt idx="344">
                  <c:v>42818</c:v>
                </c:pt>
                <c:pt idx="345">
                  <c:v>42821</c:v>
                </c:pt>
                <c:pt idx="346">
                  <c:v>42822</c:v>
                </c:pt>
                <c:pt idx="347">
                  <c:v>42823</c:v>
                </c:pt>
                <c:pt idx="348">
                  <c:v>42824</c:v>
                </c:pt>
                <c:pt idx="349">
                  <c:v>42825</c:v>
                </c:pt>
                <c:pt idx="350">
                  <c:v>42828</c:v>
                </c:pt>
                <c:pt idx="351">
                  <c:v>42829</c:v>
                </c:pt>
                <c:pt idx="352">
                  <c:v>42830</c:v>
                </c:pt>
                <c:pt idx="353">
                  <c:v>42831</c:v>
                </c:pt>
                <c:pt idx="354">
                  <c:v>42832</c:v>
                </c:pt>
                <c:pt idx="355">
                  <c:v>42835</c:v>
                </c:pt>
                <c:pt idx="356">
                  <c:v>42836</c:v>
                </c:pt>
                <c:pt idx="357">
                  <c:v>42837</c:v>
                </c:pt>
                <c:pt idx="358">
                  <c:v>42838</c:v>
                </c:pt>
                <c:pt idx="359">
                  <c:v>42842</c:v>
                </c:pt>
                <c:pt idx="360">
                  <c:v>42843</c:v>
                </c:pt>
                <c:pt idx="361">
                  <c:v>42844</c:v>
                </c:pt>
                <c:pt idx="362">
                  <c:v>42845</c:v>
                </c:pt>
                <c:pt idx="363">
                  <c:v>42846</c:v>
                </c:pt>
                <c:pt idx="364">
                  <c:v>42849</c:v>
                </c:pt>
                <c:pt idx="365">
                  <c:v>42850</c:v>
                </c:pt>
                <c:pt idx="366">
                  <c:v>42851</c:v>
                </c:pt>
                <c:pt idx="367">
                  <c:v>42852</c:v>
                </c:pt>
                <c:pt idx="368">
                  <c:v>42853</c:v>
                </c:pt>
                <c:pt idx="369">
                  <c:v>42856</c:v>
                </c:pt>
                <c:pt idx="370">
                  <c:v>42857</c:v>
                </c:pt>
                <c:pt idx="371">
                  <c:v>42858</c:v>
                </c:pt>
                <c:pt idx="372">
                  <c:v>42859</c:v>
                </c:pt>
                <c:pt idx="373">
                  <c:v>42860</c:v>
                </c:pt>
                <c:pt idx="374">
                  <c:v>42863</c:v>
                </c:pt>
                <c:pt idx="375">
                  <c:v>42864</c:v>
                </c:pt>
                <c:pt idx="376">
                  <c:v>42865</c:v>
                </c:pt>
                <c:pt idx="377">
                  <c:v>42866</c:v>
                </c:pt>
                <c:pt idx="378">
                  <c:v>42867</c:v>
                </c:pt>
                <c:pt idx="379">
                  <c:v>42870</c:v>
                </c:pt>
                <c:pt idx="380">
                  <c:v>42871</c:v>
                </c:pt>
                <c:pt idx="381">
                  <c:v>42872</c:v>
                </c:pt>
                <c:pt idx="382">
                  <c:v>42873</c:v>
                </c:pt>
                <c:pt idx="383">
                  <c:v>42874</c:v>
                </c:pt>
                <c:pt idx="384">
                  <c:v>42877</c:v>
                </c:pt>
                <c:pt idx="385">
                  <c:v>42878</c:v>
                </c:pt>
                <c:pt idx="386">
                  <c:v>42879</c:v>
                </c:pt>
                <c:pt idx="387">
                  <c:v>42880</c:v>
                </c:pt>
                <c:pt idx="388">
                  <c:v>42881</c:v>
                </c:pt>
                <c:pt idx="389">
                  <c:v>42885</c:v>
                </c:pt>
                <c:pt idx="390">
                  <c:v>42886</c:v>
                </c:pt>
                <c:pt idx="391">
                  <c:v>42887</c:v>
                </c:pt>
                <c:pt idx="392">
                  <c:v>42888</c:v>
                </c:pt>
                <c:pt idx="393">
                  <c:v>42891</c:v>
                </c:pt>
                <c:pt idx="394">
                  <c:v>42892</c:v>
                </c:pt>
                <c:pt idx="395">
                  <c:v>42893</c:v>
                </c:pt>
                <c:pt idx="396">
                  <c:v>42894</c:v>
                </c:pt>
                <c:pt idx="397">
                  <c:v>42895</c:v>
                </c:pt>
                <c:pt idx="398">
                  <c:v>42898</c:v>
                </c:pt>
                <c:pt idx="399">
                  <c:v>42899</c:v>
                </c:pt>
                <c:pt idx="400">
                  <c:v>42900</c:v>
                </c:pt>
                <c:pt idx="401">
                  <c:v>42901</c:v>
                </c:pt>
                <c:pt idx="402">
                  <c:v>42902</c:v>
                </c:pt>
                <c:pt idx="403">
                  <c:v>42905</c:v>
                </c:pt>
                <c:pt idx="404">
                  <c:v>42906</c:v>
                </c:pt>
                <c:pt idx="405">
                  <c:v>42907</c:v>
                </c:pt>
                <c:pt idx="406">
                  <c:v>42908</c:v>
                </c:pt>
                <c:pt idx="407">
                  <c:v>42909</c:v>
                </c:pt>
                <c:pt idx="408">
                  <c:v>42912</c:v>
                </c:pt>
                <c:pt idx="409">
                  <c:v>42913</c:v>
                </c:pt>
                <c:pt idx="410">
                  <c:v>42914</c:v>
                </c:pt>
                <c:pt idx="411">
                  <c:v>42915</c:v>
                </c:pt>
                <c:pt idx="412">
                  <c:v>42916</c:v>
                </c:pt>
                <c:pt idx="413">
                  <c:v>42919</c:v>
                </c:pt>
                <c:pt idx="414">
                  <c:v>42921</c:v>
                </c:pt>
                <c:pt idx="415">
                  <c:v>42922</c:v>
                </c:pt>
                <c:pt idx="416">
                  <c:v>42923</c:v>
                </c:pt>
                <c:pt idx="417">
                  <c:v>42926</c:v>
                </c:pt>
                <c:pt idx="418">
                  <c:v>42927</c:v>
                </c:pt>
                <c:pt idx="419">
                  <c:v>42928</c:v>
                </c:pt>
                <c:pt idx="420">
                  <c:v>42929</c:v>
                </c:pt>
                <c:pt idx="421">
                  <c:v>42930</c:v>
                </c:pt>
                <c:pt idx="422">
                  <c:v>42933</c:v>
                </c:pt>
                <c:pt idx="423">
                  <c:v>42934</c:v>
                </c:pt>
                <c:pt idx="424">
                  <c:v>42935</c:v>
                </c:pt>
                <c:pt idx="425">
                  <c:v>42936</c:v>
                </c:pt>
                <c:pt idx="426">
                  <c:v>42937</c:v>
                </c:pt>
                <c:pt idx="427">
                  <c:v>42940</c:v>
                </c:pt>
                <c:pt idx="428">
                  <c:v>42941</c:v>
                </c:pt>
                <c:pt idx="429">
                  <c:v>42942</c:v>
                </c:pt>
                <c:pt idx="430">
                  <c:v>42943</c:v>
                </c:pt>
                <c:pt idx="431">
                  <c:v>42944</c:v>
                </c:pt>
                <c:pt idx="432">
                  <c:v>42947</c:v>
                </c:pt>
                <c:pt idx="433">
                  <c:v>42948</c:v>
                </c:pt>
                <c:pt idx="434">
                  <c:v>42949</c:v>
                </c:pt>
                <c:pt idx="435">
                  <c:v>42950</c:v>
                </c:pt>
                <c:pt idx="436">
                  <c:v>42951</c:v>
                </c:pt>
                <c:pt idx="437">
                  <c:v>42954</c:v>
                </c:pt>
                <c:pt idx="438">
                  <c:v>42955</c:v>
                </c:pt>
                <c:pt idx="439">
                  <c:v>42956</c:v>
                </c:pt>
                <c:pt idx="440">
                  <c:v>42957</c:v>
                </c:pt>
                <c:pt idx="441">
                  <c:v>42958</c:v>
                </c:pt>
                <c:pt idx="442">
                  <c:v>42961</c:v>
                </c:pt>
                <c:pt idx="443">
                  <c:v>42962</c:v>
                </c:pt>
                <c:pt idx="444">
                  <c:v>42963</c:v>
                </c:pt>
                <c:pt idx="445">
                  <c:v>42964</c:v>
                </c:pt>
                <c:pt idx="446">
                  <c:v>42965</c:v>
                </c:pt>
                <c:pt idx="447">
                  <c:v>42968</c:v>
                </c:pt>
                <c:pt idx="448">
                  <c:v>42969</c:v>
                </c:pt>
                <c:pt idx="449">
                  <c:v>42970</c:v>
                </c:pt>
                <c:pt idx="450">
                  <c:v>42971</c:v>
                </c:pt>
                <c:pt idx="451">
                  <c:v>42972</c:v>
                </c:pt>
                <c:pt idx="452">
                  <c:v>42975</c:v>
                </c:pt>
                <c:pt idx="453">
                  <c:v>42976</c:v>
                </c:pt>
                <c:pt idx="454">
                  <c:v>42977</c:v>
                </c:pt>
                <c:pt idx="455">
                  <c:v>42978</c:v>
                </c:pt>
                <c:pt idx="456">
                  <c:v>42979</c:v>
                </c:pt>
                <c:pt idx="457">
                  <c:v>42983</c:v>
                </c:pt>
                <c:pt idx="458">
                  <c:v>42984</c:v>
                </c:pt>
                <c:pt idx="459">
                  <c:v>42985</c:v>
                </c:pt>
                <c:pt idx="460">
                  <c:v>42986</c:v>
                </c:pt>
                <c:pt idx="461">
                  <c:v>42989</c:v>
                </c:pt>
                <c:pt idx="462">
                  <c:v>42990</c:v>
                </c:pt>
                <c:pt idx="463">
                  <c:v>42991</c:v>
                </c:pt>
                <c:pt idx="464">
                  <c:v>42992</c:v>
                </c:pt>
                <c:pt idx="465">
                  <c:v>42993</c:v>
                </c:pt>
                <c:pt idx="466">
                  <c:v>42996</c:v>
                </c:pt>
                <c:pt idx="467">
                  <c:v>42997</c:v>
                </c:pt>
                <c:pt idx="468">
                  <c:v>42998</c:v>
                </c:pt>
                <c:pt idx="469">
                  <c:v>42999</c:v>
                </c:pt>
                <c:pt idx="470">
                  <c:v>43000</c:v>
                </c:pt>
                <c:pt idx="471">
                  <c:v>43003</c:v>
                </c:pt>
                <c:pt idx="472">
                  <c:v>43004</c:v>
                </c:pt>
                <c:pt idx="473">
                  <c:v>43005</c:v>
                </c:pt>
                <c:pt idx="474">
                  <c:v>43006</c:v>
                </c:pt>
                <c:pt idx="475">
                  <c:v>43007</c:v>
                </c:pt>
                <c:pt idx="476">
                  <c:v>43010</c:v>
                </c:pt>
                <c:pt idx="477">
                  <c:v>43011</c:v>
                </c:pt>
                <c:pt idx="478">
                  <c:v>43012</c:v>
                </c:pt>
                <c:pt idx="479">
                  <c:v>43013</c:v>
                </c:pt>
                <c:pt idx="480">
                  <c:v>43014</c:v>
                </c:pt>
                <c:pt idx="481">
                  <c:v>43017</c:v>
                </c:pt>
                <c:pt idx="482">
                  <c:v>43018</c:v>
                </c:pt>
                <c:pt idx="483">
                  <c:v>43019</c:v>
                </c:pt>
                <c:pt idx="484">
                  <c:v>43020</c:v>
                </c:pt>
                <c:pt idx="485">
                  <c:v>43021</c:v>
                </c:pt>
                <c:pt idx="486">
                  <c:v>43024</c:v>
                </c:pt>
                <c:pt idx="487">
                  <c:v>43025</c:v>
                </c:pt>
                <c:pt idx="488">
                  <c:v>43026</c:v>
                </c:pt>
                <c:pt idx="489">
                  <c:v>43027</c:v>
                </c:pt>
                <c:pt idx="490">
                  <c:v>43028</c:v>
                </c:pt>
                <c:pt idx="491">
                  <c:v>43031</c:v>
                </c:pt>
                <c:pt idx="492">
                  <c:v>43032</c:v>
                </c:pt>
                <c:pt idx="493">
                  <c:v>43033</c:v>
                </c:pt>
                <c:pt idx="494">
                  <c:v>43034</c:v>
                </c:pt>
                <c:pt idx="495">
                  <c:v>43035</c:v>
                </c:pt>
                <c:pt idx="496">
                  <c:v>43038</c:v>
                </c:pt>
                <c:pt idx="497">
                  <c:v>43039</c:v>
                </c:pt>
                <c:pt idx="498">
                  <c:v>43040</c:v>
                </c:pt>
                <c:pt idx="499">
                  <c:v>43041</c:v>
                </c:pt>
                <c:pt idx="500">
                  <c:v>43042</c:v>
                </c:pt>
                <c:pt idx="501">
                  <c:v>43045</c:v>
                </c:pt>
                <c:pt idx="502">
                  <c:v>43046</c:v>
                </c:pt>
                <c:pt idx="503">
                  <c:v>43047</c:v>
                </c:pt>
                <c:pt idx="504">
                  <c:v>43048</c:v>
                </c:pt>
                <c:pt idx="505">
                  <c:v>43049</c:v>
                </c:pt>
                <c:pt idx="506">
                  <c:v>43052</c:v>
                </c:pt>
                <c:pt idx="507">
                  <c:v>43053</c:v>
                </c:pt>
                <c:pt idx="508">
                  <c:v>43054</c:v>
                </c:pt>
                <c:pt idx="509">
                  <c:v>43055</c:v>
                </c:pt>
                <c:pt idx="510">
                  <c:v>43056</c:v>
                </c:pt>
                <c:pt idx="511">
                  <c:v>43059</c:v>
                </c:pt>
                <c:pt idx="512">
                  <c:v>43060</c:v>
                </c:pt>
                <c:pt idx="513">
                  <c:v>43061</c:v>
                </c:pt>
                <c:pt idx="514">
                  <c:v>43063</c:v>
                </c:pt>
                <c:pt idx="515">
                  <c:v>43066</c:v>
                </c:pt>
                <c:pt idx="516">
                  <c:v>43067</c:v>
                </c:pt>
                <c:pt idx="517">
                  <c:v>43068</c:v>
                </c:pt>
                <c:pt idx="518">
                  <c:v>43069</c:v>
                </c:pt>
                <c:pt idx="519">
                  <c:v>43070</c:v>
                </c:pt>
                <c:pt idx="520">
                  <c:v>43073</c:v>
                </c:pt>
                <c:pt idx="521">
                  <c:v>43074</c:v>
                </c:pt>
                <c:pt idx="522">
                  <c:v>43075</c:v>
                </c:pt>
                <c:pt idx="523">
                  <c:v>43076</c:v>
                </c:pt>
                <c:pt idx="524">
                  <c:v>43077</c:v>
                </c:pt>
                <c:pt idx="525">
                  <c:v>43080</c:v>
                </c:pt>
                <c:pt idx="526">
                  <c:v>43081</c:v>
                </c:pt>
                <c:pt idx="527">
                  <c:v>43082</c:v>
                </c:pt>
                <c:pt idx="528">
                  <c:v>43083</c:v>
                </c:pt>
                <c:pt idx="529">
                  <c:v>43084</c:v>
                </c:pt>
                <c:pt idx="530">
                  <c:v>43087</c:v>
                </c:pt>
                <c:pt idx="531">
                  <c:v>43088</c:v>
                </c:pt>
                <c:pt idx="532">
                  <c:v>43089</c:v>
                </c:pt>
                <c:pt idx="533">
                  <c:v>43090</c:v>
                </c:pt>
                <c:pt idx="534">
                  <c:v>43091</c:v>
                </c:pt>
                <c:pt idx="535">
                  <c:v>43095</c:v>
                </c:pt>
                <c:pt idx="536">
                  <c:v>43096</c:v>
                </c:pt>
                <c:pt idx="537">
                  <c:v>43097</c:v>
                </c:pt>
                <c:pt idx="538">
                  <c:v>43098</c:v>
                </c:pt>
                <c:pt idx="539">
                  <c:v>43102</c:v>
                </c:pt>
                <c:pt idx="540">
                  <c:v>43103</c:v>
                </c:pt>
                <c:pt idx="541">
                  <c:v>43104</c:v>
                </c:pt>
                <c:pt idx="542">
                  <c:v>43105</c:v>
                </c:pt>
                <c:pt idx="543">
                  <c:v>43108</c:v>
                </c:pt>
                <c:pt idx="544">
                  <c:v>43109</c:v>
                </c:pt>
                <c:pt idx="545">
                  <c:v>43110</c:v>
                </c:pt>
                <c:pt idx="546">
                  <c:v>43111</c:v>
                </c:pt>
                <c:pt idx="547">
                  <c:v>43112</c:v>
                </c:pt>
                <c:pt idx="548">
                  <c:v>43116</c:v>
                </c:pt>
                <c:pt idx="549">
                  <c:v>43117</c:v>
                </c:pt>
                <c:pt idx="550">
                  <c:v>43118</c:v>
                </c:pt>
                <c:pt idx="551">
                  <c:v>43119</c:v>
                </c:pt>
                <c:pt idx="552">
                  <c:v>43122</c:v>
                </c:pt>
                <c:pt idx="553">
                  <c:v>43123</c:v>
                </c:pt>
                <c:pt idx="554">
                  <c:v>43124</c:v>
                </c:pt>
                <c:pt idx="555">
                  <c:v>43125</c:v>
                </c:pt>
                <c:pt idx="556">
                  <c:v>43126</c:v>
                </c:pt>
                <c:pt idx="557">
                  <c:v>43129</c:v>
                </c:pt>
                <c:pt idx="558">
                  <c:v>43130</c:v>
                </c:pt>
                <c:pt idx="559">
                  <c:v>43131</c:v>
                </c:pt>
                <c:pt idx="560">
                  <c:v>43132</c:v>
                </c:pt>
                <c:pt idx="561">
                  <c:v>43133</c:v>
                </c:pt>
                <c:pt idx="562">
                  <c:v>43136</c:v>
                </c:pt>
                <c:pt idx="563">
                  <c:v>43137</c:v>
                </c:pt>
                <c:pt idx="564">
                  <c:v>43138</c:v>
                </c:pt>
                <c:pt idx="565">
                  <c:v>43139</c:v>
                </c:pt>
                <c:pt idx="566">
                  <c:v>43140</c:v>
                </c:pt>
                <c:pt idx="567">
                  <c:v>43143</c:v>
                </c:pt>
                <c:pt idx="568">
                  <c:v>43144</c:v>
                </c:pt>
                <c:pt idx="569">
                  <c:v>43145</c:v>
                </c:pt>
                <c:pt idx="570">
                  <c:v>43146</c:v>
                </c:pt>
                <c:pt idx="571">
                  <c:v>43147</c:v>
                </c:pt>
                <c:pt idx="572">
                  <c:v>43151</c:v>
                </c:pt>
                <c:pt idx="573">
                  <c:v>43152</c:v>
                </c:pt>
                <c:pt idx="574">
                  <c:v>43153</c:v>
                </c:pt>
                <c:pt idx="575">
                  <c:v>43154</c:v>
                </c:pt>
                <c:pt idx="576">
                  <c:v>43157</c:v>
                </c:pt>
                <c:pt idx="577">
                  <c:v>43158</c:v>
                </c:pt>
                <c:pt idx="578">
                  <c:v>43159</c:v>
                </c:pt>
                <c:pt idx="579">
                  <c:v>43160</c:v>
                </c:pt>
                <c:pt idx="580">
                  <c:v>43161</c:v>
                </c:pt>
                <c:pt idx="581">
                  <c:v>43164</c:v>
                </c:pt>
                <c:pt idx="582">
                  <c:v>43165</c:v>
                </c:pt>
                <c:pt idx="583">
                  <c:v>43166</c:v>
                </c:pt>
                <c:pt idx="584">
                  <c:v>43167</c:v>
                </c:pt>
                <c:pt idx="585">
                  <c:v>43168</c:v>
                </c:pt>
                <c:pt idx="586">
                  <c:v>43171</c:v>
                </c:pt>
                <c:pt idx="587">
                  <c:v>43172</c:v>
                </c:pt>
                <c:pt idx="588">
                  <c:v>43173</c:v>
                </c:pt>
                <c:pt idx="589">
                  <c:v>43174</c:v>
                </c:pt>
                <c:pt idx="590">
                  <c:v>43175</c:v>
                </c:pt>
                <c:pt idx="591">
                  <c:v>43178</c:v>
                </c:pt>
                <c:pt idx="592">
                  <c:v>43179</c:v>
                </c:pt>
                <c:pt idx="593">
                  <c:v>43180</c:v>
                </c:pt>
                <c:pt idx="594">
                  <c:v>43181</c:v>
                </c:pt>
                <c:pt idx="595">
                  <c:v>43182</c:v>
                </c:pt>
                <c:pt idx="596">
                  <c:v>43185</c:v>
                </c:pt>
                <c:pt idx="597">
                  <c:v>43186</c:v>
                </c:pt>
                <c:pt idx="598">
                  <c:v>43187</c:v>
                </c:pt>
                <c:pt idx="599">
                  <c:v>43188</c:v>
                </c:pt>
                <c:pt idx="600">
                  <c:v>43192</c:v>
                </c:pt>
                <c:pt idx="601">
                  <c:v>43193</c:v>
                </c:pt>
                <c:pt idx="602">
                  <c:v>43194</c:v>
                </c:pt>
                <c:pt idx="603">
                  <c:v>43195</c:v>
                </c:pt>
                <c:pt idx="604">
                  <c:v>43196</c:v>
                </c:pt>
                <c:pt idx="605">
                  <c:v>43199</c:v>
                </c:pt>
                <c:pt idx="606">
                  <c:v>43200</c:v>
                </c:pt>
                <c:pt idx="607">
                  <c:v>43201</c:v>
                </c:pt>
                <c:pt idx="608">
                  <c:v>43202</c:v>
                </c:pt>
                <c:pt idx="609">
                  <c:v>43203</c:v>
                </c:pt>
                <c:pt idx="610">
                  <c:v>43206</c:v>
                </c:pt>
                <c:pt idx="611">
                  <c:v>43207</c:v>
                </c:pt>
                <c:pt idx="612">
                  <c:v>43208</c:v>
                </c:pt>
                <c:pt idx="613">
                  <c:v>43209</c:v>
                </c:pt>
                <c:pt idx="614">
                  <c:v>43210</c:v>
                </c:pt>
                <c:pt idx="615">
                  <c:v>43213</c:v>
                </c:pt>
                <c:pt idx="616">
                  <c:v>43214</c:v>
                </c:pt>
                <c:pt idx="617">
                  <c:v>43215</c:v>
                </c:pt>
                <c:pt idx="618">
                  <c:v>43216</c:v>
                </c:pt>
                <c:pt idx="619">
                  <c:v>43217</c:v>
                </c:pt>
                <c:pt idx="620">
                  <c:v>43220</c:v>
                </c:pt>
                <c:pt idx="621">
                  <c:v>43221</c:v>
                </c:pt>
                <c:pt idx="622">
                  <c:v>43222</c:v>
                </c:pt>
                <c:pt idx="623">
                  <c:v>43223</c:v>
                </c:pt>
                <c:pt idx="624">
                  <c:v>43224</c:v>
                </c:pt>
                <c:pt idx="625">
                  <c:v>43227</c:v>
                </c:pt>
                <c:pt idx="626">
                  <c:v>43228</c:v>
                </c:pt>
                <c:pt idx="627">
                  <c:v>43229</c:v>
                </c:pt>
                <c:pt idx="628">
                  <c:v>43230</c:v>
                </c:pt>
                <c:pt idx="629">
                  <c:v>43231</c:v>
                </c:pt>
                <c:pt idx="630">
                  <c:v>43234</c:v>
                </c:pt>
                <c:pt idx="631">
                  <c:v>43235</c:v>
                </c:pt>
                <c:pt idx="632">
                  <c:v>43236</c:v>
                </c:pt>
                <c:pt idx="633">
                  <c:v>43237</c:v>
                </c:pt>
                <c:pt idx="634">
                  <c:v>43238</c:v>
                </c:pt>
                <c:pt idx="635">
                  <c:v>43241</c:v>
                </c:pt>
                <c:pt idx="636">
                  <c:v>43242</c:v>
                </c:pt>
                <c:pt idx="637">
                  <c:v>43243</c:v>
                </c:pt>
                <c:pt idx="638">
                  <c:v>43244</c:v>
                </c:pt>
                <c:pt idx="639">
                  <c:v>43245</c:v>
                </c:pt>
                <c:pt idx="640">
                  <c:v>43249</c:v>
                </c:pt>
                <c:pt idx="641">
                  <c:v>43250</c:v>
                </c:pt>
                <c:pt idx="642">
                  <c:v>43251</c:v>
                </c:pt>
                <c:pt idx="643">
                  <c:v>43252</c:v>
                </c:pt>
                <c:pt idx="644">
                  <c:v>43255</c:v>
                </c:pt>
                <c:pt idx="645">
                  <c:v>43256</c:v>
                </c:pt>
                <c:pt idx="646">
                  <c:v>43257</c:v>
                </c:pt>
                <c:pt idx="647">
                  <c:v>43258</c:v>
                </c:pt>
                <c:pt idx="648">
                  <c:v>43259</c:v>
                </c:pt>
                <c:pt idx="649">
                  <c:v>43262</c:v>
                </c:pt>
                <c:pt idx="650">
                  <c:v>43263</c:v>
                </c:pt>
                <c:pt idx="651">
                  <c:v>43264</c:v>
                </c:pt>
                <c:pt idx="652">
                  <c:v>43265</c:v>
                </c:pt>
                <c:pt idx="653">
                  <c:v>43266</c:v>
                </c:pt>
                <c:pt idx="654">
                  <c:v>43269</c:v>
                </c:pt>
                <c:pt idx="655">
                  <c:v>43270</c:v>
                </c:pt>
                <c:pt idx="656">
                  <c:v>43271</c:v>
                </c:pt>
                <c:pt idx="657">
                  <c:v>43272</c:v>
                </c:pt>
                <c:pt idx="658">
                  <c:v>43273</c:v>
                </c:pt>
                <c:pt idx="659">
                  <c:v>43276</c:v>
                </c:pt>
                <c:pt idx="660">
                  <c:v>43277</c:v>
                </c:pt>
                <c:pt idx="661">
                  <c:v>43278</c:v>
                </c:pt>
                <c:pt idx="662">
                  <c:v>43279</c:v>
                </c:pt>
                <c:pt idx="663">
                  <c:v>43280</c:v>
                </c:pt>
                <c:pt idx="664">
                  <c:v>43283</c:v>
                </c:pt>
                <c:pt idx="665">
                  <c:v>43284</c:v>
                </c:pt>
                <c:pt idx="666">
                  <c:v>43286</c:v>
                </c:pt>
                <c:pt idx="667">
                  <c:v>43287</c:v>
                </c:pt>
                <c:pt idx="668">
                  <c:v>43290</c:v>
                </c:pt>
                <c:pt idx="669">
                  <c:v>43291</c:v>
                </c:pt>
                <c:pt idx="670">
                  <c:v>43292</c:v>
                </c:pt>
                <c:pt idx="671">
                  <c:v>43293</c:v>
                </c:pt>
                <c:pt idx="672">
                  <c:v>43294</c:v>
                </c:pt>
                <c:pt idx="673">
                  <c:v>43297</c:v>
                </c:pt>
                <c:pt idx="674">
                  <c:v>43298</c:v>
                </c:pt>
                <c:pt idx="675">
                  <c:v>43299</c:v>
                </c:pt>
                <c:pt idx="676">
                  <c:v>43300</c:v>
                </c:pt>
                <c:pt idx="677">
                  <c:v>43301</c:v>
                </c:pt>
                <c:pt idx="678">
                  <c:v>43304</c:v>
                </c:pt>
                <c:pt idx="679">
                  <c:v>43305</c:v>
                </c:pt>
                <c:pt idx="680">
                  <c:v>43306</c:v>
                </c:pt>
                <c:pt idx="681">
                  <c:v>43307</c:v>
                </c:pt>
                <c:pt idx="682">
                  <c:v>43308</c:v>
                </c:pt>
                <c:pt idx="683">
                  <c:v>43311</c:v>
                </c:pt>
                <c:pt idx="684">
                  <c:v>43312</c:v>
                </c:pt>
                <c:pt idx="685">
                  <c:v>43313</c:v>
                </c:pt>
                <c:pt idx="686">
                  <c:v>43314</c:v>
                </c:pt>
                <c:pt idx="687">
                  <c:v>43315</c:v>
                </c:pt>
                <c:pt idx="688">
                  <c:v>43318</c:v>
                </c:pt>
                <c:pt idx="689">
                  <c:v>43319</c:v>
                </c:pt>
                <c:pt idx="690">
                  <c:v>43320</c:v>
                </c:pt>
                <c:pt idx="691">
                  <c:v>43321</c:v>
                </c:pt>
                <c:pt idx="692">
                  <c:v>43322</c:v>
                </c:pt>
                <c:pt idx="693">
                  <c:v>43325</c:v>
                </c:pt>
                <c:pt idx="694">
                  <c:v>43326</c:v>
                </c:pt>
                <c:pt idx="695">
                  <c:v>43327</c:v>
                </c:pt>
                <c:pt idx="696">
                  <c:v>43328</c:v>
                </c:pt>
                <c:pt idx="697">
                  <c:v>43329</c:v>
                </c:pt>
                <c:pt idx="698">
                  <c:v>43332</c:v>
                </c:pt>
                <c:pt idx="699">
                  <c:v>43333</c:v>
                </c:pt>
                <c:pt idx="700">
                  <c:v>43334</c:v>
                </c:pt>
                <c:pt idx="701">
                  <c:v>43335</c:v>
                </c:pt>
                <c:pt idx="702">
                  <c:v>43336</c:v>
                </c:pt>
                <c:pt idx="703">
                  <c:v>43339</c:v>
                </c:pt>
                <c:pt idx="704">
                  <c:v>43340</c:v>
                </c:pt>
                <c:pt idx="705">
                  <c:v>43341</c:v>
                </c:pt>
                <c:pt idx="706">
                  <c:v>43342</c:v>
                </c:pt>
                <c:pt idx="707">
                  <c:v>43343</c:v>
                </c:pt>
                <c:pt idx="708">
                  <c:v>43347</c:v>
                </c:pt>
                <c:pt idx="709">
                  <c:v>43348</c:v>
                </c:pt>
                <c:pt idx="710">
                  <c:v>43349</c:v>
                </c:pt>
                <c:pt idx="711">
                  <c:v>43350</c:v>
                </c:pt>
                <c:pt idx="712">
                  <c:v>43353</c:v>
                </c:pt>
                <c:pt idx="713">
                  <c:v>43354</c:v>
                </c:pt>
                <c:pt idx="714">
                  <c:v>43355</c:v>
                </c:pt>
                <c:pt idx="715">
                  <c:v>43356</c:v>
                </c:pt>
                <c:pt idx="716">
                  <c:v>43357</c:v>
                </c:pt>
                <c:pt idx="717">
                  <c:v>43360</c:v>
                </c:pt>
                <c:pt idx="718">
                  <c:v>43361</c:v>
                </c:pt>
                <c:pt idx="719">
                  <c:v>43362</c:v>
                </c:pt>
                <c:pt idx="720">
                  <c:v>43363</c:v>
                </c:pt>
                <c:pt idx="721">
                  <c:v>43364</c:v>
                </c:pt>
                <c:pt idx="722">
                  <c:v>43367</c:v>
                </c:pt>
                <c:pt idx="723">
                  <c:v>43368</c:v>
                </c:pt>
                <c:pt idx="724">
                  <c:v>43369</c:v>
                </c:pt>
                <c:pt idx="725">
                  <c:v>43370</c:v>
                </c:pt>
                <c:pt idx="726">
                  <c:v>43371</c:v>
                </c:pt>
                <c:pt idx="727">
                  <c:v>43374</c:v>
                </c:pt>
                <c:pt idx="728">
                  <c:v>43375</c:v>
                </c:pt>
                <c:pt idx="729">
                  <c:v>43376</c:v>
                </c:pt>
                <c:pt idx="730">
                  <c:v>43377</c:v>
                </c:pt>
                <c:pt idx="731">
                  <c:v>43378</c:v>
                </c:pt>
                <c:pt idx="732">
                  <c:v>43381</c:v>
                </c:pt>
                <c:pt idx="733">
                  <c:v>43382</c:v>
                </c:pt>
                <c:pt idx="734">
                  <c:v>43383</c:v>
                </c:pt>
                <c:pt idx="735">
                  <c:v>43384</c:v>
                </c:pt>
                <c:pt idx="736">
                  <c:v>43385</c:v>
                </c:pt>
                <c:pt idx="737">
                  <c:v>43388</c:v>
                </c:pt>
              </c:numCache>
            </c:numRef>
          </c:xVal>
          <c:yVal>
            <c:numRef>
              <c:f>'tesla-stock-price'!$C$21:$C$758</c:f>
              <c:numCache>
                <c:formatCode>General</c:formatCode>
                <c:ptCount val="738"/>
                <c:pt idx="30">
                  <c:v>227.24999999999997</c:v>
                </c:pt>
                <c:pt idx="31">
                  <c:v>227.13083333333327</c:v>
                </c:pt>
                <c:pt idx="32">
                  <c:v>227.45166666666663</c:v>
                </c:pt>
                <c:pt idx="33">
                  <c:v>227.82083333333333</c:v>
                </c:pt>
                <c:pt idx="34">
                  <c:v>228.66416666666669</c:v>
                </c:pt>
                <c:pt idx="35">
                  <c:v>230.42</c:v>
                </c:pt>
                <c:pt idx="36">
                  <c:v>232.20583333333335</c:v>
                </c:pt>
                <c:pt idx="37">
                  <c:v>232.39916666666667</c:v>
                </c:pt>
                <c:pt idx="38">
                  <c:v>231.4758333333333</c:v>
                </c:pt>
                <c:pt idx="39">
                  <c:v>230.27999999999997</c:v>
                </c:pt>
                <c:pt idx="40">
                  <c:v>229.04583333333332</c:v>
                </c:pt>
                <c:pt idx="41">
                  <c:v>227.2491666666667</c:v>
                </c:pt>
                <c:pt idx="42">
                  <c:v>225.40750000000003</c:v>
                </c:pt>
                <c:pt idx="43">
                  <c:v>223.76333333333332</c:v>
                </c:pt>
                <c:pt idx="44">
                  <c:v>221.24166666666667</c:v>
                </c:pt>
                <c:pt idx="45">
                  <c:v>219.34416666666664</c:v>
                </c:pt>
                <c:pt idx="46">
                  <c:v>216.66083333333336</c:v>
                </c:pt>
                <c:pt idx="47">
                  <c:v>213.88</c:v>
                </c:pt>
                <c:pt idx="48">
                  <c:v>210.43749999999997</c:v>
                </c:pt>
                <c:pt idx="49">
                  <c:v>208.48416666666662</c:v>
                </c:pt>
                <c:pt idx="50">
                  <c:v>206.74416666666664</c:v>
                </c:pt>
                <c:pt idx="51">
                  <c:v>204.85583333333338</c:v>
                </c:pt>
                <c:pt idx="52">
                  <c:v>203.01500000000001</c:v>
                </c:pt>
                <c:pt idx="53">
                  <c:v>201.10416666666666</c:v>
                </c:pt>
                <c:pt idx="54">
                  <c:v>199.59166666666667</c:v>
                </c:pt>
                <c:pt idx="55">
                  <c:v>198.0275</c:v>
                </c:pt>
                <c:pt idx="56">
                  <c:v>197.74666666666664</c:v>
                </c:pt>
                <c:pt idx="57">
                  <c:v>195.79666666666665</c:v>
                </c:pt>
                <c:pt idx="58">
                  <c:v>193.17083333333335</c:v>
                </c:pt>
                <c:pt idx="59">
                  <c:v>190.72166666666666</c:v>
                </c:pt>
                <c:pt idx="60">
                  <c:v>187.71333333333334</c:v>
                </c:pt>
                <c:pt idx="61">
                  <c:v>183.38166666666666</c:v>
                </c:pt>
                <c:pt idx="62">
                  <c:v>178.85666666666665</c:v>
                </c:pt>
                <c:pt idx="63">
                  <c:v>174.46416666666664</c:v>
                </c:pt>
                <c:pt idx="64">
                  <c:v>170.87333333333333</c:v>
                </c:pt>
                <c:pt idx="65">
                  <c:v>167.78749999999999</c:v>
                </c:pt>
                <c:pt idx="66">
                  <c:v>164.91</c:v>
                </c:pt>
                <c:pt idx="67">
                  <c:v>163.03333333333336</c:v>
                </c:pt>
                <c:pt idx="68">
                  <c:v>160.51916666666668</c:v>
                </c:pt>
                <c:pt idx="69">
                  <c:v>159.16916666666665</c:v>
                </c:pt>
                <c:pt idx="70">
                  <c:v>159.52416666666667</c:v>
                </c:pt>
                <c:pt idx="71">
                  <c:v>159.68083333333334</c:v>
                </c:pt>
                <c:pt idx="72">
                  <c:v>161.04749999999999</c:v>
                </c:pt>
                <c:pt idx="73">
                  <c:v>164.33416666666668</c:v>
                </c:pt>
                <c:pt idx="74">
                  <c:v>167.84166666666667</c:v>
                </c:pt>
                <c:pt idx="75">
                  <c:v>171.86333333333332</c:v>
                </c:pt>
                <c:pt idx="76">
                  <c:v>174.85333333333335</c:v>
                </c:pt>
                <c:pt idx="77">
                  <c:v>177.96166666666667</c:v>
                </c:pt>
                <c:pt idx="78">
                  <c:v>181.34249999999997</c:v>
                </c:pt>
                <c:pt idx="79">
                  <c:v>184.03916666666666</c:v>
                </c:pt>
                <c:pt idx="80">
                  <c:v>187.24916666666664</c:v>
                </c:pt>
                <c:pt idx="81">
                  <c:v>190.2508333333333</c:v>
                </c:pt>
                <c:pt idx="82">
                  <c:v>192.83249999999998</c:v>
                </c:pt>
                <c:pt idx="83">
                  <c:v>195.1633333333333</c:v>
                </c:pt>
                <c:pt idx="84">
                  <c:v>197.53833333333333</c:v>
                </c:pt>
                <c:pt idx="85">
                  <c:v>199.84833333333333</c:v>
                </c:pt>
                <c:pt idx="86">
                  <c:v>202.1816666666667</c:v>
                </c:pt>
                <c:pt idx="87">
                  <c:v>204.68166666666664</c:v>
                </c:pt>
                <c:pt idx="88">
                  <c:v>208.01750000000001</c:v>
                </c:pt>
                <c:pt idx="89">
                  <c:v>211.71749999999997</c:v>
                </c:pt>
                <c:pt idx="90">
                  <c:v>215.26583333333335</c:v>
                </c:pt>
                <c:pt idx="91">
                  <c:v>218.03250000000003</c:v>
                </c:pt>
                <c:pt idx="92">
                  <c:v>219.47333333333336</c:v>
                </c:pt>
                <c:pt idx="93">
                  <c:v>221.56916666666666</c:v>
                </c:pt>
                <c:pt idx="94">
                  <c:v>223.36416666666665</c:v>
                </c:pt>
                <c:pt idx="95">
                  <c:v>225.44333333333338</c:v>
                </c:pt>
                <c:pt idx="96">
                  <c:v>227.05916666666664</c:v>
                </c:pt>
                <c:pt idx="97">
                  <c:v>228.2775</c:v>
                </c:pt>
                <c:pt idx="98">
                  <c:v>229.88166666666666</c:v>
                </c:pt>
                <c:pt idx="99">
                  <c:v>231.97000000000003</c:v>
                </c:pt>
                <c:pt idx="100">
                  <c:v>234.39416666666668</c:v>
                </c:pt>
                <c:pt idx="101">
                  <c:v>237.11750000000004</c:v>
                </c:pt>
                <c:pt idx="102">
                  <c:v>238.6908333333333</c:v>
                </c:pt>
                <c:pt idx="103">
                  <c:v>240.01</c:v>
                </c:pt>
                <c:pt idx="104">
                  <c:v>242.28833333333333</c:v>
                </c:pt>
                <c:pt idx="105">
                  <c:v>243.96083333333334</c:v>
                </c:pt>
                <c:pt idx="106">
                  <c:v>245.98333333333338</c:v>
                </c:pt>
                <c:pt idx="107">
                  <c:v>247.79416666666671</c:v>
                </c:pt>
                <c:pt idx="108">
                  <c:v>250.09583333333339</c:v>
                </c:pt>
                <c:pt idx="109">
                  <c:v>252.10500000000002</c:v>
                </c:pt>
                <c:pt idx="110">
                  <c:v>252.92</c:v>
                </c:pt>
                <c:pt idx="111">
                  <c:v>253.16833333333332</c:v>
                </c:pt>
                <c:pt idx="112">
                  <c:v>252.56999999999996</c:v>
                </c:pt>
                <c:pt idx="113">
                  <c:v>251.59749999999997</c:v>
                </c:pt>
                <c:pt idx="114">
                  <c:v>251.14916666666662</c:v>
                </c:pt>
                <c:pt idx="115">
                  <c:v>251.45500000000001</c:v>
                </c:pt>
                <c:pt idx="116">
                  <c:v>251.58416666666665</c:v>
                </c:pt>
                <c:pt idx="117">
                  <c:v>251.57500000000002</c:v>
                </c:pt>
                <c:pt idx="118">
                  <c:v>250.42749999999992</c:v>
                </c:pt>
                <c:pt idx="119">
                  <c:v>249.58916666666664</c:v>
                </c:pt>
                <c:pt idx="120">
                  <c:v>247.74000000000004</c:v>
                </c:pt>
                <c:pt idx="121">
                  <c:v>245.13000000000002</c:v>
                </c:pt>
                <c:pt idx="122">
                  <c:v>242.14333333333335</c:v>
                </c:pt>
                <c:pt idx="123">
                  <c:v>239.22333333333333</c:v>
                </c:pt>
                <c:pt idx="124">
                  <c:v>235.9425</c:v>
                </c:pt>
                <c:pt idx="125">
                  <c:v>232.1875</c:v>
                </c:pt>
                <c:pt idx="126">
                  <c:v>228.61583333333331</c:v>
                </c:pt>
                <c:pt idx="127">
                  <c:v>224.7441666666667</c:v>
                </c:pt>
                <c:pt idx="128">
                  <c:v>221.08916666666667</c:v>
                </c:pt>
                <c:pt idx="129">
                  <c:v>217.8041666666667</c:v>
                </c:pt>
                <c:pt idx="130">
                  <c:v>214.79583333333335</c:v>
                </c:pt>
                <c:pt idx="131">
                  <c:v>212.24333333333334</c:v>
                </c:pt>
                <c:pt idx="132">
                  <c:v>210.8175</c:v>
                </c:pt>
                <c:pt idx="133">
                  <c:v>210.62750000000003</c:v>
                </c:pt>
                <c:pt idx="134">
                  <c:v>211.01833333333332</c:v>
                </c:pt>
                <c:pt idx="135">
                  <c:v>211.26666666666665</c:v>
                </c:pt>
                <c:pt idx="136">
                  <c:v>212.15499999999997</c:v>
                </c:pt>
                <c:pt idx="137">
                  <c:v>213.52416666666667</c:v>
                </c:pt>
                <c:pt idx="138">
                  <c:v>214.69749999999999</c:v>
                </c:pt>
                <c:pt idx="139">
                  <c:v>216.02666666666664</c:v>
                </c:pt>
                <c:pt idx="140">
                  <c:v>217.02250000000001</c:v>
                </c:pt>
                <c:pt idx="141">
                  <c:v>217.91166666666666</c:v>
                </c:pt>
                <c:pt idx="142">
                  <c:v>219.10583333333329</c:v>
                </c:pt>
                <c:pt idx="143">
                  <c:v>219.89833333333334</c:v>
                </c:pt>
                <c:pt idx="144">
                  <c:v>221.32583333333335</c:v>
                </c:pt>
                <c:pt idx="145">
                  <c:v>222.59583333333333</c:v>
                </c:pt>
                <c:pt idx="146">
                  <c:v>223.69083333333333</c:v>
                </c:pt>
                <c:pt idx="147">
                  <c:v>223.76416666666668</c:v>
                </c:pt>
                <c:pt idx="148">
                  <c:v>223.62166666666667</c:v>
                </c:pt>
                <c:pt idx="149">
                  <c:v>222.77499999999998</c:v>
                </c:pt>
                <c:pt idx="150">
                  <c:v>222.32999999999996</c:v>
                </c:pt>
                <c:pt idx="151">
                  <c:v>221.88833333333329</c:v>
                </c:pt>
                <c:pt idx="152">
                  <c:v>221.54749999999999</c:v>
                </c:pt>
                <c:pt idx="153">
                  <c:v>221.60916666666662</c:v>
                </c:pt>
                <c:pt idx="154">
                  <c:v>221.66083333333333</c:v>
                </c:pt>
                <c:pt idx="155">
                  <c:v>219.65916666666669</c:v>
                </c:pt>
                <c:pt idx="156">
                  <c:v>216.66416666666669</c:v>
                </c:pt>
                <c:pt idx="157">
                  <c:v>213.13333333333335</c:v>
                </c:pt>
                <c:pt idx="158">
                  <c:v>210.56583333333336</c:v>
                </c:pt>
                <c:pt idx="159">
                  <c:v>209.1491666666667</c:v>
                </c:pt>
                <c:pt idx="160">
                  <c:v>208.50916666666669</c:v>
                </c:pt>
                <c:pt idx="161">
                  <c:v>208.28583333333336</c:v>
                </c:pt>
                <c:pt idx="162">
                  <c:v>208.18583333333333</c:v>
                </c:pt>
                <c:pt idx="163">
                  <c:v>207.85666666666668</c:v>
                </c:pt>
                <c:pt idx="164">
                  <c:v>207.77083333333334</c:v>
                </c:pt>
                <c:pt idx="165">
                  <c:v>207.45749999999998</c:v>
                </c:pt>
                <c:pt idx="166">
                  <c:v>207.22166666666669</c:v>
                </c:pt>
                <c:pt idx="167">
                  <c:v>209.56500000000003</c:v>
                </c:pt>
                <c:pt idx="168">
                  <c:v>211.91916666666671</c:v>
                </c:pt>
                <c:pt idx="169">
                  <c:v>214.36750000000004</c:v>
                </c:pt>
                <c:pt idx="170">
                  <c:v>216.28250000000003</c:v>
                </c:pt>
                <c:pt idx="171">
                  <c:v>217.83333333333337</c:v>
                </c:pt>
                <c:pt idx="172">
                  <c:v>219.17166666666671</c:v>
                </c:pt>
                <c:pt idx="173">
                  <c:v>220.25333333333333</c:v>
                </c:pt>
                <c:pt idx="174">
                  <c:v>221.24166666666667</c:v>
                </c:pt>
                <c:pt idx="175">
                  <c:v>221.785</c:v>
                </c:pt>
                <c:pt idx="176">
                  <c:v>222.4375</c:v>
                </c:pt>
                <c:pt idx="177">
                  <c:v>223.60999999999999</c:v>
                </c:pt>
                <c:pt idx="178">
                  <c:v>224.67083333333335</c:v>
                </c:pt>
                <c:pt idx="179">
                  <c:v>224.98000000000002</c:v>
                </c:pt>
                <c:pt idx="180">
                  <c:v>225.47666666666666</c:v>
                </c:pt>
                <c:pt idx="181">
                  <c:v>226.49833333333333</c:v>
                </c:pt>
                <c:pt idx="182">
                  <c:v>227.20500000000001</c:v>
                </c:pt>
                <c:pt idx="183">
                  <c:v>227.77166666666668</c:v>
                </c:pt>
                <c:pt idx="184">
                  <c:v>227.73333333333335</c:v>
                </c:pt>
                <c:pt idx="185">
                  <c:v>228.17916666666667</c:v>
                </c:pt>
                <c:pt idx="186">
                  <c:v>228.31833333333336</c:v>
                </c:pt>
                <c:pt idx="187">
                  <c:v>228.79</c:v>
                </c:pt>
                <c:pt idx="188">
                  <c:v>229.35749999999999</c:v>
                </c:pt>
                <c:pt idx="189">
                  <c:v>228.99416666666664</c:v>
                </c:pt>
                <c:pt idx="190">
                  <c:v>228.61083333333332</c:v>
                </c:pt>
                <c:pt idx="191">
                  <c:v>228.37083333333331</c:v>
                </c:pt>
                <c:pt idx="192">
                  <c:v>227.95250000000001</c:v>
                </c:pt>
                <c:pt idx="193">
                  <c:v>227.02083333333337</c:v>
                </c:pt>
                <c:pt idx="194">
                  <c:v>226.45666666666671</c:v>
                </c:pt>
                <c:pt idx="195">
                  <c:v>226.14916666666667</c:v>
                </c:pt>
                <c:pt idx="196">
                  <c:v>226.08333333333334</c:v>
                </c:pt>
                <c:pt idx="197">
                  <c:v>225.4433333333333</c:v>
                </c:pt>
                <c:pt idx="198">
                  <c:v>225.0108333333333</c:v>
                </c:pt>
                <c:pt idx="199">
                  <c:v>224.71583333333331</c:v>
                </c:pt>
                <c:pt idx="200">
                  <c:v>224.03916666666669</c:v>
                </c:pt>
                <c:pt idx="201">
                  <c:v>223.56750000000002</c:v>
                </c:pt>
                <c:pt idx="202">
                  <c:v>222.7583333333333</c:v>
                </c:pt>
                <c:pt idx="203">
                  <c:v>221.56916666666666</c:v>
                </c:pt>
                <c:pt idx="204">
                  <c:v>220.4375</c:v>
                </c:pt>
                <c:pt idx="205">
                  <c:v>218.53416666666669</c:v>
                </c:pt>
                <c:pt idx="206">
                  <c:v>216.41250000000002</c:v>
                </c:pt>
                <c:pt idx="207">
                  <c:v>214.68916666666667</c:v>
                </c:pt>
                <c:pt idx="208">
                  <c:v>212.74833333333333</c:v>
                </c:pt>
                <c:pt idx="209">
                  <c:v>210.61750000000004</c:v>
                </c:pt>
                <c:pt idx="210">
                  <c:v>208.08666666666662</c:v>
                </c:pt>
                <c:pt idx="211">
                  <c:v>206.05999999999997</c:v>
                </c:pt>
                <c:pt idx="212">
                  <c:v>203.98416666666665</c:v>
                </c:pt>
                <c:pt idx="213">
                  <c:v>202.01916666666668</c:v>
                </c:pt>
                <c:pt idx="214">
                  <c:v>200.78750000000002</c:v>
                </c:pt>
                <c:pt idx="215">
                  <c:v>200.29250000000002</c:v>
                </c:pt>
                <c:pt idx="216">
                  <c:v>199.82000000000002</c:v>
                </c:pt>
                <c:pt idx="217">
                  <c:v>200.14250000000001</c:v>
                </c:pt>
                <c:pt idx="218">
                  <c:v>200.76250000000002</c:v>
                </c:pt>
                <c:pt idx="219">
                  <c:v>201.0625</c:v>
                </c:pt>
                <c:pt idx="220">
                  <c:v>201.54083333333332</c:v>
                </c:pt>
                <c:pt idx="221">
                  <c:v>202.51</c:v>
                </c:pt>
                <c:pt idx="222">
                  <c:v>203.45500000000001</c:v>
                </c:pt>
                <c:pt idx="223">
                  <c:v>204.1191666666667</c:v>
                </c:pt>
                <c:pt idx="224">
                  <c:v>204.50666666666666</c:v>
                </c:pt>
                <c:pt idx="225">
                  <c:v>205.14166666666668</c:v>
                </c:pt>
                <c:pt idx="226">
                  <c:v>206.24833333333333</c:v>
                </c:pt>
                <c:pt idx="227">
                  <c:v>206.74916666666664</c:v>
                </c:pt>
                <c:pt idx="228">
                  <c:v>206.92583333333332</c:v>
                </c:pt>
                <c:pt idx="229">
                  <c:v>206.62249999999997</c:v>
                </c:pt>
                <c:pt idx="230">
                  <c:v>205.905</c:v>
                </c:pt>
                <c:pt idx="231">
                  <c:v>205.44833333333335</c:v>
                </c:pt>
                <c:pt idx="232">
                  <c:v>204.83583333333331</c:v>
                </c:pt>
                <c:pt idx="233">
                  <c:v>204.21250000000001</c:v>
                </c:pt>
                <c:pt idx="234">
                  <c:v>203.74833333333336</c:v>
                </c:pt>
                <c:pt idx="235">
                  <c:v>202.93500000000003</c:v>
                </c:pt>
                <c:pt idx="236">
                  <c:v>202.37333333333333</c:v>
                </c:pt>
                <c:pt idx="237">
                  <c:v>201.96249999999998</c:v>
                </c:pt>
                <c:pt idx="238">
                  <c:v>201.11749999999998</c:v>
                </c:pt>
                <c:pt idx="239">
                  <c:v>200.09166666666667</c:v>
                </c:pt>
                <c:pt idx="240">
                  <c:v>199.39416666666668</c:v>
                </c:pt>
                <c:pt idx="241">
                  <c:v>199.54083333333332</c:v>
                </c:pt>
                <c:pt idx="242">
                  <c:v>200.01833333333332</c:v>
                </c:pt>
                <c:pt idx="243">
                  <c:v>200.12583333333336</c:v>
                </c:pt>
                <c:pt idx="244">
                  <c:v>200.45166666666668</c:v>
                </c:pt>
                <c:pt idx="245">
                  <c:v>200.3233333333333</c:v>
                </c:pt>
                <c:pt idx="246">
                  <c:v>200.11416666666665</c:v>
                </c:pt>
                <c:pt idx="247">
                  <c:v>199.63750000000002</c:v>
                </c:pt>
                <c:pt idx="248">
                  <c:v>199.14250000000001</c:v>
                </c:pt>
                <c:pt idx="249">
                  <c:v>198.16916666666668</c:v>
                </c:pt>
                <c:pt idx="250">
                  <c:v>197.08583333333331</c:v>
                </c:pt>
                <c:pt idx="251">
                  <c:v>196.59500000000003</c:v>
                </c:pt>
                <c:pt idx="252">
                  <c:v>196.16583333333332</c:v>
                </c:pt>
                <c:pt idx="253">
                  <c:v>195.10749999999999</c:v>
                </c:pt>
                <c:pt idx="254">
                  <c:v>193.69166666666669</c:v>
                </c:pt>
                <c:pt idx="255">
                  <c:v>192.55166666666665</c:v>
                </c:pt>
                <c:pt idx="256">
                  <c:v>190.67166666666665</c:v>
                </c:pt>
                <c:pt idx="257">
                  <c:v>189.32166666666663</c:v>
                </c:pt>
                <c:pt idx="258">
                  <c:v>188.17166666666665</c:v>
                </c:pt>
                <c:pt idx="259">
                  <c:v>187.99416666666664</c:v>
                </c:pt>
                <c:pt idx="260">
                  <c:v>187.74416666666664</c:v>
                </c:pt>
                <c:pt idx="261">
                  <c:v>187.50250000000003</c:v>
                </c:pt>
                <c:pt idx="262">
                  <c:v>187.55333333333337</c:v>
                </c:pt>
                <c:pt idx="263">
                  <c:v>187.54750000000001</c:v>
                </c:pt>
                <c:pt idx="264">
                  <c:v>187.69000000000003</c:v>
                </c:pt>
                <c:pt idx="265">
                  <c:v>188.19500000000002</c:v>
                </c:pt>
                <c:pt idx="266">
                  <c:v>188.54666666666671</c:v>
                </c:pt>
                <c:pt idx="267">
                  <c:v>188.6166666666667</c:v>
                </c:pt>
                <c:pt idx="268">
                  <c:v>188.6525</c:v>
                </c:pt>
                <c:pt idx="269">
                  <c:v>188.46083333333331</c:v>
                </c:pt>
                <c:pt idx="270">
                  <c:v>188.70000000000002</c:v>
                </c:pt>
                <c:pt idx="271">
                  <c:v>188.46583333333331</c:v>
                </c:pt>
                <c:pt idx="272">
                  <c:v>189.14333333333332</c:v>
                </c:pt>
                <c:pt idx="273">
                  <c:v>189.79083333333332</c:v>
                </c:pt>
                <c:pt idx="274">
                  <c:v>189.875</c:v>
                </c:pt>
                <c:pt idx="275">
                  <c:v>189.8158333333333</c:v>
                </c:pt>
                <c:pt idx="276">
                  <c:v>189.94083333333333</c:v>
                </c:pt>
                <c:pt idx="277">
                  <c:v>190.155</c:v>
                </c:pt>
                <c:pt idx="278">
                  <c:v>190.82249999999999</c:v>
                </c:pt>
                <c:pt idx="279">
                  <c:v>191.91333333333333</c:v>
                </c:pt>
                <c:pt idx="280">
                  <c:v>193.65083333333334</c:v>
                </c:pt>
                <c:pt idx="281">
                  <c:v>195.92750000000001</c:v>
                </c:pt>
                <c:pt idx="282">
                  <c:v>197.66916666666668</c:v>
                </c:pt>
                <c:pt idx="283">
                  <c:v>199.55249999999998</c:v>
                </c:pt>
                <c:pt idx="284">
                  <c:v>201.23500000000001</c:v>
                </c:pt>
                <c:pt idx="285">
                  <c:v>203.50500000000002</c:v>
                </c:pt>
                <c:pt idx="286">
                  <c:v>205.80166666666665</c:v>
                </c:pt>
                <c:pt idx="287">
                  <c:v>207.65583333333336</c:v>
                </c:pt>
                <c:pt idx="288">
                  <c:v>208.95083333333332</c:v>
                </c:pt>
                <c:pt idx="289">
                  <c:v>210.47583333333333</c:v>
                </c:pt>
                <c:pt idx="290">
                  <c:v>212.92666666666665</c:v>
                </c:pt>
                <c:pt idx="291">
                  <c:v>214.94833333333335</c:v>
                </c:pt>
                <c:pt idx="292">
                  <c:v>217.13833333333341</c:v>
                </c:pt>
                <c:pt idx="293">
                  <c:v>219.01250000000002</c:v>
                </c:pt>
                <c:pt idx="294">
                  <c:v>220.86</c:v>
                </c:pt>
                <c:pt idx="295">
                  <c:v>222.63333333333333</c:v>
                </c:pt>
                <c:pt idx="296">
                  <c:v>223.98750000000004</c:v>
                </c:pt>
                <c:pt idx="297">
                  <c:v>225.50583333333336</c:v>
                </c:pt>
                <c:pt idx="298">
                  <c:v>226.82583333333332</c:v>
                </c:pt>
                <c:pt idx="299">
                  <c:v>228.79916666666665</c:v>
                </c:pt>
                <c:pt idx="300">
                  <c:v>231.30499999999998</c:v>
                </c:pt>
                <c:pt idx="301">
                  <c:v>233.61666666666667</c:v>
                </c:pt>
                <c:pt idx="302">
                  <c:v>235.44416666666663</c:v>
                </c:pt>
                <c:pt idx="303">
                  <c:v>237.76583333333338</c:v>
                </c:pt>
                <c:pt idx="304">
                  <c:v>239.88749999999996</c:v>
                </c:pt>
                <c:pt idx="305">
                  <c:v>241.65666666666667</c:v>
                </c:pt>
                <c:pt idx="306">
                  <c:v>243.58</c:v>
                </c:pt>
                <c:pt idx="307">
                  <c:v>245.32166666666663</c:v>
                </c:pt>
                <c:pt idx="308">
                  <c:v>247.18333333333331</c:v>
                </c:pt>
                <c:pt idx="309">
                  <c:v>248.14083333333329</c:v>
                </c:pt>
                <c:pt idx="310">
                  <c:v>249.47166666666666</c:v>
                </c:pt>
                <c:pt idx="311">
                  <c:v>250.55250000000001</c:v>
                </c:pt>
                <c:pt idx="312">
                  <c:v>251.72000000000003</c:v>
                </c:pt>
                <c:pt idx="313">
                  <c:v>252.78250000000003</c:v>
                </c:pt>
                <c:pt idx="314">
                  <c:v>253.87916666666669</c:v>
                </c:pt>
                <c:pt idx="315">
                  <c:v>255.095</c:v>
                </c:pt>
                <c:pt idx="316">
                  <c:v>256.32499999999999</c:v>
                </c:pt>
                <c:pt idx="317">
                  <c:v>258.6658333333333</c:v>
                </c:pt>
                <c:pt idx="318">
                  <c:v>261.00166666666661</c:v>
                </c:pt>
                <c:pt idx="319">
                  <c:v>263.42916666666662</c:v>
                </c:pt>
                <c:pt idx="320">
                  <c:v>264.84750000000003</c:v>
                </c:pt>
                <c:pt idx="321">
                  <c:v>266.76333333333338</c:v>
                </c:pt>
                <c:pt idx="322">
                  <c:v>268.91666666666669</c:v>
                </c:pt>
                <c:pt idx="323">
                  <c:v>270.76500000000004</c:v>
                </c:pt>
                <c:pt idx="324">
                  <c:v>270.61666666666662</c:v>
                </c:pt>
                <c:pt idx="325">
                  <c:v>270.57666666666665</c:v>
                </c:pt>
                <c:pt idx="326">
                  <c:v>269.25583333333333</c:v>
                </c:pt>
                <c:pt idx="327">
                  <c:v>267.65500000000003</c:v>
                </c:pt>
                <c:pt idx="328">
                  <c:v>266.05416666666667</c:v>
                </c:pt>
                <c:pt idx="329">
                  <c:v>263.54416666666663</c:v>
                </c:pt>
                <c:pt idx="330">
                  <c:v>261.09333333333336</c:v>
                </c:pt>
                <c:pt idx="331">
                  <c:v>258.7141666666667</c:v>
                </c:pt>
                <c:pt idx="332">
                  <c:v>257.01750000000004</c:v>
                </c:pt>
                <c:pt idx="333">
                  <c:v>254.90416666666667</c:v>
                </c:pt>
                <c:pt idx="334">
                  <c:v>252.19666666666669</c:v>
                </c:pt>
                <c:pt idx="335">
                  <c:v>249.71166666666667</c:v>
                </c:pt>
                <c:pt idx="336">
                  <c:v>248.89333333333335</c:v>
                </c:pt>
                <c:pt idx="337">
                  <c:v>248.97666666666669</c:v>
                </c:pt>
                <c:pt idx="338">
                  <c:v>249.76833333333335</c:v>
                </c:pt>
                <c:pt idx="339">
                  <c:v>250.77333333333334</c:v>
                </c:pt>
                <c:pt idx="340">
                  <c:v>251.73000000000005</c:v>
                </c:pt>
                <c:pt idx="341">
                  <c:v>252.68333333333337</c:v>
                </c:pt>
                <c:pt idx="342">
                  <c:v>252.60916666666665</c:v>
                </c:pt>
                <c:pt idx="343">
                  <c:v>252.92583333333332</c:v>
                </c:pt>
                <c:pt idx="344">
                  <c:v>253.44166666666663</c:v>
                </c:pt>
                <c:pt idx="345">
                  <c:v>254.79916666666665</c:v>
                </c:pt>
                <c:pt idx="346">
                  <c:v>256.90916666666664</c:v>
                </c:pt>
                <c:pt idx="347">
                  <c:v>259.72250000000003</c:v>
                </c:pt>
                <c:pt idx="348">
                  <c:v>262.32333333333332</c:v>
                </c:pt>
                <c:pt idx="349">
                  <c:v>263.98333333333335</c:v>
                </c:pt>
                <c:pt idx="350">
                  <c:v>265.86416666666668</c:v>
                </c:pt>
                <c:pt idx="351">
                  <c:v>268.90333333333336</c:v>
                </c:pt>
                <c:pt idx="352">
                  <c:v>272.42</c:v>
                </c:pt>
                <c:pt idx="353">
                  <c:v>275.17666666666668</c:v>
                </c:pt>
                <c:pt idx="354">
                  <c:v>279.17833333333334</c:v>
                </c:pt>
                <c:pt idx="355">
                  <c:v>283.13916666666665</c:v>
                </c:pt>
                <c:pt idx="356">
                  <c:v>287.94</c:v>
                </c:pt>
                <c:pt idx="357">
                  <c:v>291.73583333333329</c:v>
                </c:pt>
                <c:pt idx="358">
                  <c:v>293.95416666666665</c:v>
                </c:pt>
                <c:pt idx="359">
                  <c:v>296.16666666666669</c:v>
                </c:pt>
                <c:pt idx="360">
                  <c:v>298.17166666666668</c:v>
                </c:pt>
                <c:pt idx="361">
                  <c:v>300.03250000000003</c:v>
                </c:pt>
                <c:pt idx="362">
                  <c:v>302.30083333333334</c:v>
                </c:pt>
                <c:pt idx="363">
                  <c:v>302.63333333333338</c:v>
                </c:pt>
                <c:pt idx="364">
                  <c:v>302.79166666666669</c:v>
                </c:pt>
                <c:pt idx="365">
                  <c:v>303.8775</c:v>
                </c:pt>
                <c:pt idx="366">
                  <c:v>305.13499999999999</c:v>
                </c:pt>
                <c:pt idx="367">
                  <c:v>305.77083333333331</c:v>
                </c:pt>
                <c:pt idx="368">
                  <c:v>305.45749999999998</c:v>
                </c:pt>
                <c:pt idx="369">
                  <c:v>305.90416666666664</c:v>
                </c:pt>
                <c:pt idx="370">
                  <c:v>308.07000000000005</c:v>
                </c:pt>
                <c:pt idx="371">
                  <c:v>309.31083333333339</c:v>
                </c:pt>
                <c:pt idx="372">
                  <c:v>310.10916666666668</c:v>
                </c:pt>
                <c:pt idx="373">
                  <c:v>309.70999999999998</c:v>
                </c:pt>
                <c:pt idx="374">
                  <c:v>309.94583333333333</c:v>
                </c:pt>
                <c:pt idx="375">
                  <c:v>310.33583333333337</c:v>
                </c:pt>
                <c:pt idx="376">
                  <c:v>311.64083333333332</c:v>
                </c:pt>
                <c:pt idx="377">
                  <c:v>313.07333333333332</c:v>
                </c:pt>
                <c:pt idx="378">
                  <c:v>313.84916666666669</c:v>
                </c:pt>
                <c:pt idx="379">
                  <c:v>315.06916666666666</c:v>
                </c:pt>
                <c:pt idx="380">
                  <c:v>315.67333333333335</c:v>
                </c:pt>
                <c:pt idx="381">
                  <c:v>315.91833333333335</c:v>
                </c:pt>
                <c:pt idx="382">
                  <c:v>314.52499999999998</c:v>
                </c:pt>
                <c:pt idx="383">
                  <c:v>314.03916666666669</c:v>
                </c:pt>
                <c:pt idx="384">
                  <c:v>314.02333333333331</c:v>
                </c:pt>
                <c:pt idx="385">
                  <c:v>315.26416666666665</c:v>
                </c:pt>
                <c:pt idx="386">
                  <c:v>314.89000000000004</c:v>
                </c:pt>
                <c:pt idx="387">
                  <c:v>315.14249999999998</c:v>
                </c:pt>
                <c:pt idx="388">
                  <c:v>314.77333333333331</c:v>
                </c:pt>
                <c:pt idx="389">
                  <c:v>314.76666666666671</c:v>
                </c:pt>
                <c:pt idx="390">
                  <c:v>315.76666666666665</c:v>
                </c:pt>
                <c:pt idx="391">
                  <c:v>317.11666666666662</c:v>
                </c:pt>
                <c:pt idx="392">
                  <c:v>319.15750000000003</c:v>
                </c:pt>
                <c:pt idx="393">
                  <c:v>321.06083333333333</c:v>
                </c:pt>
                <c:pt idx="394">
                  <c:v>324.49499999999995</c:v>
                </c:pt>
                <c:pt idx="395">
                  <c:v>327.81083333333333</c:v>
                </c:pt>
                <c:pt idx="396">
                  <c:v>331.87916666666666</c:v>
                </c:pt>
                <c:pt idx="397">
                  <c:v>336.85</c:v>
                </c:pt>
                <c:pt idx="398">
                  <c:v>341.30500000000001</c:v>
                </c:pt>
                <c:pt idx="399">
                  <c:v>345.37083333333334</c:v>
                </c:pt>
                <c:pt idx="400">
                  <c:v>350.29749999999996</c:v>
                </c:pt>
                <c:pt idx="401">
                  <c:v>354.92416666666668</c:v>
                </c:pt>
                <c:pt idx="402">
                  <c:v>358.27749999999997</c:v>
                </c:pt>
                <c:pt idx="403">
                  <c:v>360.80999999999995</c:v>
                </c:pt>
                <c:pt idx="404">
                  <c:v>363.26249999999999</c:v>
                </c:pt>
                <c:pt idx="405">
                  <c:v>365.96166666666664</c:v>
                </c:pt>
                <c:pt idx="406">
                  <c:v>368.38499999999999</c:v>
                </c:pt>
                <c:pt idx="407">
                  <c:v>370.86500000000007</c:v>
                </c:pt>
                <c:pt idx="408">
                  <c:v>372.84833333333336</c:v>
                </c:pt>
                <c:pt idx="409">
                  <c:v>373.47250000000003</c:v>
                </c:pt>
                <c:pt idx="410">
                  <c:v>373.89333333333337</c:v>
                </c:pt>
                <c:pt idx="411">
                  <c:v>374.91249999999997</c:v>
                </c:pt>
                <c:pt idx="412">
                  <c:v>373.64583333333331</c:v>
                </c:pt>
                <c:pt idx="413">
                  <c:v>372.05833333333322</c:v>
                </c:pt>
                <c:pt idx="414">
                  <c:v>370.16500000000002</c:v>
                </c:pt>
                <c:pt idx="415">
                  <c:v>366.47250000000003</c:v>
                </c:pt>
                <c:pt idx="416">
                  <c:v>361.39166666666671</c:v>
                </c:pt>
                <c:pt idx="417">
                  <c:v>356.47333333333336</c:v>
                </c:pt>
                <c:pt idx="418">
                  <c:v>351.44416666666666</c:v>
                </c:pt>
                <c:pt idx="419">
                  <c:v>346.82833333333338</c:v>
                </c:pt>
                <c:pt idx="420">
                  <c:v>342.3341666666667</c:v>
                </c:pt>
                <c:pt idx="421">
                  <c:v>337.82750000000004</c:v>
                </c:pt>
                <c:pt idx="422">
                  <c:v>334.94499999999999</c:v>
                </c:pt>
                <c:pt idx="423">
                  <c:v>330.63916666666671</c:v>
                </c:pt>
                <c:pt idx="424">
                  <c:v>327.93</c:v>
                </c:pt>
                <c:pt idx="425">
                  <c:v>324.90083333333337</c:v>
                </c:pt>
                <c:pt idx="426">
                  <c:v>323.00916666666672</c:v>
                </c:pt>
                <c:pt idx="427">
                  <c:v>323.1183333333334</c:v>
                </c:pt>
                <c:pt idx="428">
                  <c:v>325.9258333333334</c:v>
                </c:pt>
                <c:pt idx="429">
                  <c:v>328.12416666666667</c:v>
                </c:pt>
                <c:pt idx="430">
                  <c:v>330.44083333333333</c:v>
                </c:pt>
                <c:pt idx="431">
                  <c:v>331.04416666666663</c:v>
                </c:pt>
                <c:pt idx="432">
                  <c:v>331.50666666666666</c:v>
                </c:pt>
                <c:pt idx="433">
                  <c:v>331.51166666666671</c:v>
                </c:pt>
                <c:pt idx="434">
                  <c:v>330.82749999999999</c:v>
                </c:pt>
                <c:pt idx="435">
                  <c:v>331.35416666666669</c:v>
                </c:pt>
                <c:pt idx="436">
                  <c:v>332.92500000000001</c:v>
                </c:pt>
                <c:pt idx="437">
                  <c:v>335.5625</c:v>
                </c:pt>
                <c:pt idx="438">
                  <c:v>337.66666666666669</c:v>
                </c:pt>
                <c:pt idx="439">
                  <c:v>340.73499999999996</c:v>
                </c:pt>
                <c:pt idx="440">
                  <c:v>342.48583333333335</c:v>
                </c:pt>
                <c:pt idx="441">
                  <c:v>343.80249999999995</c:v>
                </c:pt>
                <c:pt idx="442">
                  <c:v>344.97083333333336</c:v>
                </c:pt>
                <c:pt idx="443">
                  <c:v>347.4158333333333</c:v>
                </c:pt>
                <c:pt idx="444">
                  <c:v>349.68750000000006</c:v>
                </c:pt>
                <c:pt idx="445">
                  <c:v>352.97416666666669</c:v>
                </c:pt>
                <c:pt idx="446">
                  <c:v>355.67</c:v>
                </c:pt>
                <c:pt idx="447">
                  <c:v>357.46749999999997</c:v>
                </c:pt>
                <c:pt idx="448">
                  <c:v>356.69833333333332</c:v>
                </c:pt>
                <c:pt idx="449">
                  <c:v>355.4016666666667</c:v>
                </c:pt>
                <c:pt idx="450">
                  <c:v>355.20166666666665</c:v>
                </c:pt>
                <c:pt idx="451">
                  <c:v>354.17750000000001</c:v>
                </c:pt>
                <c:pt idx="452">
                  <c:v>352.88749999999999</c:v>
                </c:pt>
                <c:pt idx="453">
                  <c:v>352.07583333333332</c:v>
                </c:pt>
                <c:pt idx="454">
                  <c:v>351.2</c:v>
                </c:pt>
                <c:pt idx="455">
                  <c:v>350.315</c:v>
                </c:pt>
                <c:pt idx="456">
                  <c:v>349.77916666666664</c:v>
                </c:pt>
                <c:pt idx="457">
                  <c:v>349.15333333333336</c:v>
                </c:pt>
                <c:pt idx="458">
                  <c:v>348.9591666666667</c:v>
                </c:pt>
                <c:pt idx="459">
                  <c:v>348.71499999999997</c:v>
                </c:pt>
                <c:pt idx="460">
                  <c:v>349.77749999999997</c:v>
                </c:pt>
                <c:pt idx="461">
                  <c:v>349.94833333333332</c:v>
                </c:pt>
                <c:pt idx="462">
                  <c:v>350.85833333333335</c:v>
                </c:pt>
                <c:pt idx="463">
                  <c:v>351.67666666666673</c:v>
                </c:pt>
                <c:pt idx="464">
                  <c:v>353.19166666666666</c:v>
                </c:pt>
                <c:pt idx="465">
                  <c:v>355.85666666666674</c:v>
                </c:pt>
                <c:pt idx="466">
                  <c:v>358.56083333333339</c:v>
                </c:pt>
                <c:pt idx="467">
                  <c:v>361.21249999999992</c:v>
                </c:pt>
                <c:pt idx="468">
                  <c:v>362.8125</c:v>
                </c:pt>
                <c:pt idx="469">
                  <c:v>364.35500000000002</c:v>
                </c:pt>
                <c:pt idx="470">
                  <c:v>365.76249999999999</c:v>
                </c:pt>
                <c:pt idx="471">
                  <c:v>366.30916666666667</c:v>
                </c:pt>
                <c:pt idx="472">
                  <c:v>365.84083333333336</c:v>
                </c:pt>
                <c:pt idx="473">
                  <c:v>365.99499999999995</c:v>
                </c:pt>
                <c:pt idx="474">
                  <c:v>364.10166666666669</c:v>
                </c:pt>
                <c:pt idx="475">
                  <c:v>362.17250000000007</c:v>
                </c:pt>
                <c:pt idx="476">
                  <c:v>360.07833333333338</c:v>
                </c:pt>
                <c:pt idx="477">
                  <c:v>357.06916666666666</c:v>
                </c:pt>
                <c:pt idx="478">
                  <c:v>354.43</c:v>
                </c:pt>
                <c:pt idx="479">
                  <c:v>351.93083333333328</c:v>
                </c:pt>
                <c:pt idx="480">
                  <c:v>350.2833333333333</c:v>
                </c:pt>
                <c:pt idx="481">
                  <c:v>348.86416666666668</c:v>
                </c:pt>
                <c:pt idx="482">
                  <c:v>346.90249999999992</c:v>
                </c:pt>
                <c:pt idx="483">
                  <c:v>347.27749999999992</c:v>
                </c:pt>
                <c:pt idx="484">
                  <c:v>348.07833333333338</c:v>
                </c:pt>
                <c:pt idx="485">
                  <c:v>348.94750000000005</c:v>
                </c:pt>
                <c:pt idx="486">
                  <c:v>350.16416666666669</c:v>
                </c:pt>
                <c:pt idx="487">
                  <c:v>351.08083333333337</c:v>
                </c:pt>
                <c:pt idx="488">
                  <c:v>352.30166666666668</c:v>
                </c:pt>
                <c:pt idx="489">
                  <c:v>353.81166666666667</c:v>
                </c:pt>
                <c:pt idx="490">
                  <c:v>354.11750000000001</c:v>
                </c:pt>
                <c:pt idx="491">
                  <c:v>353.29166666666669</c:v>
                </c:pt>
                <c:pt idx="492">
                  <c:v>351.76583333333332</c:v>
                </c:pt>
                <c:pt idx="493">
                  <c:v>350.13749999999999</c:v>
                </c:pt>
                <c:pt idx="494">
                  <c:v>348.71250000000003</c:v>
                </c:pt>
                <c:pt idx="495">
                  <c:v>346.26083333333332</c:v>
                </c:pt>
                <c:pt idx="496">
                  <c:v>343.45000000000005</c:v>
                </c:pt>
                <c:pt idx="497">
                  <c:v>340.48333333333335</c:v>
                </c:pt>
                <c:pt idx="498">
                  <c:v>338.48</c:v>
                </c:pt>
                <c:pt idx="499">
                  <c:v>336.02</c:v>
                </c:pt>
                <c:pt idx="500">
                  <c:v>331.3125</c:v>
                </c:pt>
                <c:pt idx="501">
                  <c:v>326.84916666666669</c:v>
                </c:pt>
                <c:pt idx="502">
                  <c:v>322.76333333333332</c:v>
                </c:pt>
                <c:pt idx="503">
                  <c:v>319.50916666666666</c:v>
                </c:pt>
                <c:pt idx="504">
                  <c:v>316.79000000000002</c:v>
                </c:pt>
                <c:pt idx="505">
                  <c:v>313.92750000000001</c:v>
                </c:pt>
                <c:pt idx="506">
                  <c:v>312.02333333333331</c:v>
                </c:pt>
                <c:pt idx="507">
                  <c:v>311.12583333333333</c:v>
                </c:pt>
                <c:pt idx="508">
                  <c:v>310.11166666666662</c:v>
                </c:pt>
                <c:pt idx="509">
                  <c:v>309.38</c:v>
                </c:pt>
                <c:pt idx="510">
                  <c:v>307.79416666666663</c:v>
                </c:pt>
                <c:pt idx="511">
                  <c:v>307.29166666666669</c:v>
                </c:pt>
                <c:pt idx="512">
                  <c:v>308.08166666666671</c:v>
                </c:pt>
                <c:pt idx="513">
                  <c:v>309.05833333333334</c:v>
                </c:pt>
                <c:pt idx="514">
                  <c:v>309.87666666666672</c:v>
                </c:pt>
                <c:pt idx="515">
                  <c:v>310.66833333333335</c:v>
                </c:pt>
                <c:pt idx="516">
                  <c:v>311.70333333333332</c:v>
                </c:pt>
                <c:pt idx="517">
                  <c:v>312.91666666666669</c:v>
                </c:pt>
                <c:pt idx="518">
                  <c:v>313.29583333333335</c:v>
                </c:pt>
                <c:pt idx="519">
                  <c:v>312.75</c:v>
                </c:pt>
                <c:pt idx="520">
                  <c:v>312.56916666666666</c:v>
                </c:pt>
                <c:pt idx="521">
                  <c:v>312.06083333333328</c:v>
                </c:pt>
                <c:pt idx="522">
                  <c:v>311.32749999999993</c:v>
                </c:pt>
                <c:pt idx="523">
                  <c:v>311.17833333333328</c:v>
                </c:pt>
                <c:pt idx="524">
                  <c:v>311.3866666666666</c:v>
                </c:pt>
                <c:pt idx="525">
                  <c:v>311.16333333333336</c:v>
                </c:pt>
                <c:pt idx="526">
                  <c:v>312.52249999999998</c:v>
                </c:pt>
                <c:pt idx="527">
                  <c:v>314.64583333333326</c:v>
                </c:pt>
                <c:pt idx="528">
                  <c:v>316.49749999999995</c:v>
                </c:pt>
                <c:pt idx="529">
                  <c:v>318.1925</c:v>
                </c:pt>
                <c:pt idx="530">
                  <c:v>321.18499999999989</c:v>
                </c:pt>
                <c:pt idx="531">
                  <c:v>323.68666666666661</c:v>
                </c:pt>
                <c:pt idx="532">
                  <c:v>325.73416666666662</c:v>
                </c:pt>
                <c:pt idx="533">
                  <c:v>327.71583333333331</c:v>
                </c:pt>
                <c:pt idx="534">
                  <c:v>330.04583333333329</c:v>
                </c:pt>
                <c:pt idx="535">
                  <c:v>331.0408333333333</c:v>
                </c:pt>
                <c:pt idx="536">
                  <c:v>331.54499999999996</c:v>
                </c:pt>
                <c:pt idx="537">
                  <c:v>331.25416666666666</c:v>
                </c:pt>
                <c:pt idx="538">
                  <c:v>330.12499999999994</c:v>
                </c:pt>
                <c:pt idx="539">
                  <c:v>327.65166666666659</c:v>
                </c:pt>
                <c:pt idx="540">
                  <c:v>326.10999999999996</c:v>
                </c:pt>
                <c:pt idx="541">
                  <c:v>324.39000000000004</c:v>
                </c:pt>
                <c:pt idx="542">
                  <c:v>321.98750000000001</c:v>
                </c:pt>
                <c:pt idx="543">
                  <c:v>320.12999999999994</c:v>
                </c:pt>
                <c:pt idx="544">
                  <c:v>320.57249999999999</c:v>
                </c:pt>
                <c:pt idx="545">
                  <c:v>320.96499999999997</c:v>
                </c:pt>
                <c:pt idx="546">
                  <c:v>321.22666666666663</c:v>
                </c:pt>
                <c:pt idx="547">
                  <c:v>322.28916666666663</c:v>
                </c:pt>
                <c:pt idx="548">
                  <c:v>323.86666666666662</c:v>
                </c:pt>
                <c:pt idx="549">
                  <c:v>326.23500000000001</c:v>
                </c:pt>
                <c:pt idx="550">
                  <c:v>328.88499999999993</c:v>
                </c:pt>
                <c:pt idx="551">
                  <c:v>331.65333333333336</c:v>
                </c:pt>
                <c:pt idx="552">
                  <c:v>334.11083333333335</c:v>
                </c:pt>
                <c:pt idx="553">
                  <c:v>336.97</c:v>
                </c:pt>
                <c:pt idx="554">
                  <c:v>340.15083333333331</c:v>
                </c:pt>
                <c:pt idx="555">
                  <c:v>342.59333333333331</c:v>
                </c:pt>
                <c:pt idx="556">
                  <c:v>342.69583333333338</c:v>
                </c:pt>
                <c:pt idx="557">
                  <c:v>343.45916666666659</c:v>
                </c:pt>
                <c:pt idx="558">
                  <c:v>344.68666666666667</c:v>
                </c:pt>
                <c:pt idx="559">
                  <c:v>345.34249999999997</c:v>
                </c:pt>
                <c:pt idx="560">
                  <c:v>346.84999999999997</c:v>
                </c:pt>
                <c:pt idx="561">
                  <c:v>347.61583333333328</c:v>
                </c:pt>
                <c:pt idx="562">
                  <c:v>347.33166666666665</c:v>
                </c:pt>
                <c:pt idx="563">
                  <c:v>346.37833333333333</c:v>
                </c:pt>
                <c:pt idx="564">
                  <c:v>345.04083333333341</c:v>
                </c:pt>
                <c:pt idx="565">
                  <c:v>344.49416666666667</c:v>
                </c:pt>
                <c:pt idx="566">
                  <c:v>341.36416666666673</c:v>
                </c:pt>
                <c:pt idx="567">
                  <c:v>338.40833333333336</c:v>
                </c:pt>
                <c:pt idx="568">
                  <c:v>336.58250000000004</c:v>
                </c:pt>
                <c:pt idx="569">
                  <c:v>334.98333333333335</c:v>
                </c:pt>
                <c:pt idx="570">
                  <c:v>332.71500000000003</c:v>
                </c:pt>
                <c:pt idx="571">
                  <c:v>331.73541666666665</c:v>
                </c:pt>
                <c:pt idx="572">
                  <c:v>330.16708333333332</c:v>
                </c:pt>
                <c:pt idx="573">
                  <c:v>328.96041666666667</c:v>
                </c:pt>
                <c:pt idx="574">
                  <c:v>328.08958333333334</c:v>
                </c:pt>
                <c:pt idx="575">
                  <c:v>329.17625000000004</c:v>
                </c:pt>
                <c:pt idx="576">
                  <c:v>330.6829166666667</c:v>
                </c:pt>
                <c:pt idx="577">
                  <c:v>331.71791666666672</c:v>
                </c:pt>
                <c:pt idx="578">
                  <c:v>334.69791666666674</c:v>
                </c:pt>
                <c:pt idx="579">
                  <c:v>337.41791666666671</c:v>
                </c:pt>
                <c:pt idx="580">
                  <c:v>338.68458333333336</c:v>
                </c:pt>
                <c:pt idx="581">
                  <c:v>339.63958333333335</c:v>
                </c:pt>
                <c:pt idx="582">
                  <c:v>340.55958333333331</c:v>
                </c:pt>
                <c:pt idx="583">
                  <c:v>340.07083333333327</c:v>
                </c:pt>
                <c:pt idx="584">
                  <c:v>339.80499999999995</c:v>
                </c:pt>
                <c:pt idx="585">
                  <c:v>339.33249999999998</c:v>
                </c:pt>
                <c:pt idx="586">
                  <c:v>338.82166666666666</c:v>
                </c:pt>
                <c:pt idx="587">
                  <c:v>338.76666666666665</c:v>
                </c:pt>
                <c:pt idx="588">
                  <c:v>337.9158333333333</c:v>
                </c:pt>
                <c:pt idx="589">
                  <c:v>335.34999999999997</c:v>
                </c:pt>
                <c:pt idx="590">
                  <c:v>333.23416666666668</c:v>
                </c:pt>
                <c:pt idx="591">
                  <c:v>331.42500000000001</c:v>
                </c:pt>
                <c:pt idx="592">
                  <c:v>329.97750000000002</c:v>
                </c:pt>
                <c:pt idx="593">
                  <c:v>327.93</c:v>
                </c:pt>
                <c:pt idx="594">
                  <c:v>326.52833333333336</c:v>
                </c:pt>
                <c:pt idx="595">
                  <c:v>324.93666666666667</c:v>
                </c:pt>
                <c:pt idx="596">
                  <c:v>322.37333333333333</c:v>
                </c:pt>
                <c:pt idx="597">
                  <c:v>320.29666666666662</c:v>
                </c:pt>
                <c:pt idx="598">
                  <c:v>316.29749999999996</c:v>
                </c:pt>
                <c:pt idx="599">
                  <c:v>308.98666666666662</c:v>
                </c:pt>
                <c:pt idx="600">
                  <c:v>302.67750000000001</c:v>
                </c:pt>
                <c:pt idx="601">
                  <c:v>296.49833333333333</c:v>
                </c:pt>
                <c:pt idx="602">
                  <c:v>291.65916666666664</c:v>
                </c:pt>
                <c:pt idx="603">
                  <c:v>288.79166666666669</c:v>
                </c:pt>
                <c:pt idx="604">
                  <c:v>288.13833333333332</c:v>
                </c:pt>
                <c:pt idx="605">
                  <c:v>287.20083333333332</c:v>
                </c:pt>
                <c:pt idx="606">
                  <c:v>284.96166666666664</c:v>
                </c:pt>
                <c:pt idx="607">
                  <c:v>284.59499999999997</c:v>
                </c:pt>
                <c:pt idx="608">
                  <c:v>284.54416666666663</c:v>
                </c:pt>
                <c:pt idx="609">
                  <c:v>283.70249999999993</c:v>
                </c:pt>
                <c:pt idx="610">
                  <c:v>285.46583333333331</c:v>
                </c:pt>
                <c:pt idx="611">
                  <c:v>288.25166666666667</c:v>
                </c:pt>
                <c:pt idx="612">
                  <c:v>290.04833333333335</c:v>
                </c:pt>
                <c:pt idx="613">
                  <c:v>293.45416666666671</c:v>
                </c:pt>
                <c:pt idx="614">
                  <c:v>296.16666666666669</c:v>
                </c:pt>
                <c:pt idx="615">
                  <c:v>296.44166666666666</c:v>
                </c:pt>
                <c:pt idx="616">
                  <c:v>294.57916666666665</c:v>
                </c:pt>
                <c:pt idx="617">
                  <c:v>293.25916666666666</c:v>
                </c:pt>
                <c:pt idx="618">
                  <c:v>292.51166666666666</c:v>
                </c:pt>
                <c:pt idx="619">
                  <c:v>290.91000000000003</c:v>
                </c:pt>
                <c:pt idx="620">
                  <c:v>290.33874999999995</c:v>
                </c:pt>
                <c:pt idx="621">
                  <c:v>290.32375000000002</c:v>
                </c:pt>
                <c:pt idx="622">
                  <c:v>290.28874999999999</c:v>
                </c:pt>
                <c:pt idx="623">
                  <c:v>291.11708333333337</c:v>
                </c:pt>
                <c:pt idx="624">
                  <c:v>290.84708333333333</c:v>
                </c:pt>
                <c:pt idx="625">
                  <c:v>290.90875</c:v>
                </c:pt>
                <c:pt idx="626">
                  <c:v>291.13291666666669</c:v>
                </c:pt>
                <c:pt idx="627">
                  <c:v>292.11041666666665</c:v>
                </c:pt>
                <c:pt idx="628">
                  <c:v>294.0670833333333</c:v>
                </c:pt>
                <c:pt idx="629">
                  <c:v>295.86374999999998</c:v>
                </c:pt>
                <c:pt idx="630">
                  <c:v>297.56125000000003</c:v>
                </c:pt>
                <c:pt idx="631">
                  <c:v>298.10208333333327</c:v>
                </c:pt>
                <c:pt idx="632">
                  <c:v>297.27749999999997</c:v>
                </c:pt>
                <c:pt idx="633">
                  <c:v>296.65916666666664</c:v>
                </c:pt>
                <c:pt idx="634">
                  <c:v>295.3775</c:v>
                </c:pt>
                <c:pt idx="635">
                  <c:v>293.35000000000002</c:v>
                </c:pt>
                <c:pt idx="636">
                  <c:v>293.3533333333333</c:v>
                </c:pt>
                <c:pt idx="637">
                  <c:v>291.76333333333338</c:v>
                </c:pt>
                <c:pt idx="638">
                  <c:v>289.78833333333336</c:v>
                </c:pt>
                <c:pt idx="639">
                  <c:v>287.77833333333342</c:v>
                </c:pt>
                <c:pt idx="640">
                  <c:v>285.44499999999999</c:v>
                </c:pt>
                <c:pt idx="641">
                  <c:v>283.67333333333335</c:v>
                </c:pt>
                <c:pt idx="642">
                  <c:v>282.89499999999998</c:v>
                </c:pt>
                <c:pt idx="643">
                  <c:v>282.29166666666669</c:v>
                </c:pt>
                <c:pt idx="644">
                  <c:v>282.92833333333334</c:v>
                </c:pt>
                <c:pt idx="645">
                  <c:v>283.78333333333336</c:v>
                </c:pt>
                <c:pt idx="646">
                  <c:v>284.33249999999998</c:v>
                </c:pt>
                <c:pt idx="647">
                  <c:v>287.88916666666665</c:v>
                </c:pt>
                <c:pt idx="648">
                  <c:v>290.52250000000004</c:v>
                </c:pt>
                <c:pt idx="649">
                  <c:v>294.07666666666665</c:v>
                </c:pt>
                <c:pt idx="650">
                  <c:v>298.49583333333334</c:v>
                </c:pt>
                <c:pt idx="651">
                  <c:v>303.90583333333331</c:v>
                </c:pt>
                <c:pt idx="652">
                  <c:v>309.40000000000003</c:v>
                </c:pt>
                <c:pt idx="653">
                  <c:v>315.56333333333333</c:v>
                </c:pt>
                <c:pt idx="654">
                  <c:v>321.10083333333336</c:v>
                </c:pt>
                <c:pt idx="655">
                  <c:v>328.27583333333337</c:v>
                </c:pt>
                <c:pt idx="656">
                  <c:v>333.33666666666676</c:v>
                </c:pt>
                <c:pt idx="657">
                  <c:v>338.79333333333335</c:v>
                </c:pt>
                <c:pt idx="658">
                  <c:v>343.49166666666673</c:v>
                </c:pt>
                <c:pt idx="659">
                  <c:v>344.66916666666674</c:v>
                </c:pt>
                <c:pt idx="660">
                  <c:v>346.07916666666671</c:v>
                </c:pt>
                <c:pt idx="661">
                  <c:v>348.10750000000007</c:v>
                </c:pt>
                <c:pt idx="662">
                  <c:v>349.14083333333338</c:v>
                </c:pt>
                <c:pt idx="663">
                  <c:v>349.73750000000001</c:v>
                </c:pt>
                <c:pt idx="664">
                  <c:v>349.58500000000004</c:v>
                </c:pt>
                <c:pt idx="665">
                  <c:v>347.69749999999999</c:v>
                </c:pt>
                <c:pt idx="666">
                  <c:v>343.75499999999994</c:v>
                </c:pt>
                <c:pt idx="667">
                  <c:v>338.61583333333334</c:v>
                </c:pt>
                <c:pt idx="668">
                  <c:v>334.9783333333333</c:v>
                </c:pt>
                <c:pt idx="669">
                  <c:v>331.33583333333331</c:v>
                </c:pt>
                <c:pt idx="670">
                  <c:v>329.24916666666672</c:v>
                </c:pt>
                <c:pt idx="671">
                  <c:v>328.0266666666667</c:v>
                </c:pt>
                <c:pt idx="672">
                  <c:v>326.66833333333335</c:v>
                </c:pt>
                <c:pt idx="673">
                  <c:v>324.74083333333334</c:v>
                </c:pt>
                <c:pt idx="674">
                  <c:v>321.87416666666667</c:v>
                </c:pt>
                <c:pt idx="675">
                  <c:v>319.60416666666669</c:v>
                </c:pt>
                <c:pt idx="676">
                  <c:v>318.01249999999999</c:v>
                </c:pt>
                <c:pt idx="677">
                  <c:v>316.77583333333331</c:v>
                </c:pt>
                <c:pt idx="678">
                  <c:v>317.0025</c:v>
                </c:pt>
                <c:pt idx="679">
                  <c:v>316.50583333333333</c:v>
                </c:pt>
                <c:pt idx="680">
                  <c:v>315.54999999999995</c:v>
                </c:pt>
                <c:pt idx="681">
                  <c:v>314.73583333333335</c:v>
                </c:pt>
                <c:pt idx="682">
                  <c:v>313.41749999999996</c:v>
                </c:pt>
                <c:pt idx="683">
                  <c:v>311.60249999999996</c:v>
                </c:pt>
                <c:pt idx="684">
                  <c:v>309.39083333333332</c:v>
                </c:pt>
                <c:pt idx="685">
                  <c:v>307.6633333333333</c:v>
                </c:pt>
                <c:pt idx="686">
                  <c:v>306.89166666666671</c:v>
                </c:pt>
                <c:pt idx="687">
                  <c:v>309.12916666666666</c:v>
                </c:pt>
                <c:pt idx="688">
                  <c:v>311.15583333333331</c:v>
                </c:pt>
                <c:pt idx="689">
                  <c:v>312.96916666666669</c:v>
                </c:pt>
                <c:pt idx="690">
                  <c:v>318.46833333333336</c:v>
                </c:pt>
                <c:pt idx="691">
                  <c:v>324.06333333333339</c:v>
                </c:pt>
                <c:pt idx="692">
                  <c:v>328.64833333333337</c:v>
                </c:pt>
                <c:pt idx="693">
                  <c:v>332.54416666666663</c:v>
                </c:pt>
                <c:pt idx="694">
                  <c:v>336.69083333333333</c:v>
                </c:pt>
                <c:pt idx="695">
                  <c:v>340.89583333333331</c:v>
                </c:pt>
                <c:pt idx="696">
                  <c:v>344.93916666666661</c:v>
                </c:pt>
                <c:pt idx="697">
                  <c:v>348.04833333333323</c:v>
                </c:pt>
                <c:pt idx="698">
                  <c:v>348.43666666666667</c:v>
                </c:pt>
                <c:pt idx="699">
                  <c:v>345.0116666666666</c:v>
                </c:pt>
                <c:pt idx="700">
                  <c:v>342.82249999999999</c:v>
                </c:pt>
                <c:pt idx="701">
                  <c:v>341.12666666666667</c:v>
                </c:pt>
                <c:pt idx="702">
                  <c:v>336.17083333333329</c:v>
                </c:pt>
                <c:pt idx="703">
                  <c:v>332.21083333333337</c:v>
                </c:pt>
                <c:pt idx="704">
                  <c:v>329.44583333333333</c:v>
                </c:pt>
                <c:pt idx="705">
                  <c:v>325.81</c:v>
                </c:pt>
                <c:pt idx="706">
                  <c:v>321.52666666666664</c:v>
                </c:pt>
                <c:pt idx="707">
                  <c:v>317.81916666666672</c:v>
                </c:pt>
                <c:pt idx="708">
                  <c:v>314.73333333333329</c:v>
                </c:pt>
                <c:pt idx="709">
                  <c:v>310.85833333333329</c:v>
                </c:pt>
                <c:pt idx="710">
                  <c:v>308.79500000000002</c:v>
                </c:pt>
                <c:pt idx="711">
                  <c:v>306.50416666666666</c:v>
                </c:pt>
                <c:pt idx="712">
                  <c:v>301.61583333333328</c:v>
                </c:pt>
                <c:pt idx="713">
                  <c:v>298.60416666666657</c:v>
                </c:pt>
                <c:pt idx="714">
                  <c:v>295.21583333333331</c:v>
                </c:pt>
                <c:pt idx="715">
                  <c:v>292.52583333333331</c:v>
                </c:pt>
                <c:pt idx="716">
                  <c:v>290.04166666666669</c:v>
                </c:pt>
                <c:pt idx="717">
                  <c:v>288.65333333333331</c:v>
                </c:pt>
                <c:pt idx="718">
                  <c:v>287.80583333333334</c:v>
                </c:pt>
                <c:pt idx="719">
                  <c:v>286.29000000000002</c:v>
                </c:pt>
                <c:pt idx="720">
                  <c:v>286.07</c:v>
                </c:pt>
                <c:pt idx="721">
                  <c:v>286.85166666666669</c:v>
                </c:pt>
                <c:pt idx="722">
                  <c:v>288.38166666666666</c:v>
                </c:pt>
                <c:pt idx="723">
                  <c:v>289.94249999999994</c:v>
                </c:pt>
                <c:pt idx="724">
                  <c:v>293.08833333333331</c:v>
                </c:pt>
                <c:pt idx="725">
                  <c:v>295.09499999999997</c:v>
                </c:pt>
                <c:pt idx="726">
                  <c:v>297.435</c:v>
                </c:pt>
                <c:pt idx="727">
                  <c:v>295.28749999999997</c:v>
                </c:pt>
                <c:pt idx="728">
                  <c:v>297.05749999999995</c:v>
                </c:pt>
                <c:pt idx="729">
                  <c:v>297.54249999999996</c:v>
                </c:pt>
                <c:pt idx="730">
                  <c:v>297.53916666666663</c:v>
                </c:pt>
                <c:pt idx="731">
                  <c:v>297.27833333333331</c:v>
                </c:pt>
                <c:pt idx="732">
                  <c:v>294.18916666666667</c:v>
                </c:pt>
                <c:pt idx="733">
                  <c:v>290.20833333333331</c:v>
                </c:pt>
                <c:pt idx="734">
                  <c:v>287.18333333333334</c:v>
                </c:pt>
                <c:pt idx="735">
                  <c:v>283.61666666666667</c:v>
                </c:pt>
                <c:pt idx="736">
                  <c:v>279.55333333333334</c:v>
                </c:pt>
                <c:pt idx="737">
                  <c:v>275.32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69-4513-95A1-5743461B9F6B}"/>
            </c:ext>
          </c:extLst>
        </c:ser>
        <c:ser>
          <c:idx val="2"/>
          <c:order val="2"/>
          <c:tx>
            <c:v>3-average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'tesla-stock-price'!$A$21:$A$758</c:f>
              <c:numCache>
                <c:formatCode>m/d/yyyy</c:formatCode>
                <c:ptCount val="738"/>
                <c:pt idx="0">
                  <c:v>42318</c:v>
                </c:pt>
                <c:pt idx="1">
                  <c:v>42319</c:v>
                </c:pt>
                <c:pt idx="2">
                  <c:v>42320</c:v>
                </c:pt>
                <c:pt idx="3">
                  <c:v>42321</c:v>
                </c:pt>
                <c:pt idx="4">
                  <c:v>42324</c:v>
                </c:pt>
                <c:pt idx="5">
                  <c:v>42325</c:v>
                </c:pt>
                <c:pt idx="6">
                  <c:v>42326</c:v>
                </c:pt>
                <c:pt idx="7">
                  <c:v>42327</c:v>
                </c:pt>
                <c:pt idx="8">
                  <c:v>42328</c:v>
                </c:pt>
                <c:pt idx="9">
                  <c:v>42331</c:v>
                </c:pt>
                <c:pt idx="10">
                  <c:v>42332</c:v>
                </c:pt>
                <c:pt idx="11">
                  <c:v>42333</c:v>
                </c:pt>
                <c:pt idx="12">
                  <c:v>42335</c:v>
                </c:pt>
                <c:pt idx="13">
                  <c:v>42338</c:v>
                </c:pt>
                <c:pt idx="14">
                  <c:v>42339</c:v>
                </c:pt>
                <c:pt idx="15">
                  <c:v>42340</c:v>
                </c:pt>
                <c:pt idx="16">
                  <c:v>42341</c:v>
                </c:pt>
                <c:pt idx="17">
                  <c:v>42342</c:v>
                </c:pt>
                <c:pt idx="18">
                  <c:v>42345</c:v>
                </c:pt>
                <c:pt idx="19">
                  <c:v>42346</c:v>
                </c:pt>
                <c:pt idx="20">
                  <c:v>42347</c:v>
                </c:pt>
                <c:pt idx="21">
                  <c:v>42348</c:v>
                </c:pt>
                <c:pt idx="22">
                  <c:v>42349</c:v>
                </c:pt>
                <c:pt idx="23">
                  <c:v>42352</c:v>
                </c:pt>
                <c:pt idx="24">
                  <c:v>42353</c:v>
                </c:pt>
                <c:pt idx="25">
                  <c:v>42354</c:v>
                </c:pt>
                <c:pt idx="26">
                  <c:v>42355</c:v>
                </c:pt>
                <c:pt idx="27">
                  <c:v>42356</c:v>
                </c:pt>
                <c:pt idx="28">
                  <c:v>42359</c:v>
                </c:pt>
                <c:pt idx="29">
                  <c:v>42360</c:v>
                </c:pt>
                <c:pt idx="30">
                  <c:v>42361</c:v>
                </c:pt>
                <c:pt idx="31">
                  <c:v>42362</c:v>
                </c:pt>
                <c:pt idx="32">
                  <c:v>42366</c:v>
                </c:pt>
                <c:pt idx="33">
                  <c:v>42367</c:v>
                </c:pt>
                <c:pt idx="34">
                  <c:v>42368</c:v>
                </c:pt>
                <c:pt idx="35">
                  <c:v>42369</c:v>
                </c:pt>
                <c:pt idx="36">
                  <c:v>42373</c:v>
                </c:pt>
                <c:pt idx="37">
                  <c:v>42374</c:v>
                </c:pt>
                <c:pt idx="38">
                  <c:v>42375</c:v>
                </c:pt>
                <c:pt idx="39">
                  <c:v>42376</c:v>
                </c:pt>
                <c:pt idx="40">
                  <c:v>42377</c:v>
                </c:pt>
                <c:pt idx="41">
                  <c:v>42380</c:v>
                </c:pt>
                <c:pt idx="42">
                  <c:v>42381</c:v>
                </c:pt>
                <c:pt idx="43">
                  <c:v>42382</c:v>
                </c:pt>
                <c:pt idx="44">
                  <c:v>42383</c:v>
                </c:pt>
                <c:pt idx="45">
                  <c:v>42384</c:v>
                </c:pt>
                <c:pt idx="46">
                  <c:v>42388</c:v>
                </c:pt>
                <c:pt idx="47">
                  <c:v>42389</c:v>
                </c:pt>
                <c:pt idx="48">
                  <c:v>42390</c:v>
                </c:pt>
                <c:pt idx="49">
                  <c:v>42391</c:v>
                </c:pt>
                <c:pt idx="50">
                  <c:v>42394</c:v>
                </c:pt>
                <c:pt idx="51">
                  <c:v>42395</c:v>
                </c:pt>
                <c:pt idx="52">
                  <c:v>42396</c:v>
                </c:pt>
                <c:pt idx="53">
                  <c:v>42397</c:v>
                </c:pt>
                <c:pt idx="54">
                  <c:v>42398</c:v>
                </c:pt>
                <c:pt idx="55">
                  <c:v>42401</c:v>
                </c:pt>
                <c:pt idx="56">
                  <c:v>42402</c:v>
                </c:pt>
                <c:pt idx="57">
                  <c:v>42403</c:v>
                </c:pt>
                <c:pt idx="58">
                  <c:v>42404</c:v>
                </c:pt>
                <c:pt idx="59">
                  <c:v>42405</c:v>
                </c:pt>
                <c:pt idx="60">
                  <c:v>42408</c:v>
                </c:pt>
                <c:pt idx="61">
                  <c:v>42409</c:v>
                </c:pt>
                <c:pt idx="62">
                  <c:v>42410</c:v>
                </c:pt>
                <c:pt idx="63">
                  <c:v>42411</c:v>
                </c:pt>
                <c:pt idx="64">
                  <c:v>42412</c:v>
                </c:pt>
                <c:pt idx="65">
                  <c:v>42416</c:v>
                </c:pt>
                <c:pt idx="66">
                  <c:v>42417</c:v>
                </c:pt>
                <c:pt idx="67">
                  <c:v>42418</c:v>
                </c:pt>
                <c:pt idx="68">
                  <c:v>42419</c:v>
                </c:pt>
                <c:pt idx="69">
                  <c:v>42422</c:v>
                </c:pt>
                <c:pt idx="70">
                  <c:v>42423</c:v>
                </c:pt>
                <c:pt idx="71">
                  <c:v>42424</c:v>
                </c:pt>
                <c:pt idx="72">
                  <c:v>42425</c:v>
                </c:pt>
                <c:pt idx="73">
                  <c:v>42426</c:v>
                </c:pt>
                <c:pt idx="74">
                  <c:v>42429</c:v>
                </c:pt>
                <c:pt idx="75">
                  <c:v>42430</c:v>
                </c:pt>
                <c:pt idx="76">
                  <c:v>42431</c:v>
                </c:pt>
                <c:pt idx="77">
                  <c:v>42432</c:v>
                </c:pt>
                <c:pt idx="78">
                  <c:v>42433</c:v>
                </c:pt>
                <c:pt idx="79">
                  <c:v>42436</c:v>
                </c:pt>
                <c:pt idx="80">
                  <c:v>42437</c:v>
                </c:pt>
                <c:pt idx="81">
                  <c:v>42438</c:v>
                </c:pt>
                <c:pt idx="82">
                  <c:v>42439</c:v>
                </c:pt>
                <c:pt idx="83">
                  <c:v>42440</c:v>
                </c:pt>
                <c:pt idx="84">
                  <c:v>42443</c:v>
                </c:pt>
                <c:pt idx="85">
                  <c:v>42444</c:v>
                </c:pt>
                <c:pt idx="86">
                  <c:v>42445</c:v>
                </c:pt>
                <c:pt idx="87">
                  <c:v>42446</c:v>
                </c:pt>
                <c:pt idx="88">
                  <c:v>42447</c:v>
                </c:pt>
                <c:pt idx="89">
                  <c:v>42450</c:v>
                </c:pt>
                <c:pt idx="90">
                  <c:v>42451</c:v>
                </c:pt>
                <c:pt idx="91">
                  <c:v>42452</c:v>
                </c:pt>
                <c:pt idx="92">
                  <c:v>42453</c:v>
                </c:pt>
                <c:pt idx="93">
                  <c:v>42457</c:v>
                </c:pt>
                <c:pt idx="94">
                  <c:v>42458</c:v>
                </c:pt>
                <c:pt idx="95">
                  <c:v>42459</c:v>
                </c:pt>
                <c:pt idx="96">
                  <c:v>42460</c:v>
                </c:pt>
                <c:pt idx="97">
                  <c:v>42461</c:v>
                </c:pt>
                <c:pt idx="98">
                  <c:v>42464</c:v>
                </c:pt>
                <c:pt idx="99">
                  <c:v>42465</c:v>
                </c:pt>
                <c:pt idx="100">
                  <c:v>42466</c:v>
                </c:pt>
                <c:pt idx="101">
                  <c:v>42467</c:v>
                </c:pt>
                <c:pt idx="102">
                  <c:v>42468</c:v>
                </c:pt>
                <c:pt idx="103">
                  <c:v>42471</c:v>
                </c:pt>
                <c:pt idx="104">
                  <c:v>42472</c:v>
                </c:pt>
                <c:pt idx="105">
                  <c:v>42473</c:v>
                </c:pt>
                <c:pt idx="106">
                  <c:v>42474</c:v>
                </c:pt>
                <c:pt idx="107">
                  <c:v>42475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42485</c:v>
                </c:pt>
                <c:pt idx="114">
                  <c:v>42486</c:v>
                </c:pt>
                <c:pt idx="115">
                  <c:v>42487</c:v>
                </c:pt>
                <c:pt idx="116">
                  <c:v>42488</c:v>
                </c:pt>
                <c:pt idx="117">
                  <c:v>42489</c:v>
                </c:pt>
                <c:pt idx="118">
                  <c:v>42492</c:v>
                </c:pt>
                <c:pt idx="119">
                  <c:v>42493</c:v>
                </c:pt>
                <c:pt idx="120">
                  <c:v>42494</c:v>
                </c:pt>
                <c:pt idx="121">
                  <c:v>42495</c:v>
                </c:pt>
                <c:pt idx="122">
                  <c:v>42496</c:v>
                </c:pt>
                <c:pt idx="123">
                  <c:v>42499</c:v>
                </c:pt>
                <c:pt idx="124">
                  <c:v>42500</c:v>
                </c:pt>
                <c:pt idx="125">
                  <c:v>42501</c:v>
                </c:pt>
                <c:pt idx="126">
                  <c:v>42502</c:v>
                </c:pt>
                <c:pt idx="127">
                  <c:v>42503</c:v>
                </c:pt>
                <c:pt idx="128">
                  <c:v>42506</c:v>
                </c:pt>
                <c:pt idx="129">
                  <c:v>42507</c:v>
                </c:pt>
                <c:pt idx="130">
                  <c:v>42508</c:v>
                </c:pt>
                <c:pt idx="131">
                  <c:v>42509</c:v>
                </c:pt>
                <c:pt idx="132">
                  <c:v>42510</c:v>
                </c:pt>
                <c:pt idx="133">
                  <c:v>42513</c:v>
                </c:pt>
                <c:pt idx="134">
                  <c:v>42514</c:v>
                </c:pt>
                <c:pt idx="135">
                  <c:v>42515</c:v>
                </c:pt>
                <c:pt idx="136">
                  <c:v>42516</c:v>
                </c:pt>
                <c:pt idx="137">
                  <c:v>42517</c:v>
                </c:pt>
                <c:pt idx="138">
                  <c:v>42521</c:v>
                </c:pt>
                <c:pt idx="139">
                  <c:v>42522</c:v>
                </c:pt>
                <c:pt idx="140">
                  <c:v>42523</c:v>
                </c:pt>
                <c:pt idx="141">
                  <c:v>42524</c:v>
                </c:pt>
                <c:pt idx="142">
                  <c:v>42527</c:v>
                </c:pt>
                <c:pt idx="143">
                  <c:v>42528</c:v>
                </c:pt>
                <c:pt idx="144">
                  <c:v>42529</c:v>
                </c:pt>
                <c:pt idx="145">
                  <c:v>42530</c:v>
                </c:pt>
                <c:pt idx="146">
                  <c:v>42531</c:v>
                </c:pt>
                <c:pt idx="147">
                  <c:v>42534</c:v>
                </c:pt>
                <c:pt idx="148">
                  <c:v>42535</c:v>
                </c:pt>
                <c:pt idx="149">
                  <c:v>42536</c:v>
                </c:pt>
                <c:pt idx="150">
                  <c:v>42537</c:v>
                </c:pt>
                <c:pt idx="151">
                  <c:v>42538</c:v>
                </c:pt>
                <c:pt idx="152">
                  <c:v>42541</c:v>
                </c:pt>
                <c:pt idx="153">
                  <c:v>42542</c:v>
                </c:pt>
                <c:pt idx="154">
                  <c:v>42543</c:v>
                </c:pt>
                <c:pt idx="155">
                  <c:v>42544</c:v>
                </c:pt>
                <c:pt idx="156">
                  <c:v>42545</c:v>
                </c:pt>
                <c:pt idx="157">
                  <c:v>42548</c:v>
                </c:pt>
                <c:pt idx="158">
                  <c:v>42549</c:v>
                </c:pt>
                <c:pt idx="159">
                  <c:v>42550</c:v>
                </c:pt>
                <c:pt idx="160">
                  <c:v>42551</c:v>
                </c:pt>
                <c:pt idx="161">
                  <c:v>42552</c:v>
                </c:pt>
                <c:pt idx="162">
                  <c:v>42556</c:v>
                </c:pt>
                <c:pt idx="163">
                  <c:v>42557</c:v>
                </c:pt>
                <c:pt idx="164">
                  <c:v>42558</c:v>
                </c:pt>
                <c:pt idx="165">
                  <c:v>42559</c:v>
                </c:pt>
                <c:pt idx="166">
                  <c:v>42562</c:v>
                </c:pt>
                <c:pt idx="167">
                  <c:v>42563</c:v>
                </c:pt>
                <c:pt idx="168">
                  <c:v>42564</c:v>
                </c:pt>
                <c:pt idx="169">
                  <c:v>42565</c:v>
                </c:pt>
                <c:pt idx="170">
                  <c:v>42566</c:v>
                </c:pt>
                <c:pt idx="171">
                  <c:v>42569</c:v>
                </c:pt>
                <c:pt idx="172">
                  <c:v>42570</c:v>
                </c:pt>
                <c:pt idx="173">
                  <c:v>42571</c:v>
                </c:pt>
                <c:pt idx="174">
                  <c:v>42572</c:v>
                </c:pt>
                <c:pt idx="175">
                  <c:v>42573</c:v>
                </c:pt>
                <c:pt idx="176">
                  <c:v>42576</c:v>
                </c:pt>
                <c:pt idx="177">
                  <c:v>42577</c:v>
                </c:pt>
                <c:pt idx="178">
                  <c:v>42578</c:v>
                </c:pt>
                <c:pt idx="179">
                  <c:v>42579</c:v>
                </c:pt>
                <c:pt idx="180">
                  <c:v>42580</c:v>
                </c:pt>
                <c:pt idx="181">
                  <c:v>42583</c:v>
                </c:pt>
                <c:pt idx="182">
                  <c:v>42584</c:v>
                </c:pt>
                <c:pt idx="183">
                  <c:v>42585</c:v>
                </c:pt>
                <c:pt idx="184">
                  <c:v>42586</c:v>
                </c:pt>
                <c:pt idx="185">
                  <c:v>42587</c:v>
                </c:pt>
                <c:pt idx="186">
                  <c:v>42590</c:v>
                </c:pt>
                <c:pt idx="187">
                  <c:v>42591</c:v>
                </c:pt>
                <c:pt idx="188">
                  <c:v>42592</c:v>
                </c:pt>
                <c:pt idx="189">
                  <c:v>42593</c:v>
                </c:pt>
                <c:pt idx="190">
                  <c:v>42594</c:v>
                </c:pt>
                <c:pt idx="191">
                  <c:v>42597</c:v>
                </c:pt>
                <c:pt idx="192">
                  <c:v>42598</c:v>
                </c:pt>
                <c:pt idx="193">
                  <c:v>42599</c:v>
                </c:pt>
                <c:pt idx="194">
                  <c:v>42600</c:v>
                </c:pt>
                <c:pt idx="195">
                  <c:v>42601</c:v>
                </c:pt>
                <c:pt idx="196">
                  <c:v>42604</c:v>
                </c:pt>
                <c:pt idx="197">
                  <c:v>42605</c:v>
                </c:pt>
                <c:pt idx="198">
                  <c:v>42606</c:v>
                </c:pt>
                <c:pt idx="199">
                  <c:v>42607</c:v>
                </c:pt>
                <c:pt idx="200">
                  <c:v>42608</c:v>
                </c:pt>
                <c:pt idx="201">
                  <c:v>42611</c:v>
                </c:pt>
                <c:pt idx="202">
                  <c:v>42612</c:v>
                </c:pt>
                <c:pt idx="203">
                  <c:v>42613</c:v>
                </c:pt>
                <c:pt idx="204">
                  <c:v>42614</c:v>
                </c:pt>
                <c:pt idx="205">
                  <c:v>42615</c:v>
                </c:pt>
                <c:pt idx="206">
                  <c:v>42619</c:v>
                </c:pt>
                <c:pt idx="207">
                  <c:v>42620</c:v>
                </c:pt>
                <c:pt idx="208">
                  <c:v>42621</c:v>
                </c:pt>
                <c:pt idx="209">
                  <c:v>42622</c:v>
                </c:pt>
                <c:pt idx="210">
                  <c:v>42625</c:v>
                </c:pt>
                <c:pt idx="211">
                  <c:v>42626</c:v>
                </c:pt>
                <c:pt idx="212">
                  <c:v>42627</c:v>
                </c:pt>
                <c:pt idx="213">
                  <c:v>42628</c:v>
                </c:pt>
                <c:pt idx="214">
                  <c:v>42629</c:v>
                </c:pt>
                <c:pt idx="215">
                  <c:v>42632</c:v>
                </c:pt>
                <c:pt idx="216">
                  <c:v>42633</c:v>
                </c:pt>
                <c:pt idx="217">
                  <c:v>42634</c:v>
                </c:pt>
                <c:pt idx="218">
                  <c:v>42635</c:v>
                </c:pt>
                <c:pt idx="219">
                  <c:v>42636</c:v>
                </c:pt>
                <c:pt idx="220">
                  <c:v>42639</c:v>
                </c:pt>
                <c:pt idx="221">
                  <c:v>42640</c:v>
                </c:pt>
                <c:pt idx="222">
                  <c:v>42641</c:v>
                </c:pt>
                <c:pt idx="223">
                  <c:v>42642</c:v>
                </c:pt>
                <c:pt idx="224">
                  <c:v>42643</c:v>
                </c:pt>
                <c:pt idx="225">
                  <c:v>42646</c:v>
                </c:pt>
                <c:pt idx="226">
                  <c:v>42647</c:v>
                </c:pt>
                <c:pt idx="227">
                  <c:v>42648</c:v>
                </c:pt>
                <c:pt idx="228">
                  <c:v>42649</c:v>
                </c:pt>
                <c:pt idx="229">
                  <c:v>42650</c:v>
                </c:pt>
                <c:pt idx="230">
                  <c:v>42653</c:v>
                </c:pt>
                <c:pt idx="231">
                  <c:v>42654</c:v>
                </c:pt>
                <c:pt idx="232">
                  <c:v>42655</c:v>
                </c:pt>
                <c:pt idx="233">
                  <c:v>42656</c:v>
                </c:pt>
                <c:pt idx="234">
                  <c:v>42657</c:v>
                </c:pt>
                <c:pt idx="235">
                  <c:v>42660</c:v>
                </c:pt>
                <c:pt idx="236">
                  <c:v>42661</c:v>
                </c:pt>
                <c:pt idx="237">
                  <c:v>42662</c:v>
                </c:pt>
                <c:pt idx="238">
                  <c:v>42663</c:v>
                </c:pt>
                <c:pt idx="239">
                  <c:v>42664</c:v>
                </c:pt>
                <c:pt idx="240">
                  <c:v>42667</c:v>
                </c:pt>
                <c:pt idx="241">
                  <c:v>42668</c:v>
                </c:pt>
                <c:pt idx="242">
                  <c:v>42669</c:v>
                </c:pt>
                <c:pt idx="243">
                  <c:v>42670</c:v>
                </c:pt>
                <c:pt idx="244">
                  <c:v>42671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42681</c:v>
                </c:pt>
                <c:pt idx="251">
                  <c:v>42682</c:v>
                </c:pt>
                <c:pt idx="252">
                  <c:v>42683</c:v>
                </c:pt>
                <c:pt idx="253">
                  <c:v>42684</c:v>
                </c:pt>
                <c:pt idx="254">
                  <c:v>42685</c:v>
                </c:pt>
                <c:pt idx="255">
                  <c:v>42688</c:v>
                </c:pt>
                <c:pt idx="256">
                  <c:v>42689</c:v>
                </c:pt>
                <c:pt idx="257">
                  <c:v>42690</c:v>
                </c:pt>
                <c:pt idx="258">
                  <c:v>42691</c:v>
                </c:pt>
                <c:pt idx="259">
                  <c:v>42692</c:v>
                </c:pt>
                <c:pt idx="260">
                  <c:v>42695</c:v>
                </c:pt>
                <c:pt idx="261">
                  <c:v>42696</c:v>
                </c:pt>
                <c:pt idx="262">
                  <c:v>42697</c:v>
                </c:pt>
                <c:pt idx="263">
                  <c:v>42699</c:v>
                </c:pt>
                <c:pt idx="264">
                  <c:v>42702</c:v>
                </c:pt>
                <c:pt idx="265">
                  <c:v>42703</c:v>
                </c:pt>
                <c:pt idx="266">
                  <c:v>42704</c:v>
                </c:pt>
                <c:pt idx="267">
                  <c:v>42705</c:v>
                </c:pt>
                <c:pt idx="268">
                  <c:v>42706</c:v>
                </c:pt>
                <c:pt idx="269">
                  <c:v>42709</c:v>
                </c:pt>
                <c:pt idx="270">
                  <c:v>42710</c:v>
                </c:pt>
                <c:pt idx="271">
                  <c:v>42711</c:v>
                </c:pt>
                <c:pt idx="272">
                  <c:v>42712</c:v>
                </c:pt>
                <c:pt idx="273">
                  <c:v>42713</c:v>
                </c:pt>
                <c:pt idx="274">
                  <c:v>42716</c:v>
                </c:pt>
                <c:pt idx="275">
                  <c:v>42717</c:v>
                </c:pt>
                <c:pt idx="276">
                  <c:v>42718</c:v>
                </c:pt>
                <c:pt idx="277">
                  <c:v>42719</c:v>
                </c:pt>
                <c:pt idx="278">
                  <c:v>42720</c:v>
                </c:pt>
                <c:pt idx="279">
                  <c:v>42723</c:v>
                </c:pt>
                <c:pt idx="280">
                  <c:v>42724</c:v>
                </c:pt>
                <c:pt idx="281">
                  <c:v>42725</c:v>
                </c:pt>
                <c:pt idx="282">
                  <c:v>42726</c:v>
                </c:pt>
                <c:pt idx="283">
                  <c:v>42727</c:v>
                </c:pt>
                <c:pt idx="284">
                  <c:v>42731</c:v>
                </c:pt>
                <c:pt idx="285">
                  <c:v>42732</c:v>
                </c:pt>
                <c:pt idx="286">
                  <c:v>42733</c:v>
                </c:pt>
                <c:pt idx="287">
                  <c:v>42734</c:v>
                </c:pt>
                <c:pt idx="288">
                  <c:v>42738</c:v>
                </c:pt>
                <c:pt idx="289">
                  <c:v>42739</c:v>
                </c:pt>
                <c:pt idx="290">
                  <c:v>42740</c:v>
                </c:pt>
                <c:pt idx="291">
                  <c:v>42741</c:v>
                </c:pt>
                <c:pt idx="292">
                  <c:v>42744</c:v>
                </c:pt>
                <c:pt idx="293">
                  <c:v>42745</c:v>
                </c:pt>
                <c:pt idx="294">
                  <c:v>42746</c:v>
                </c:pt>
                <c:pt idx="295">
                  <c:v>42747</c:v>
                </c:pt>
                <c:pt idx="296">
                  <c:v>42748</c:v>
                </c:pt>
                <c:pt idx="297">
                  <c:v>42752</c:v>
                </c:pt>
                <c:pt idx="298">
                  <c:v>42753</c:v>
                </c:pt>
                <c:pt idx="299">
                  <c:v>42754</c:v>
                </c:pt>
                <c:pt idx="300">
                  <c:v>42755</c:v>
                </c:pt>
                <c:pt idx="301">
                  <c:v>42758</c:v>
                </c:pt>
                <c:pt idx="302">
                  <c:v>42759</c:v>
                </c:pt>
                <c:pt idx="303">
                  <c:v>42760</c:v>
                </c:pt>
                <c:pt idx="304">
                  <c:v>42761</c:v>
                </c:pt>
                <c:pt idx="305">
                  <c:v>42762</c:v>
                </c:pt>
                <c:pt idx="306">
                  <c:v>42765</c:v>
                </c:pt>
                <c:pt idx="307">
                  <c:v>42766</c:v>
                </c:pt>
                <c:pt idx="308">
                  <c:v>42767</c:v>
                </c:pt>
                <c:pt idx="309">
                  <c:v>42768</c:v>
                </c:pt>
                <c:pt idx="310">
                  <c:v>42769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42779</c:v>
                </c:pt>
                <c:pt idx="317">
                  <c:v>42780</c:v>
                </c:pt>
                <c:pt idx="318">
                  <c:v>42781</c:v>
                </c:pt>
                <c:pt idx="319">
                  <c:v>42782</c:v>
                </c:pt>
                <c:pt idx="320">
                  <c:v>42783</c:v>
                </c:pt>
                <c:pt idx="321">
                  <c:v>42787</c:v>
                </c:pt>
                <c:pt idx="322">
                  <c:v>42788</c:v>
                </c:pt>
                <c:pt idx="323">
                  <c:v>42789</c:v>
                </c:pt>
                <c:pt idx="324">
                  <c:v>42790</c:v>
                </c:pt>
                <c:pt idx="325">
                  <c:v>42793</c:v>
                </c:pt>
                <c:pt idx="326">
                  <c:v>42794</c:v>
                </c:pt>
                <c:pt idx="327">
                  <c:v>42795</c:v>
                </c:pt>
                <c:pt idx="328">
                  <c:v>42796</c:v>
                </c:pt>
                <c:pt idx="329">
                  <c:v>42797</c:v>
                </c:pt>
                <c:pt idx="330">
                  <c:v>42800</c:v>
                </c:pt>
                <c:pt idx="331">
                  <c:v>42801</c:v>
                </c:pt>
                <c:pt idx="332">
                  <c:v>42802</c:v>
                </c:pt>
                <c:pt idx="333">
                  <c:v>42803</c:v>
                </c:pt>
                <c:pt idx="334">
                  <c:v>42804</c:v>
                </c:pt>
                <c:pt idx="335">
                  <c:v>42807</c:v>
                </c:pt>
                <c:pt idx="336">
                  <c:v>42808</c:v>
                </c:pt>
                <c:pt idx="337">
                  <c:v>42809</c:v>
                </c:pt>
                <c:pt idx="338">
                  <c:v>42810</c:v>
                </c:pt>
                <c:pt idx="339">
                  <c:v>42811</c:v>
                </c:pt>
                <c:pt idx="340">
                  <c:v>42814</c:v>
                </c:pt>
                <c:pt idx="341">
                  <c:v>42815</c:v>
                </c:pt>
                <c:pt idx="342">
                  <c:v>42816</c:v>
                </c:pt>
                <c:pt idx="343">
                  <c:v>42817</c:v>
                </c:pt>
                <c:pt idx="344">
                  <c:v>42818</c:v>
                </c:pt>
                <c:pt idx="345">
                  <c:v>42821</c:v>
                </c:pt>
                <c:pt idx="346">
                  <c:v>42822</c:v>
                </c:pt>
                <c:pt idx="347">
                  <c:v>42823</c:v>
                </c:pt>
                <c:pt idx="348">
                  <c:v>42824</c:v>
                </c:pt>
                <c:pt idx="349">
                  <c:v>42825</c:v>
                </c:pt>
                <c:pt idx="350">
                  <c:v>42828</c:v>
                </c:pt>
                <c:pt idx="351">
                  <c:v>42829</c:v>
                </c:pt>
                <c:pt idx="352">
                  <c:v>42830</c:v>
                </c:pt>
                <c:pt idx="353">
                  <c:v>42831</c:v>
                </c:pt>
                <c:pt idx="354">
                  <c:v>42832</c:v>
                </c:pt>
                <c:pt idx="355">
                  <c:v>42835</c:v>
                </c:pt>
                <c:pt idx="356">
                  <c:v>42836</c:v>
                </c:pt>
                <c:pt idx="357">
                  <c:v>42837</c:v>
                </c:pt>
                <c:pt idx="358">
                  <c:v>42838</c:v>
                </c:pt>
                <c:pt idx="359">
                  <c:v>42842</c:v>
                </c:pt>
                <c:pt idx="360">
                  <c:v>42843</c:v>
                </c:pt>
                <c:pt idx="361">
                  <c:v>42844</c:v>
                </c:pt>
                <c:pt idx="362">
                  <c:v>42845</c:v>
                </c:pt>
                <c:pt idx="363">
                  <c:v>42846</c:v>
                </c:pt>
                <c:pt idx="364">
                  <c:v>42849</c:v>
                </c:pt>
                <c:pt idx="365">
                  <c:v>42850</c:v>
                </c:pt>
                <c:pt idx="366">
                  <c:v>42851</c:v>
                </c:pt>
                <c:pt idx="367">
                  <c:v>42852</c:v>
                </c:pt>
                <c:pt idx="368">
                  <c:v>42853</c:v>
                </c:pt>
                <c:pt idx="369">
                  <c:v>42856</c:v>
                </c:pt>
                <c:pt idx="370">
                  <c:v>42857</c:v>
                </c:pt>
                <c:pt idx="371">
                  <c:v>42858</c:v>
                </c:pt>
                <c:pt idx="372">
                  <c:v>42859</c:v>
                </c:pt>
                <c:pt idx="373">
                  <c:v>42860</c:v>
                </c:pt>
                <c:pt idx="374">
                  <c:v>42863</c:v>
                </c:pt>
                <c:pt idx="375">
                  <c:v>42864</c:v>
                </c:pt>
                <c:pt idx="376">
                  <c:v>42865</c:v>
                </c:pt>
                <c:pt idx="377">
                  <c:v>42866</c:v>
                </c:pt>
                <c:pt idx="378">
                  <c:v>42867</c:v>
                </c:pt>
                <c:pt idx="379">
                  <c:v>42870</c:v>
                </c:pt>
                <c:pt idx="380">
                  <c:v>42871</c:v>
                </c:pt>
                <c:pt idx="381">
                  <c:v>42872</c:v>
                </c:pt>
                <c:pt idx="382">
                  <c:v>42873</c:v>
                </c:pt>
                <c:pt idx="383">
                  <c:v>42874</c:v>
                </c:pt>
                <c:pt idx="384">
                  <c:v>42877</c:v>
                </c:pt>
                <c:pt idx="385">
                  <c:v>42878</c:v>
                </c:pt>
                <c:pt idx="386">
                  <c:v>42879</c:v>
                </c:pt>
                <c:pt idx="387">
                  <c:v>42880</c:v>
                </c:pt>
                <c:pt idx="388">
                  <c:v>42881</c:v>
                </c:pt>
                <c:pt idx="389">
                  <c:v>42885</c:v>
                </c:pt>
                <c:pt idx="390">
                  <c:v>42886</c:v>
                </c:pt>
                <c:pt idx="391">
                  <c:v>42887</c:v>
                </c:pt>
                <c:pt idx="392">
                  <c:v>42888</c:v>
                </c:pt>
                <c:pt idx="393">
                  <c:v>42891</c:v>
                </c:pt>
                <c:pt idx="394">
                  <c:v>42892</c:v>
                </c:pt>
                <c:pt idx="395">
                  <c:v>42893</c:v>
                </c:pt>
                <c:pt idx="396">
                  <c:v>42894</c:v>
                </c:pt>
                <c:pt idx="397">
                  <c:v>42895</c:v>
                </c:pt>
                <c:pt idx="398">
                  <c:v>42898</c:v>
                </c:pt>
                <c:pt idx="399">
                  <c:v>42899</c:v>
                </c:pt>
                <c:pt idx="400">
                  <c:v>42900</c:v>
                </c:pt>
                <c:pt idx="401">
                  <c:v>42901</c:v>
                </c:pt>
                <c:pt idx="402">
                  <c:v>42902</c:v>
                </c:pt>
                <c:pt idx="403">
                  <c:v>42905</c:v>
                </c:pt>
                <c:pt idx="404">
                  <c:v>42906</c:v>
                </c:pt>
                <c:pt idx="405">
                  <c:v>42907</c:v>
                </c:pt>
                <c:pt idx="406">
                  <c:v>42908</c:v>
                </c:pt>
                <c:pt idx="407">
                  <c:v>42909</c:v>
                </c:pt>
                <c:pt idx="408">
                  <c:v>42912</c:v>
                </c:pt>
                <c:pt idx="409">
                  <c:v>42913</c:v>
                </c:pt>
                <c:pt idx="410">
                  <c:v>42914</c:v>
                </c:pt>
                <c:pt idx="411">
                  <c:v>42915</c:v>
                </c:pt>
                <c:pt idx="412">
                  <c:v>42916</c:v>
                </c:pt>
                <c:pt idx="413">
                  <c:v>42919</c:v>
                </c:pt>
                <c:pt idx="414">
                  <c:v>42921</c:v>
                </c:pt>
                <c:pt idx="415">
                  <c:v>42922</c:v>
                </c:pt>
                <c:pt idx="416">
                  <c:v>42923</c:v>
                </c:pt>
                <c:pt idx="417">
                  <c:v>42926</c:v>
                </c:pt>
                <c:pt idx="418">
                  <c:v>42927</c:v>
                </c:pt>
                <c:pt idx="419">
                  <c:v>42928</c:v>
                </c:pt>
                <c:pt idx="420">
                  <c:v>42929</c:v>
                </c:pt>
                <c:pt idx="421">
                  <c:v>42930</c:v>
                </c:pt>
                <c:pt idx="422">
                  <c:v>42933</c:v>
                </c:pt>
                <c:pt idx="423">
                  <c:v>42934</c:v>
                </c:pt>
                <c:pt idx="424">
                  <c:v>42935</c:v>
                </c:pt>
                <c:pt idx="425">
                  <c:v>42936</c:v>
                </c:pt>
                <c:pt idx="426">
                  <c:v>42937</c:v>
                </c:pt>
                <c:pt idx="427">
                  <c:v>42940</c:v>
                </c:pt>
                <c:pt idx="428">
                  <c:v>42941</c:v>
                </c:pt>
                <c:pt idx="429">
                  <c:v>42942</c:v>
                </c:pt>
                <c:pt idx="430">
                  <c:v>42943</c:v>
                </c:pt>
                <c:pt idx="431">
                  <c:v>42944</c:v>
                </c:pt>
                <c:pt idx="432">
                  <c:v>42947</c:v>
                </c:pt>
                <c:pt idx="433">
                  <c:v>42948</c:v>
                </c:pt>
                <c:pt idx="434">
                  <c:v>42949</c:v>
                </c:pt>
                <c:pt idx="435">
                  <c:v>42950</c:v>
                </c:pt>
                <c:pt idx="436">
                  <c:v>42951</c:v>
                </c:pt>
                <c:pt idx="437">
                  <c:v>42954</c:v>
                </c:pt>
                <c:pt idx="438">
                  <c:v>42955</c:v>
                </c:pt>
                <c:pt idx="439">
                  <c:v>42956</c:v>
                </c:pt>
                <c:pt idx="440">
                  <c:v>42957</c:v>
                </c:pt>
                <c:pt idx="441">
                  <c:v>42958</c:v>
                </c:pt>
                <c:pt idx="442">
                  <c:v>42961</c:v>
                </c:pt>
                <c:pt idx="443">
                  <c:v>42962</c:v>
                </c:pt>
                <c:pt idx="444">
                  <c:v>42963</c:v>
                </c:pt>
                <c:pt idx="445">
                  <c:v>42964</c:v>
                </c:pt>
                <c:pt idx="446">
                  <c:v>42965</c:v>
                </c:pt>
                <c:pt idx="447">
                  <c:v>42968</c:v>
                </c:pt>
                <c:pt idx="448">
                  <c:v>42969</c:v>
                </c:pt>
                <c:pt idx="449">
                  <c:v>42970</c:v>
                </c:pt>
                <c:pt idx="450">
                  <c:v>42971</c:v>
                </c:pt>
                <c:pt idx="451">
                  <c:v>42972</c:v>
                </c:pt>
                <c:pt idx="452">
                  <c:v>42975</c:v>
                </c:pt>
                <c:pt idx="453">
                  <c:v>42976</c:v>
                </c:pt>
                <c:pt idx="454">
                  <c:v>42977</c:v>
                </c:pt>
                <c:pt idx="455">
                  <c:v>42978</c:v>
                </c:pt>
                <c:pt idx="456">
                  <c:v>42979</c:v>
                </c:pt>
                <c:pt idx="457">
                  <c:v>42983</c:v>
                </c:pt>
                <c:pt idx="458">
                  <c:v>42984</c:v>
                </c:pt>
                <c:pt idx="459">
                  <c:v>42985</c:v>
                </c:pt>
                <c:pt idx="460">
                  <c:v>42986</c:v>
                </c:pt>
                <c:pt idx="461">
                  <c:v>42989</c:v>
                </c:pt>
                <c:pt idx="462">
                  <c:v>42990</c:v>
                </c:pt>
                <c:pt idx="463">
                  <c:v>42991</c:v>
                </c:pt>
                <c:pt idx="464">
                  <c:v>42992</c:v>
                </c:pt>
                <c:pt idx="465">
                  <c:v>42993</c:v>
                </c:pt>
                <c:pt idx="466">
                  <c:v>42996</c:v>
                </c:pt>
                <c:pt idx="467">
                  <c:v>42997</c:v>
                </c:pt>
                <c:pt idx="468">
                  <c:v>42998</c:v>
                </c:pt>
                <c:pt idx="469">
                  <c:v>42999</c:v>
                </c:pt>
                <c:pt idx="470">
                  <c:v>43000</c:v>
                </c:pt>
                <c:pt idx="471">
                  <c:v>43003</c:v>
                </c:pt>
                <c:pt idx="472">
                  <c:v>43004</c:v>
                </c:pt>
                <c:pt idx="473">
                  <c:v>43005</c:v>
                </c:pt>
                <c:pt idx="474">
                  <c:v>43006</c:v>
                </c:pt>
                <c:pt idx="475">
                  <c:v>43007</c:v>
                </c:pt>
                <c:pt idx="476">
                  <c:v>43010</c:v>
                </c:pt>
                <c:pt idx="477">
                  <c:v>43011</c:v>
                </c:pt>
                <c:pt idx="478">
                  <c:v>43012</c:v>
                </c:pt>
                <c:pt idx="479">
                  <c:v>43013</c:v>
                </c:pt>
                <c:pt idx="480">
                  <c:v>43014</c:v>
                </c:pt>
                <c:pt idx="481">
                  <c:v>43017</c:v>
                </c:pt>
                <c:pt idx="482">
                  <c:v>43018</c:v>
                </c:pt>
                <c:pt idx="483">
                  <c:v>43019</c:v>
                </c:pt>
                <c:pt idx="484">
                  <c:v>43020</c:v>
                </c:pt>
                <c:pt idx="485">
                  <c:v>43021</c:v>
                </c:pt>
                <c:pt idx="486">
                  <c:v>43024</c:v>
                </c:pt>
                <c:pt idx="487">
                  <c:v>43025</c:v>
                </c:pt>
                <c:pt idx="488">
                  <c:v>43026</c:v>
                </c:pt>
                <c:pt idx="489">
                  <c:v>43027</c:v>
                </c:pt>
                <c:pt idx="490">
                  <c:v>43028</c:v>
                </c:pt>
                <c:pt idx="491">
                  <c:v>43031</c:v>
                </c:pt>
                <c:pt idx="492">
                  <c:v>43032</c:v>
                </c:pt>
                <c:pt idx="493">
                  <c:v>43033</c:v>
                </c:pt>
                <c:pt idx="494">
                  <c:v>43034</c:v>
                </c:pt>
                <c:pt idx="495">
                  <c:v>43035</c:v>
                </c:pt>
                <c:pt idx="496">
                  <c:v>43038</c:v>
                </c:pt>
                <c:pt idx="497">
                  <c:v>43039</c:v>
                </c:pt>
                <c:pt idx="498">
                  <c:v>43040</c:v>
                </c:pt>
                <c:pt idx="499">
                  <c:v>43041</c:v>
                </c:pt>
                <c:pt idx="500">
                  <c:v>43042</c:v>
                </c:pt>
                <c:pt idx="501">
                  <c:v>43045</c:v>
                </c:pt>
                <c:pt idx="502">
                  <c:v>43046</c:v>
                </c:pt>
                <c:pt idx="503">
                  <c:v>43047</c:v>
                </c:pt>
                <c:pt idx="504">
                  <c:v>43048</c:v>
                </c:pt>
                <c:pt idx="505">
                  <c:v>43049</c:v>
                </c:pt>
                <c:pt idx="506">
                  <c:v>43052</c:v>
                </c:pt>
                <c:pt idx="507">
                  <c:v>43053</c:v>
                </c:pt>
                <c:pt idx="508">
                  <c:v>43054</c:v>
                </c:pt>
                <c:pt idx="509">
                  <c:v>43055</c:v>
                </c:pt>
                <c:pt idx="510">
                  <c:v>43056</c:v>
                </c:pt>
                <c:pt idx="511">
                  <c:v>43059</c:v>
                </c:pt>
                <c:pt idx="512">
                  <c:v>43060</c:v>
                </c:pt>
                <c:pt idx="513">
                  <c:v>43061</c:v>
                </c:pt>
                <c:pt idx="514">
                  <c:v>43063</c:v>
                </c:pt>
                <c:pt idx="515">
                  <c:v>43066</c:v>
                </c:pt>
                <c:pt idx="516">
                  <c:v>43067</c:v>
                </c:pt>
                <c:pt idx="517">
                  <c:v>43068</c:v>
                </c:pt>
                <c:pt idx="518">
                  <c:v>43069</c:v>
                </c:pt>
                <c:pt idx="519">
                  <c:v>43070</c:v>
                </c:pt>
                <c:pt idx="520">
                  <c:v>43073</c:v>
                </c:pt>
                <c:pt idx="521">
                  <c:v>43074</c:v>
                </c:pt>
                <c:pt idx="522">
                  <c:v>43075</c:v>
                </c:pt>
                <c:pt idx="523">
                  <c:v>43076</c:v>
                </c:pt>
                <c:pt idx="524">
                  <c:v>43077</c:v>
                </c:pt>
                <c:pt idx="525">
                  <c:v>43080</c:v>
                </c:pt>
                <c:pt idx="526">
                  <c:v>43081</c:v>
                </c:pt>
                <c:pt idx="527">
                  <c:v>43082</c:v>
                </c:pt>
                <c:pt idx="528">
                  <c:v>43083</c:v>
                </c:pt>
                <c:pt idx="529">
                  <c:v>43084</c:v>
                </c:pt>
                <c:pt idx="530">
                  <c:v>43087</c:v>
                </c:pt>
                <c:pt idx="531">
                  <c:v>43088</c:v>
                </c:pt>
                <c:pt idx="532">
                  <c:v>43089</c:v>
                </c:pt>
                <c:pt idx="533">
                  <c:v>43090</c:v>
                </c:pt>
                <c:pt idx="534">
                  <c:v>43091</c:v>
                </c:pt>
                <c:pt idx="535">
                  <c:v>43095</c:v>
                </c:pt>
                <c:pt idx="536">
                  <c:v>43096</c:v>
                </c:pt>
                <c:pt idx="537">
                  <c:v>43097</c:v>
                </c:pt>
                <c:pt idx="538">
                  <c:v>43098</c:v>
                </c:pt>
                <c:pt idx="539">
                  <c:v>43102</c:v>
                </c:pt>
                <c:pt idx="540">
                  <c:v>43103</c:v>
                </c:pt>
                <c:pt idx="541">
                  <c:v>43104</c:v>
                </c:pt>
                <c:pt idx="542">
                  <c:v>43105</c:v>
                </c:pt>
                <c:pt idx="543">
                  <c:v>43108</c:v>
                </c:pt>
                <c:pt idx="544">
                  <c:v>43109</c:v>
                </c:pt>
                <c:pt idx="545">
                  <c:v>43110</c:v>
                </c:pt>
                <c:pt idx="546">
                  <c:v>43111</c:v>
                </c:pt>
                <c:pt idx="547">
                  <c:v>43112</c:v>
                </c:pt>
                <c:pt idx="548">
                  <c:v>43116</c:v>
                </c:pt>
                <c:pt idx="549">
                  <c:v>43117</c:v>
                </c:pt>
                <c:pt idx="550">
                  <c:v>43118</c:v>
                </c:pt>
                <c:pt idx="551">
                  <c:v>43119</c:v>
                </c:pt>
                <c:pt idx="552">
                  <c:v>43122</c:v>
                </c:pt>
                <c:pt idx="553">
                  <c:v>43123</c:v>
                </c:pt>
                <c:pt idx="554">
                  <c:v>43124</c:v>
                </c:pt>
                <c:pt idx="555">
                  <c:v>43125</c:v>
                </c:pt>
                <c:pt idx="556">
                  <c:v>43126</c:v>
                </c:pt>
                <c:pt idx="557">
                  <c:v>43129</c:v>
                </c:pt>
                <c:pt idx="558">
                  <c:v>43130</c:v>
                </c:pt>
                <c:pt idx="559">
                  <c:v>43131</c:v>
                </c:pt>
                <c:pt idx="560">
                  <c:v>43132</c:v>
                </c:pt>
                <c:pt idx="561">
                  <c:v>43133</c:v>
                </c:pt>
                <c:pt idx="562">
                  <c:v>43136</c:v>
                </c:pt>
                <c:pt idx="563">
                  <c:v>43137</c:v>
                </c:pt>
                <c:pt idx="564">
                  <c:v>43138</c:v>
                </c:pt>
                <c:pt idx="565">
                  <c:v>43139</c:v>
                </c:pt>
                <c:pt idx="566">
                  <c:v>43140</c:v>
                </c:pt>
                <c:pt idx="567">
                  <c:v>43143</c:v>
                </c:pt>
                <c:pt idx="568">
                  <c:v>43144</c:v>
                </c:pt>
                <c:pt idx="569">
                  <c:v>43145</c:v>
                </c:pt>
                <c:pt idx="570">
                  <c:v>43146</c:v>
                </c:pt>
                <c:pt idx="571">
                  <c:v>43147</c:v>
                </c:pt>
                <c:pt idx="572">
                  <c:v>43151</c:v>
                </c:pt>
                <c:pt idx="573">
                  <c:v>43152</c:v>
                </c:pt>
                <c:pt idx="574">
                  <c:v>43153</c:v>
                </c:pt>
                <c:pt idx="575">
                  <c:v>43154</c:v>
                </c:pt>
                <c:pt idx="576">
                  <c:v>43157</c:v>
                </c:pt>
                <c:pt idx="577">
                  <c:v>43158</c:v>
                </c:pt>
                <c:pt idx="578">
                  <c:v>43159</c:v>
                </c:pt>
                <c:pt idx="579">
                  <c:v>43160</c:v>
                </c:pt>
                <c:pt idx="580">
                  <c:v>43161</c:v>
                </c:pt>
                <c:pt idx="581">
                  <c:v>43164</c:v>
                </c:pt>
                <c:pt idx="582">
                  <c:v>43165</c:v>
                </c:pt>
                <c:pt idx="583">
                  <c:v>43166</c:v>
                </c:pt>
                <c:pt idx="584">
                  <c:v>43167</c:v>
                </c:pt>
                <c:pt idx="585">
                  <c:v>43168</c:v>
                </c:pt>
                <c:pt idx="586">
                  <c:v>43171</c:v>
                </c:pt>
                <c:pt idx="587">
                  <c:v>43172</c:v>
                </c:pt>
                <c:pt idx="588">
                  <c:v>43173</c:v>
                </c:pt>
                <c:pt idx="589">
                  <c:v>43174</c:v>
                </c:pt>
                <c:pt idx="590">
                  <c:v>43175</c:v>
                </c:pt>
                <c:pt idx="591">
                  <c:v>43178</c:v>
                </c:pt>
                <c:pt idx="592">
                  <c:v>43179</c:v>
                </c:pt>
                <c:pt idx="593">
                  <c:v>43180</c:v>
                </c:pt>
                <c:pt idx="594">
                  <c:v>43181</c:v>
                </c:pt>
                <c:pt idx="595">
                  <c:v>43182</c:v>
                </c:pt>
                <c:pt idx="596">
                  <c:v>43185</c:v>
                </c:pt>
                <c:pt idx="597">
                  <c:v>43186</c:v>
                </c:pt>
                <c:pt idx="598">
                  <c:v>43187</c:v>
                </c:pt>
                <c:pt idx="599">
                  <c:v>43188</c:v>
                </c:pt>
                <c:pt idx="600">
                  <c:v>43192</c:v>
                </c:pt>
                <c:pt idx="601">
                  <c:v>43193</c:v>
                </c:pt>
                <c:pt idx="602">
                  <c:v>43194</c:v>
                </c:pt>
                <c:pt idx="603">
                  <c:v>43195</c:v>
                </c:pt>
                <c:pt idx="604">
                  <c:v>43196</c:v>
                </c:pt>
                <c:pt idx="605">
                  <c:v>43199</c:v>
                </c:pt>
                <c:pt idx="606">
                  <c:v>43200</c:v>
                </c:pt>
                <c:pt idx="607">
                  <c:v>43201</c:v>
                </c:pt>
                <c:pt idx="608">
                  <c:v>43202</c:v>
                </c:pt>
                <c:pt idx="609">
                  <c:v>43203</c:v>
                </c:pt>
                <c:pt idx="610">
                  <c:v>43206</c:v>
                </c:pt>
                <c:pt idx="611">
                  <c:v>43207</c:v>
                </c:pt>
                <c:pt idx="612">
                  <c:v>43208</c:v>
                </c:pt>
                <c:pt idx="613">
                  <c:v>43209</c:v>
                </c:pt>
                <c:pt idx="614">
                  <c:v>43210</c:v>
                </c:pt>
                <c:pt idx="615">
                  <c:v>43213</c:v>
                </c:pt>
                <c:pt idx="616">
                  <c:v>43214</c:v>
                </c:pt>
                <c:pt idx="617">
                  <c:v>43215</c:v>
                </c:pt>
                <c:pt idx="618">
                  <c:v>43216</c:v>
                </c:pt>
                <c:pt idx="619">
                  <c:v>43217</c:v>
                </c:pt>
                <c:pt idx="620">
                  <c:v>43220</c:v>
                </c:pt>
                <c:pt idx="621">
                  <c:v>43221</c:v>
                </c:pt>
                <c:pt idx="622">
                  <c:v>43222</c:v>
                </c:pt>
                <c:pt idx="623">
                  <c:v>43223</c:v>
                </c:pt>
                <c:pt idx="624">
                  <c:v>43224</c:v>
                </c:pt>
                <c:pt idx="625">
                  <c:v>43227</c:v>
                </c:pt>
                <c:pt idx="626">
                  <c:v>43228</c:v>
                </c:pt>
                <c:pt idx="627">
                  <c:v>43229</c:v>
                </c:pt>
                <c:pt idx="628">
                  <c:v>43230</c:v>
                </c:pt>
                <c:pt idx="629">
                  <c:v>43231</c:v>
                </c:pt>
                <c:pt idx="630">
                  <c:v>43234</c:v>
                </c:pt>
                <c:pt idx="631">
                  <c:v>43235</c:v>
                </c:pt>
                <c:pt idx="632">
                  <c:v>43236</c:v>
                </c:pt>
                <c:pt idx="633">
                  <c:v>43237</c:v>
                </c:pt>
                <c:pt idx="634">
                  <c:v>43238</c:v>
                </c:pt>
                <c:pt idx="635">
                  <c:v>43241</c:v>
                </c:pt>
                <c:pt idx="636">
                  <c:v>43242</c:v>
                </c:pt>
                <c:pt idx="637">
                  <c:v>43243</c:v>
                </c:pt>
                <c:pt idx="638">
                  <c:v>43244</c:v>
                </c:pt>
                <c:pt idx="639">
                  <c:v>43245</c:v>
                </c:pt>
                <c:pt idx="640">
                  <c:v>43249</c:v>
                </c:pt>
                <c:pt idx="641">
                  <c:v>43250</c:v>
                </c:pt>
                <c:pt idx="642">
                  <c:v>43251</c:v>
                </c:pt>
                <c:pt idx="643">
                  <c:v>43252</c:v>
                </c:pt>
                <c:pt idx="644">
                  <c:v>43255</c:v>
                </c:pt>
                <c:pt idx="645">
                  <c:v>43256</c:v>
                </c:pt>
                <c:pt idx="646">
                  <c:v>43257</c:v>
                </c:pt>
                <c:pt idx="647">
                  <c:v>43258</c:v>
                </c:pt>
                <c:pt idx="648">
                  <c:v>43259</c:v>
                </c:pt>
                <c:pt idx="649">
                  <c:v>43262</c:v>
                </c:pt>
                <c:pt idx="650">
                  <c:v>43263</c:v>
                </c:pt>
                <c:pt idx="651">
                  <c:v>43264</c:v>
                </c:pt>
                <c:pt idx="652">
                  <c:v>43265</c:v>
                </c:pt>
                <c:pt idx="653">
                  <c:v>43266</c:v>
                </c:pt>
                <c:pt idx="654">
                  <c:v>43269</c:v>
                </c:pt>
                <c:pt idx="655">
                  <c:v>43270</c:v>
                </c:pt>
                <c:pt idx="656">
                  <c:v>43271</c:v>
                </c:pt>
                <c:pt idx="657">
                  <c:v>43272</c:v>
                </c:pt>
                <c:pt idx="658">
                  <c:v>43273</c:v>
                </c:pt>
                <c:pt idx="659">
                  <c:v>43276</c:v>
                </c:pt>
                <c:pt idx="660">
                  <c:v>43277</c:v>
                </c:pt>
                <c:pt idx="661">
                  <c:v>43278</c:v>
                </c:pt>
                <c:pt idx="662">
                  <c:v>43279</c:v>
                </c:pt>
                <c:pt idx="663">
                  <c:v>43280</c:v>
                </c:pt>
                <c:pt idx="664">
                  <c:v>43283</c:v>
                </c:pt>
                <c:pt idx="665">
                  <c:v>43284</c:v>
                </c:pt>
                <c:pt idx="666">
                  <c:v>43286</c:v>
                </c:pt>
                <c:pt idx="667">
                  <c:v>43287</c:v>
                </c:pt>
                <c:pt idx="668">
                  <c:v>43290</c:v>
                </c:pt>
                <c:pt idx="669">
                  <c:v>43291</c:v>
                </c:pt>
                <c:pt idx="670">
                  <c:v>43292</c:v>
                </c:pt>
                <c:pt idx="671">
                  <c:v>43293</c:v>
                </c:pt>
                <c:pt idx="672">
                  <c:v>43294</c:v>
                </c:pt>
                <c:pt idx="673">
                  <c:v>43297</c:v>
                </c:pt>
                <c:pt idx="674">
                  <c:v>43298</c:v>
                </c:pt>
                <c:pt idx="675">
                  <c:v>43299</c:v>
                </c:pt>
                <c:pt idx="676">
                  <c:v>43300</c:v>
                </c:pt>
                <c:pt idx="677">
                  <c:v>43301</c:v>
                </c:pt>
                <c:pt idx="678">
                  <c:v>43304</c:v>
                </c:pt>
                <c:pt idx="679">
                  <c:v>43305</c:v>
                </c:pt>
                <c:pt idx="680">
                  <c:v>43306</c:v>
                </c:pt>
                <c:pt idx="681">
                  <c:v>43307</c:v>
                </c:pt>
                <c:pt idx="682">
                  <c:v>43308</c:v>
                </c:pt>
                <c:pt idx="683">
                  <c:v>43311</c:v>
                </c:pt>
                <c:pt idx="684">
                  <c:v>43312</c:v>
                </c:pt>
                <c:pt idx="685">
                  <c:v>43313</c:v>
                </c:pt>
                <c:pt idx="686">
                  <c:v>43314</c:v>
                </c:pt>
                <c:pt idx="687">
                  <c:v>43315</c:v>
                </c:pt>
                <c:pt idx="688">
                  <c:v>43318</c:v>
                </c:pt>
                <c:pt idx="689">
                  <c:v>43319</c:v>
                </c:pt>
                <c:pt idx="690">
                  <c:v>43320</c:v>
                </c:pt>
                <c:pt idx="691">
                  <c:v>43321</c:v>
                </c:pt>
                <c:pt idx="692">
                  <c:v>43322</c:v>
                </c:pt>
                <c:pt idx="693">
                  <c:v>43325</c:v>
                </c:pt>
                <c:pt idx="694">
                  <c:v>43326</c:v>
                </c:pt>
                <c:pt idx="695">
                  <c:v>43327</c:v>
                </c:pt>
                <c:pt idx="696">
                  <c:v>43328</c:v>
                </c:pt>
                <c:pt idx="697">
                  <c:v>43329</c:v>
                </c:pt>
                <c:pt idx="698">
                  <c:v>43332</c:v>
                </c:pt>
                <c:pt idx="699">
                  <c:v>43333</c:v>
                </c:pt>
                <c:pt idx="700">
                  <c:v>43334</c:v>
                </c:pt>
                <c:pt idx="701">
                  <c:v>43335</c:v>
                </c:pt>
                <c:pt idx="702">
                  <c:v>43336</c:v>
                </c:pt>
                <c:pt idx="703">
                  <c:v>43339</c:v>
                </c:pt>
                <c:pt idx="704">
                  <c:v>43340</c:v>
                </c:pt>
                <c:pt idx="705">
                  <c:v>43341</c:v>
                </c:pt>
                <c:pt idx="706">
                  <c:v>43342</c:v>
                </c:pt>
                <c:pt idx="707">
                  <c:v>43343</c:v>
                </c:pt>
                <c:pt idx="708">
                  <c:v>43347</c:v>
                </c:pt>
                <c:pt idx="709">
                  <c:v>43348</c:v>
                </c:pt>
                <c:pt idx="710">
                  <c:v>43349</c:v>
                </c:pt>
                <c:pt idx="711">
                  <c:v>43350</c:v>
                </c:pt>
                <c:pt idx="712">
                  <c:v>43353</c:v>
                </c:pt>
                <c:pt idx="713">
                  <c:v>43354</c:v>
                </c:pt>
                <c:pt idx="714">
                  <c:v>43355</c:v>
                </c:pt>
                <c:pt idx="715">
                  <c:v>43356</c:v>
                </c:pt>
                <c:pt idx="716">
                  <c:v>43357</c:v>
                </c:pt>
                <c:pt idx="717">
                  <c:v>43360</c:v>
                </c:pt>
                <c:pt idx="718">
                  <c:v>43361</c:v>
                </c:pt>
                <c:pt idx="719">
                  <c:v>43362</c:v>
                </c:pt>
                <c:pt idx="720">
                  <c:v>43363</c:v>
                </c:pt>
                <c:pt idx="721">
                  <c:v>43364</c:v>
                </c:pt>
                <c:pt idx="722">
                  <c:v>43367</c:v>
                </c:pt>
                <c:pt idx="723">
                  <c:v>43368</c:v>
                </c:pt>
                <c:pt idx="724">
                  <c:v>43369</c:v>
                </c:pt>
                <c:pt idx="725">
                  <c:v>43370</c:v>
                </c:pt>
                <c:pt idx="726">
                  <c:v>43371</c:v>
                </c:pt>
                <c:pt idx="727">
                  <c:v>43374</c:v>
                </c:pt>
                <c:pt idx="728">
                  <c:v>43375</c:v>
                </c:pt>
                <c:pt idx="729">
                  <c:v>43376</c:v>
                </c:pt>
                <c:pt idx="730">
                  <c:v>43377</c:v>
                </c:pt>
                <c:pt idx="731">
                  <c:v>43378</c:v>
                </c:pt>
                <c:pt idx="732">
                  <c:v>43381</c:v>
                </c:pt>
                <c:pt idx="733">
                  <c:v>43382</c:v>
                </c:pt>
                <c:pt idx="734">
                  <c:v>43383</c:v>
                </c:pt>
                <c:pt idx="735">
                  <c:v>43384</c:v>
                </c:pt>
                <c:pt idx="736">
                  <c:v>43385</c:v>
                </c:pt>
                <c:pt idx="737">
                  <c:v>43388</c:v>
                </c:pt>
              </c:numCache>
            </c:numRef>
          </c:xVal>
          <c:yVal>
            <c:numRef>
              <c:f>'tesla-stock-price'!$D$21:$D$758</c:f>
              <c:numCache>
                <c:formatCode>General</c:formatCode>
                <c:ptCount val="738"/>
                <c:pt idx="7">
                  <c:v>216.46</c:v>
                </c:pt>
                <c:pt idx="8">
                  <c:v>218.95666666666668</c:v>
                </c:pt>
                <c:pt idx="9">
                  <c:v>220.96</c:v>
                </c:pt>
                <c:pt idx="10">
                  <c:v>219.85333333333332</c:v>
                </c:pt>
                <c:pt idx="11">
                  <c:v>218.67</c:v>
                </c:pt>
                <c:pt idx="12">
                  <c:v>221.88</c:v>
                </c:pt>
                <c:pt idx="13">
                  <c:v>226.5</c:v>
                </c:pt>
                <c:pt idx="14">
                  <c:v>230.50333333333333</c:v>
                </c:pt>
                <c:pt idx="15">
                  <c:v>233.01999999999998</c:v>
                </c:pt>
                <c:pt idx="16">
                  <c:v>233.14666666666668</c:v>
                </c:pt>
                <c:pt idx="17">
                  <c:v>233.96333333333334</c:v>
                </c:pt>
                <c:pt idx="18">
                  <c:v>231.69333333333336</c:v>
                </c:pt>
                <c:pt idx="19">
                  <c:v>231.40666666666667</c:v>
                </c:pt>
                <c:pt idx="20">
                  <c:v>229.41</c:v>
                </c:pt>
                <c:pt idx="21">
                  <c:v>227.45666666666668</c:v>
                </c:pt>
                <c:pt idx="22">
                  <c:v>226.10333333333332</c:v>
                </c:pt>
                <c:pt idx="23">
                  <c:v>222.87</c:v>
                </c:pt>
                <c:pt idx="24">
                  <c:v>220.89000000000001</c:v>
                </c:pt>
                <c:pt idx="25">
                  <c:v>218.89666666666668</c:v>
                </c:pt>
                <c:pt idx="26">
                  <c:v>224.72666666666669</c:v>
                </c:pt>
                <c:pt idx="27">
                  <c:v>229.66333333333333</c:v>
                </c:pt>
                <c:pt idx="28">
                  <c:v>232.78666666666666</c:v>
                </c:pt>
                <c:pt idx="29">
                  <c:v>232.13666666666668</c:v>
                </c:pt>
                <c:pt idx="30">
                  <c:v>230.99</c:v>
                </c:pt>
                <c:pt idx="31">
                  <c:v>230.73666666666668</c:v>
                </c:pt>
                <c:pt idx="32">
                  <c:v>230.07333333333335</c:v>
                </c:pt>
                <c:pt idx="33">
                  <c:v>229.74</c:v>
                </c:pt>
                <c:pt idx="34">
                  <c:v>232.23666666666668</c:v>
                </c:pt>
                <c:pt idx="35">
                  <c:v>234.74333333333334</c:v>
                </c:pt>
                <c:pt idx="36">
                  <c:v>238.42999999999998</c:v>
                </c:pt>
                <c:pt idx="37">
                  <c:v>233.83666666666667</c:v>
                </c:pt>
                <c:pt idx="38">
                  <c:v>228.94999999999996</c:v>
                </c:pt>
                <c:pt idx="39">
                  <c:v>221.96</c:v>
                </c:pt>
                <c:pt idx="40">
                  <c:v>219.37333333333333</c:v>
                </c:pt>
                <c:pt idx="41">
                  <c:v>215.23000000000002</c:v>
                </c:pt>
                <c:pt idx="42">
                  <c:v>211.5</c:v>
                </c:pt>
                <c:pt idx="43">
                  <c:v>209.60666666666668</c:v>
                </c:pt>
                <c:pt idx="44">
                  <c:v>206.04333333333332</c:v>
                </c:pt>
                <c:pt idx="45">
                  <c:v>205.48666666666668</c:v>
                </c:pt>
                <c:pt idx="46">
                  <c:v>203.82666666666668</c:v>
                </c:pt>
                <c:pt idx="47">
                  <c:v>205.29666666666665</c:v>
                </c:pt>
                <c:pt idx="48">
                  <c:v>202.80333333333337</c:v>
                </c:pt>
                <c:pt idx="49">
                  <c:v>201.13</c:v>
                </c:pt>
                <c:pt idx="50">
                  <c:v>200.40666666666667</c:v>
                </c:pt>
                <c:pt idx="51">
                  <c:v>199.63333333333333</c:v>
                </c:pt>
                <c:pt idx="52">
                  <c:v>197.49666666666667</c:v>
                </c:pt>
                <c:pt idx="53">
                  <c:v>192.67</c:v>
                </c:pt>
                <c:pt idx="54">
                  <c:v>190.4433333333333</c:v>
                </c:pt>
                <c:pt idx="55">
                  <c:v>189.65666666666667</c:v>
                </c:pt>
                <c:pt idx="56">
                  <c:v>192.61333333333332</c:v>
                </c:pt>
                <c:pt idx="57">
                  <c:v>190.30666666666664</c:v>
                </c:pt>
                <c:pt idx="58">
                  <c:v>184.4</c:v>
                </c:pt>
                <c:pt idx="59">
                  <c:v>177.19666666666669</c:v>
                </c:pt>
                <c:pt idx="60">
                  <c:v>170.47</c:v>
                </c:pt>
                <c:pt idx="61">
                  <c:v>161.97333333333333</c:v>
                </c:pt>
                <c:pt idx="62">
                  <c:v>152.94666666666669</c:v>
                </c:pt>
                <c:pt idx="63">
                  <c:v>146.63666666666666</c:v>
                </c:pt>
                <c:pt idx="64">
                  <c:v>147.46333333333334</c:v>
                </c:pt>
                <c:pt idx="65">
                  <c:v>148.39333333333332</c:v>
                </c:pt>
                <c:pt idx="66">
                  <c:v>152.22666666666666</c:v>
                </c:pt>
                <c:pt idx="67">
                  <c:v>158.29666666666665</c:v>
                </c:pt>
                <c:pt idx="68">
                  <c:v>163.54</c:v>
                </c:pt>
                <c:pt idx="69">
                  <c:v>167.34333333333336</c:v>
                </c:pt>
                <c:pt idx="70">
                  <c:v>170.36333333333334</c:v>
                </c:pt>
                <c:pt idx="71">
                  <c:v>173.84333333333336</c:v>
                </c:pt>
                <c:pt idx="72">
                  <c:v>177.98333333333335</c:v>
                </c:pt>
                <c:pt idx="73">
                  <c:v>181.21333333333337</c:v>
                </c:pt>
                <c:pt idx="74">
                  <c:v>185.59</c:v>
                </c:pt>
                <c:pt idx="75">
                  <c:v>189.9</c:v>
                </c:pt>
                <c:pt idx="76">
                  <c:v>189.54</c:v>
                </c:pt>
                <c:pt idx="77">
                  <c:v>188.87333333333333</c:v>
                </c:pt>
                <c:pt idx="78">
                  <c:v>190.14333333333335</c:v>
                </c:pt>
                <c:pt idx="79">
                  <c:v>195.04</c:v>
                </c:pt>
                <c:pt idx="80">
                  <c:v>200.68999999999997</c:v>
                </c:pt>
                <c:pt idx="81">
                  <c:v>202.97666666666666</c:v>
                </c:pt>
                <c:pt idx="82">
                  <c:v>205.53666666666666</c:v>
                </c:pt>
                <c:pt idx="83">
                  <c:v>205.5</c:v>
                </c:pt>
                <c:pt idx="84">
                  <c:v>207.13333333333333</c:v>
                </c:pt>
                <c:pt idx="85">
                  <c:v>209.27666666666667</c:v>
                </c:pt>
                <c:pt idx="86">
                  <c:v>213.66333333333333</c:v>
                </c:pt>
                <c:pt idx="87">
                  <c:v>218.47333333333336</c:v>
                </c:pt>
                <c:pt idx="88">
                  <c:v>222.21666666666667</c:v>
                </c:pt>
                <c:pt idx="89">
                  <c:v>227.01666666666665</c:v>
                </c:pt>
                <c:pt idx="90">
                  <c:v>232.48000000000002</c:v>
                </c:pt>
                <c:pt idx="91">
                  <c:v>235.1</c:v>
                </c:pt>
                <c:pt idx="92">
                  <c:v>231.71333333333334</c:v>
                </c:pt>
                <c:pt idx="93">
                  <c:v>228.19000000000003</c:v>
                </c:pt>
                <c:pt idx="94">
                  <c:v>226.86333333333334</c:v>
                </c:pt>
                <c:pt idx="95">
                  <c:v>229.38</c:v>
                </c:pt>
                <c:pt idx="96">
                  <c:v>229.09333333333333</c:v>
                </c:pt>
                <c:pt idx="97">
                  <c:v>228.92999999999998</c:v>
                </c:pt>
                <c:pt idx="98">
                  <c:v>231.41666666666666</c:v>
                </c:pt>
                <c:pt idx="99">
                  <c:v>238.11666666666667</c:v>
                </c:pt>
                <c:pt idx="100">
                  <c:v>246.68333333333337</c:v>
                </c:pt>
                <c:pt idx="101">
                  <c:v>255.96000000000004</c:v>
                </c:pt>
                <c:pt idx="102">
                  <c:v>259.36333333333329</c:v>
                </c:pt>
                <c:pt idx="103">
                  <c:v>257.56333333333333</c:v>
                </c:pt>
                <c:pt idx="104">
                  <c:v>252.39666666666665</c:v>
                </c:pt>
                <c:pt idx="105">
                  <c:v>249.26999999999998</c:v>
                </c:pt>
                <c:pt idx="106">
                  <c:v>250.75666666666666</c:v>
                </c:pt>
                <c:pt idx="107">
                  <c:v>251.40333333333334</c:v>
                </c:pt>
                <c:pt idx="108">
                  <c:v>253.63333333333333</c:v>
                </c:pt>
                <c:pt idx="109">
                  <c:v>253.41666666666666</c:v>
                </c:pt>
                <c:pt idx="110">
                  <c:v>251.92</c:v>
                </c:pt>
                <c:pt idx="111">
                  <c:v>250.40666666666667</c:v>
                </c:pt>
                <c:pt idx="112">
                  <c:v>248.54333333333332</c:v>
                </c:pt>
                <c:pt idx="113">
                  <c:v>250.67</c:v>
                </c:pt>
                <c:pt idx="114">
                  <c:v>251.28666666666663</c:v>
                </c:pt>
                <c:pt idx="115">
                  <c:v>253.10333333333332</c:v>
                </c:pt>
                <c:pt idx="116">
                  <c:v>252.34333333333333</c:v>
                </c:pt>
                <c:pt idx="117">
                  <c:v>250.97333333333336</c:v>
                </c:pt>
                <c:pt idx="118">
                  <c:v>246.64666666666668</c:v>
                </c:pt>
                <c:pt idx="119">
                  <c:v>243.42333333333332</c:v>
                </c:pt>
                <c:pt idx="120">
                  <c:v>238.29333333333332</c:v>
                </c:pt>
                <c:pt idx="121">
                  <c:v>232.22666666666669</c:v>
                </c:pt>
                <c:pt idx="122">
                  <c:v>222.13666666666666</c:v>
                </c:pt>
                <c:pt idx="123">
                  <c:v>216.34</c:v>
                </c:pt>
                <c:pt idx="124">
                  <c:v>211.79333333333332</c:v>
                </c:pt>
                <c:pt idx="125">
                  <c:v>210.84666666666666</c:v>
                </c:pt>
                <c:pt idx="126">
                  <c:v>208.85666666666668</c:v>
                </c:pt>
                <c:pt idx="127">
                  <c:v>208.30999999999997</c:v>
                </c:pt>
                <c:pt idx="128">
                  <c:v>207.95000000000002</c:v>
                </c:pt>
                <c:pt idx="129">
                  <c:v>207.72666666666666</c:v>
                </c:pt>
                <c:pt idx="130">
                  <c:v>206.85333333333332</c:v>
                </c:pt>
                <c:pt idx="131">
                  <c:v>208.04</c:v>
                </c:pt>
                <c:pt idx="132">
                  <c:v>210.34666666666666</c:v>
                </c:pt>
                <c:pt idx="133">
                  <c:v>215.55333333333331</c:v>
                </c:pt>
                <c:pt idx="134">
                  <c:v>217.23666666666668</c:v>
                </c:pt>
                <c:pt idx="135">
                  <c:v>218.13666666666666</c:v>
                </c:pt>
                <c:pt idx="136">
                  <c:v>217.90333333333334</c:v>
                </c:pt>
                <c:pt idx="137">
                  <c:v>220.87</c:v>
                </c:pt>
                <c:pt idx="138">
                  <c:v>222.58</c:v>
                </c:pt>
                <c:pt idx="139">
                  <c:v>223.79666666666665</c:v>
                </c:pt>
                <c:pt idx="140">
                  <c:v>221.9433333333333</c:v>
                </c:pt>
                <c:pt idx="141">
                  <c:v>220.58333333333334</c:v>
                </c:pt>
                <c:pt idx="142">
                  <c:v>219.17</c:v>
                </c:pt>
                <c:pt idx="143">
                  <c:v>219.54333333333338</c:v>
                </c:pt>
                <c:pt idx="144">
                  <c:v>224.00333333333333</c:v>
                </c:pt>
                <c:pt idx="145">
                  <c:v>229.51333333333332</c:v>
                </c:pt>
                <c:pt idx="146">
                  <c:v>232.40666666666667</c:v>
                </c:pt>
                <c:pt idx="147">
                  <c:v>227.89</c:v>
                </c:pt>
                <c:pt idx="148">
                  <c:v>222.00666666666666</c:v>
                </c:pt>
                <c:pt idx="149">
                  <c:v>217.20666666666668</c:v>
                </c:pt>
                <c:pt idx="150">
                  <c:v>216.84333333333333</c:v>
                </c:pt>
                <c:pt idx="151">
                  <c:v>216.86333333333332</c:v>
                </c:pt>
                <c:pt idx="152">
                  <c:v>217.03333333333333</c:v>
                </c:pt>
                <c:pt idx="153">
                  <c:v>217.69999999999996</c:v>
                </c:pt>
                <c:pt idx="154">
                  <c:v>218.26</c:v>
                </c:pt>
                <c:pt idx="155">
                  <c:v>211.99</c:v>
                </c:pt>
                <c:pt idx="156">
                  <c:v>204.22333333333333</c:v>
                </c:pt>
                <c:pt idx="157">
                  <c:v>195.40333333333334</c:v>
                </c:pt>
                <c:pt idx="158">
                  <c:v>196.03333333333333</c:v>
                </c:pt>
                <c:pt idx="159">
                  <c:v>197.83</c:v>
                </c:pt>
                <c:pt idx="160">
                  <c:v>203.51</c:v>
                </c:pt>
                <c:pt idx="161">
                  <c:v>208.08666666666667</c:v>
                </c:pt>
                <c:pt idx="162">
                  <c:v>212.99</c:v>
                </c:pt>
                <c:pt idx="163">
                  <c:v>214.25333333333333</c:v>
                </c:pt>
                <c:pt idx="164">
                  <c:v>214.97333333333336</c:v>
                </c:pt>
                <c:pt idx="165">
                  <c:v>214.78666666666663</c:v>
                </c:pt>
                <c:pt idx="166">
                  <c:v>215.72</c:v>
                </c:pt>
                <c:pt idx="167">
                  <c:v>219.16666666666666</c:v>
                </c:pt>
                <c:pt idx="168">
                  <c:v>222.07000000000002</c:v>
                </c:pt>
                <c:pt idx="169">
                  <c:v>223.98666666666668</c:v>
                </c:pt>
                <c:pt idx="170">
                  <c:v>222.90333333333334</c:v>
                </c:pt>
                <c:pt idx="171">
                  <c:v>221.48666666666668</c:v>
                </c:pt>
                <c:pt idx="172">
                  <c:v>222.72666666666669</c:v>
                </c:pt>
                <c:pt idx="173">
                  <c:v>223.97</c:v>
                </c:pt>
                <c:pt idx="174">
                  <c:v>226.62333333333333</c:v>
                </c:pt>
                <c:pt idx="175">
                  <c:v>224.70666666666668</c:v>
                </c:pt>
                <c:pt idx="176">
                  <c:v>223.71</c:v>
                </c:pt>
                <c:pt idx="177">
                  <c:v>224.26</c:v>
                </c:pt>
                <c:pt idx="178">
                  <c:v>227.26333333333332</c:v>
                </c:pt>
                <c:pt idx="179">
                  <c:v>229.33666666666667</c:v>
                </c:pt>
                <c:pt idx="180">
                  <c:v>229.53666666666666</c:v>
                </c:pt>
                <c:pt idx="181">
                  <c:v>231.29666666666665</c:v>
                </c:pt>
                <c:pt idx="182">
                  <c:v>231.80333333333331</c:v>
                </c:pt>
                <c:pt idx="183">
                  <c:v>230.66666666666666</c:v>
                </c:pt>
                <c:pt idx="184">
                  <c:v>227.66666666666666</c:v>
                </c:pt>
                <c:pt idx="185">
                  <c:v>227.86666666666667</c:v>
                </c:pt>
                <c:pt idx="186">
                  <c:v>228.80999999999997</c:v>
                </c:pt>
                <c:pt idx="187">
                  <c:v>228.93333333333331</c:v>
                </c:pt>
                <c:pt idx="188">
                  <c:v>228.42333333333332</c:v>
                </c:pt>
                <c:pt idx="189">
                  <c:v>226.96333333333334</c:v>
                </c:pt>
                <c:pt idx="190">
                  <c:v>226.54666666666665</c:v>
                </c:pt>
                <c:pt idx="191">
                  <c:v>225.39000000000001</c:v>
                </c:pt>
                <c:pt idx="192">
                  <c:v>225.37</c:v>
                </c:pt>
                <c:pt idx="193">
                  <c:v>224.9366666666667</c:v>
                </c:pt>
                <c:pt idx="194">
                  <c:v>224.14666666666668</c:v>
                </c:pt>
                <c:pt idx="195">
                  <c:v>223.45333333333335</c:v>
                </c:pt>
                <c:pt idx="196">
                  <c:v>223.91666666666666</c:v>
                </c:pt>
                <c:pt idx="197">
                  <c:v>223.81333333333336</c:v>
                </c:pt>
                <c:pt idx="198">
                  <c:v>224.25666666666666</c:v>
                </c:pt>
                <c:pt idx="199">
                  <c:v>223.46333333333334</c:v>
                </c:pt>
                <c:pt idx="200">
                  <c:v>222.8066666666667</c:v>
                </c:pt>
                <c:pt idx="201">
                  <c:v>221.19000000000003</c:v>
                </c:pt>
                <c:pt idx="202">
                  <c:v>218.7166666666667</c:v>
                </c:pt>
                <c:pt idx="203">
                  <c:v>215.51</c:v>
                </c:pt>
                <c:pt idx="204">
                  <c:v>212.85</c:v>
                </c:pt>
                <c:pt idx="205">
                  <c:v>208.04</c:v>
                </c:pt>
                <c:pt idx="206">
                  <c:v>203.51999999999998</c:v>
                </c:pt>
                <c:pt idx="207">
                  <c:v>200.46</c:v>
                </c:pt>
                <c:pt idx="208">
                  <c:v>200.77333333333334</c:v>
                </c:pt>
                <c:pt idx="209">
                  <c:v>200.63333333333335</c:v>
                </c:pt>
                <c:pt idx="210">
                  <c:v>197.84666666666669</c:v>
                </c:pt>
                <c:pt idx="211">
                  <c:v>196.71000000000004</c:v>
                </c:pt>
                <c:pt idx="212">
                  <c:v>196.27333333333331</c:v>
                </c:pt>
                <c:pt idx="213">
                  <c:v>196.92</c:v>
                </c:pt>
                <c:pt idx="214">
                  <c:v>197.62666666666667</c:v>
                </c:pt>
                <c:pt idx="215">
                  <c:v>200.74333333333334</c:v>
                </c:pt>
                <c:pt idx="216">
                  <c:v>204.05333333333331</c:v>
                </c:pt>
                <c:pt idx="217">
                  <c:v>205.46</c:v>
                </c:pt>
                <c:pt idx="218">
                  <c:v>205.4</c:v>
                </c:pt>
                <c:pt idx="219">
                  <c:v>205.42999999999998</c:v>
                </c:pt>
                <c:pt idx="220">
                  <c:v>206.36666666666665</c:v>
                </c:pt>
                <c:pt idx="221">
                  <c:v>207.62333333333333</c:v>
                </c:pt>
                <c:pt idx="222">
                  <c:v>207.41666666666666</c:v>
                </c:pt>
                <c:pt idx="223">
                  <c:v>207.02333333333334</c:v>
                </c:pt>
                <c:pt idx="224">
                  <c:v>204.26</c:v>
                </c:pt>
                <c:pt idx="225">
                  <c:v>203.66666666666666</c:v>
                </c:pt>
                <c:pt idx="226">
                  <c:v>206.14333333333335</c:v>
                </c:pt>
                <c:pt idx="227">
                  <c:v>209.71333333333334</c:v>
                </c:pt>
                <c:pt idx="228">
                  <c:v>211.19000000000003</c:v>
                </c:pt>
                <c:pt idx="229">
                  <c:v>206.95666666666668</c:v>
                </c:pt>
                <c:pt idx="230">
                  <c:v>202.02333333333334</c:v>
                </c:pt>
                <c:pt idx="231">
                  <c:v>199.51999999999998</c:v>
                </c:pt>
                <c:pt idx="232">
                  <c:v>199.22</c:v>
                </c:pt>
                <c:pt idx="233">
                  <c:v>200.85333333333332</c:v>
                </c:pt>
                <c:pt idx="234">
                  <c:v>200.61666666666667</c:v>
                </c:pt>
                <c:pt idx="235">
                  <c:v>199.42</c:v>
                </c:pt>
                <c:pt idx="236">
                  <c:v>196.90333333333334</c:v>
                </c:pt>
                <c:pt idx="237">
                  <c:v>196.52333333333334</c:v>
                </c:pt>
                <c:pt idx="238">
                  <c:v>198.87333333333333</c:v>
                </c:pt>
                <c:pt idx="239">
                  <c:v>200.58666666666667</c:v>
                </c:pt>
                <c:pt idx="240">
                  <c:v>200.91666666666666</c:v>
                </c:pt>
                <c:pt idx="241">
                  <c:v>200.65</c:v>
                </c:pt>
                <c:pt idx="242">
                  <c:v>201.73000000000002</c:v>
                </c:pt>
                <c:pt idx="243">
                  <c:v>202.44666666666669</c:v>
                </c:pt>
                <c:pt idx="244">
                  <c:v>202.86333333333334</c:v>
                </c:pt>
                <c:pt idx="245">
                  <c:v>202.07333333333335</c:v>
                </c:pt>
                <c:pt idx="246">
                  <c:v>200.57000000000002</c:v>
                </c:pt>
                <c:pt idx="247">
                  <c:v>196.16333333333333</c:v>
                </c:pt>
                <c:pt idx="248">
                  <c:v>192.17999999999998</c:v>
                </c:pt>
                <c:pt idx="249">
                  <c:v>188.74333333333334</c:v>
                </c:pt>
                <c:pt idx="250">
                  <c:v>188.66666666666666</c:v>
                </c:pt>
                <c:pt idx="251">
                  <c:v>190.39666666666668</c:v>
                </c:pt>
                <c:pt idx="252">
                  <c:v>192.90333333333334</c:v>
                </c:pt>
                <c:pt idx="253">
                  <c:v>192.73666666666668</c:v>
                </c:pt>
                <c:pt idx="254">
                  <c:v>190.11666666666667</c:v>
                </c:pt>
                <c:pt idx="255">
                  <c:v>187.99</c:v>
                </c:pt>
                <c:pt idx="256">
                  <c:v>185.11999999999998</c:v>
                </c:pt>
                <c:pt idx="257">
                  <c:v>184.59333333333333</c:v>
                </c:pt>
                <c:pt idx="258">
                  <c:v>183.05000000000004</c:v>
                </c:pt>
                <c:pt idx="259">
                  <c:v>185.45333333333335</c:v>
                </c:pt>
                <c:pt idx="260">
                  <c:v>185.87</c:v>
                </c:pt>
                <c:pt idx="261">
                  <c:v>186.06666666666669</c:v>
                </c:pt>
                <c:pt idx="262">
                  <c:v>186.90333333333334</c:v>
                </c:pt>
                <c:pt idx="263">
                  <c:v>189.60999999999999</c:v>
                </c:pt>
                <c:pt idx="264">
                  <c:v>193.65333333333331</c:v>
                </c:pt>
                <c:pt idx="265">
                  <c:v>195.30333333333331</c:v>
                </c:pt>
                <c:pt idx="266">
                  <c:v>194.11333333333332</c:v>
                </c:pt>
                <c:pt idx="267">
                  <c:v>191.69666666666669</c:v>
                </c:pt>
                <c:pt idx="268">
                  <c:v>186.95000000000002</c:v>
                </c:pt>
                <c:pt idx="269">
                  <c:v>184.25</c:v>
                </c:pt>
                <c:pt idx="270">
                  <c:v>183.38333333333335</c:v>
                </c:pt>
                <c:pt idx="271">
                  <c:v>184.70666666666668</c:v>
                </c:pt>
                <c:pt idx="272">
                  <c:v>188.6</c:v>
                </c:pt>
                <c:pt idx="273">
                  <c:v>190.42999999999998</c:v>
                </c:pt>
                <c:pt idx="274">
                  <c:v>192.54</c:v>
                </c:pt>
                <c:pt idx="275">
                  <c:v>192.30000000000004</c:v>
                </c:pt>
                <c:pt idx="276">
                  <c:v>194.25333333333333</c:v>
                </c:pt>
                <c:pt idx="277">
                  <c:v>196.42333333333332</c:v>
                </c:pt>
                <c:pt idx="278">
                  <c:v>198.14000000000001</c:v>
                </c:pt>
                <c:pt idx="279">
                  <c:v>199.58666666666667</c:v>
                </c:pt>
                <c:pt idx="280">
                  <c:v>200.93333333333337</c:v>
                </c:pt>
                <c:pt idx="281">
                  <c:v>204.67</c:v>
                </c:pt>
                <c:pt idx="282">
                  <c:v>206.40666666666667</c:v>
                </c:pt>
                <c:pt idx="283">
                  <c:v>208.31333333333336</c:v>
                </c:pt>
                <c:pt idx="284">
                  <c:v>209.83</c:v>
                </c:pt>
                <c:pt idx="285">
                  <c:v>213.77333333333331</c:v>
                </c:pt>
                <c:pt idx="286">
                  <c:v>217.53666666666666</c:v>
                </c:pt>
                <c:pt idx="287">
                  <c:v>217.98333333333335</c:v>
                </c:pt>
                <c:pt idx="288">
                  <c:v>216.03666666666666</c:v>
                </c:pt>
                <c:pt idx="289">
                  <c:v>215.12</c:v>
                </c:pt>
                <c:pt idx="290">
                  <c:v>219.22333333333336</c:v>
                </c:pt>
                <c:pt idx="291">
                  <c:v>223.57666666666668</c:v>
                </c:pt>
                <c:pt idx="292">
                  <c:v>227.58333333333334</c:v>
                </c:pt>
                <c:pt idx="293">
                  <c:v>229.01333333333332</c:v>
                </c:pt>
                <c:pt idx="294">
                  <c:v>230.05333333333331</c:v>
                </c:pt>
                <c:pt idx="295">
                  <c:v>230.29333333333332</c:v>
                </c:pt>
                <c:pt idx="296">
                  <c:v>229.73000000000002</c:v>
                </c:pt>
                <c:pt idx="297">
                  <c:v>232.35666666666665</c:v>
                </c:pt>
                <c:pt idx="298">
                  <c:v>234.3066666666667</c:v>
                </c:pt>
                <c:pt idx="299">
                  <c:v>237.23000000000002</c:v>
                </c:pt>
                <c:pt idx="300">
                  <c:v>239.23333333333335</c:v>
                </c:pt>
                <c:pt idx="301">
                  <c:v>242.28333333333333</c:v>
                </c:pt>
                <c:pt idx="302">
                  <c:v>245.80333333333331</c:v>
                </c:pt>
                <c:pt idx="303">
                  <c:v>249.42</c:v>
                </c:pt>
                <c:pt idx="304">
                  <c:v>252.66666666666666</c:v>
                </c:pt>
                <c:pt idx="305">
                  <c:v>253.86333333333334</c:v>
                </c:pt>
                <c:pt idx="306">
                  <c:v>253.31000000000003</c:v>
                </c:pt>
                <c:pt idx="307">
                  <c:v>252.02999999999997</c:v>
                </c:pt>
                <c:pt idx="308">
                  <c:v>251.83666666666667</c:v>
                </c:pt>
                <c:pt idx="309">
                  <c:v>250.6</c:v>
                </c:pt>
                <c:pt idx="310">
                  <c:v>250.90666666666667</c:v>
                </c:pt>
                <c:pt idx="311">
                  <c:v>250.70666666666668</c:v>
                </c:pt>
                <c:pt idx="312">
                  <c:v>253.54999999999998</c:v>
                </c:pt>
                <c:pt idx="313">
                  <c:v>255.52666666666667</c:v>
                </c:pt>
                <c:pt idx="314">
                  <c:v>259.10999999999996</c:v>
                </c:pt>
                <c:pt idx="315">
                  <c:v>262.92</c:v>
                </c:pt>
                <c:pt idx="316">
                  <c:v>266.83666666666664</c:v>
                </c:pt>
                <c:pt idx="317">
                  <c:v>273.01000000000005</c:v>
                </c:pt>
                <c:pt idx="318">
                  <c:v>276.93666666666667</c:v>
                </c:pt>
                <c:pt idx="319">
                  <c:v>280.44666666666666</c:v>
                </c:pt>
                <c:pt idx="320">
                  <c:v>276.56333333333333</c:v>
                </c:pt>
                <c:pt idx="321">
                  <c:v>273.6466666666667</c:v>
                </c:pt>
                <c:pt idx="322">
                  <c:v>272.85666666666668</c:v>
                </c:pt>
                <c:pt idx="323">
                  <c:v>274.37666666666667</c:v>
                </c:pt>
                <c:pt idx="324">
                  <c:v>268.96333333333331</c:v>
                </c:pt>
                <c:pt idx="325">
                  <c:v>262.16666666666669</c:v>
                </c:pt>
                <c:pt idx="326">
                  <c:v>253.07333333333335</c:v>
                </c:pt>
                <c:pt idx="327">
                  <c:v>251.07333333333335</c:v>
                </c:pt>
                <c:pt idx="328">
                  <c:v>248.74666666666667</c:v>
                </c:pt>
                <c:pt idx="329">
                  <c:v>250.16333333333333</c:v>
                </c:pt>
                <c:pt idx="330">
                  <c:v>250.68999999999997</c:v>
                </c:pt>
                <c:pt idx="331">
                  <c:v>251.08666666666667</c:v>
                </c:pt>
                <c:pt idx="332">
                  <c:v>250.45666666666668</c:v>
                </c:pt>
                <c:pt idx="333">
                  <c:v>248.89000000000001</c:v>
                </c:pt>
                <c:pt idx="334">
                  <c:v>246.78666666666666</c:v>
                </c:pt>
                <c:pt idx="335">
                  <c:v>245.15333333333334</c:v>
                </c:pt>
                <c:pt idx="336">
                  <c:v>244.92</c:v>
                </c:pt>
                <c:pt idx="337">
                  <c:v>249.28666666666666</c:v>
                </c:pt>
                <c:pt idx="338">
                  <c:v>253.29999999999998</c:v>
                </c:pt>
                <c:pt idx="339">
                  <c:v>258.59333333333331</c:v>
                </c:pt>
                <c:pt idx="340">
                  <c:v>259.76</c:v>
                </c:pt>
                <c:pt idx="341">
                  <c:v>261.82333333333332</c:v>
                </c:pt>
                <c:pt idx="342">
                  <c:v>258.03333333333336</c:v>
                </c:pt>
                <c:pt idx="343">
                  <c:v>255.87</c:v>
                </c:pt>
                <c:pt idx="344">
                  <c:v>253.49</c:v>
                </c:pt>
                <c:pt idx="345">
                  <c:v>257.65000000000003</c:v>
                </c:pt>
                <c:pt idx="346">
                  <c:v>262.72000000000003</c:v>
                </c:pt>
                <c:pt idx="347">
                  <c:v>270.2766666666667</c:v>
                </c:pt>
                <c:pt idx="348">
                  <c:v>275.01666666666671</c:v>
                </c:pt>
                <c:pt idx="349">
                  <c:v>277.58333333333331</c:v>
                </c:pt>
                <c:pt idx="350">
                  <c:v>277.86666666666662</c:v>
                </c:pt>
                <c:pt idx="351">
                  <c:v>284.91333333333336</c:v>
                </c:pt>
                <c:pt idx="352">
                  <c:v>293.50666666666666</c:v>
                </c:pt>
                <c:pt idx="353">
                  <c:v>299.07333333333332</c:v>
                </c:pt>
                <c:pt idx="354">
                  <c:v>299.13333333333338</c:v>
                </c:pt>
                <c:pt idx="355">
                  <c:v>298.74666666666667</c:v>
                </c:pt>
                <c:pt idx="356">
                  <c:v>304.54333333333335</c:v>
                </c:pt>
                <c:pt idx="357">
                  <c:v>307.88000000000005</c:v>
                </c:pt>
                <c:pt idx="358">
                  <c:v>305.97999999999996</c:v>
                </c:pt>
                <c:pt idx="359">
                  <c:v>303.18333333333334</c:v>
                </c:pt>
                <c:pt idx="360">
                  <c:v>300.76</c:v>
                </c:pt>
                <c:pt idx="361">
                  <c:v>301.8966666666667</c:v>
                </c:pt>
                <c:pt idx="362">
                  <c:v>302.40333333333336</c:v>
                </c:pt>
                <c:pt idx="363">
                  <c:v>302.76</c:v>
                </c:pt>
                <c:pt idx="364">
                  <c:v>304.54333333333335</c:v>
                </c:pt>
                <c:pt idx="365">
                  <c:v>305.38</c:v>
                </c:pt>
                <c:pt idx="366">
                  <c:v>309.14000000000004</c:v>
                </c:pt>
                <c:pt idx="367">
                  <c:v>310.66333333333336</c:v>
                </c:pt>
                <c:pt idx="368">
                  <c:v>310.86333333333334</c:v>
                </c:pt>
                <c:pt idx="369">
                  <c:v>310.95666666666665</c:v>
                </c:pt>
                <c:pt idx="370">
                  <c:v>315.17666666666668</c:v>
                </c:pt>
                <c:pt idx="371">
                  <c:v>318.59666666666664</c:v>
                </c:pt>
                <c:pt idx="372">
                  <c:v>317.58</c:v>
                </c:pt>
                <c:pt idx="373">
                  <c:v>308.45666666666665</c:v>
                </c:pt>
                <c:pt idx="374">
                  <c:v>304.94333333333333</c:v>
                </c:pt>
                <c:pt idx="375">
                  <c:v>303.66666666666669</c:v>
                </c:pt>
                <c:pt idx="376">
                  <c:v>312.26666666666665</c:v>
                </c:pt>
                <c:pt idx="377">
                  <c:v>317.89000000000004</c:v>
                </c:pt>
                <c:pt idx="378">
                  <c:v>323.19333333333333</c:v>
                </c:pt>
                <c:pt idx="379">
                  <c:v>324.37666666666672</c:v>
                </c:pt>
                <c:pt idx="380">
                  <c:v>321.26333333333338</c:v>
                </c:pt>
                <c:pt idx="381">
                  <c:v>319.23333333333335</c:v>
                </c:pt>
                <c:pt idx="382">
                  <c:v>313</c:v>
                </c:pt>
                <c:pt idx="383">
                  <c:v>312.06</c:v>
                </c:pt>
                <c:pt idx="384">
                  <c:v>310</c:v>
                </c:pt>
                <c:pt idx="385">
                  <c:v>311.41333333333336</c:v>
                </c:pt>
                <c:pt idx="386">
                  <c:v>308.34666666666669</c:v>
                </c:pt>
                <c:pt idx="387">
                  <c:v>308.14333333333337</c:v>
                </c:pt>
                <c:pt idx="388">
                  <c:v>310.30333333333334</c:v>
                </c:pt>
                <c:pt idx="389">
                  <c:v>317.39666666666665</c:v>
                </c:pt>
                <c:pt idx="390">
                  <c:v>325.69</c:v>
                </c:pt>
                <c:pt idx="391">
                  <c:v>333.75</c:v>
                </c:pt>
                <c:pt idx="392">
                  <c:v>338.82666666666665</c:v>
                </c:pt>
                <c:pt idx="393">
                  <c:v>340.41</c:v>
                </c:pt>
                <c:pt idx="394">
                  <c:v>342.51333333333332</c:v>
                </c:pt>
                <c:pt idx="395">
                  <c:v>346.67333333333335</c:v>
                </c:pt>
                <c:pt idx="396">
                  <c:v>353.27333333333337</c:v>
                </c:pt>
                <c:pt idx="397">
                  <c:v>360.83333333333331</c:v>
                </c:pt>
                <c:pt idx="398">
                  <c:v>362.32333333333332</c:v>
                </c:pt>
                <c:pt idx="399">
                  <c:v>362.10999999999996</c:v>
                </c:pt>
                <c:pt idx="400">
                  <c:v>364.09333333333331</c:v>
                </c:pt>
                <c:pt idx="401">
                  <c:v>371.87333333333339</c:v>
                </c:pt>
                <c:pt idx="402">
                  <c:v>377.31666666666666</c:v>
                </c:pt>
                <c:pt idx="403">
                  <c:v>375.8</c:v>
                </c:pt>
                <c:pt idx="404">
                  <c:v>372.18</c:v>
                </c:pt>
                <c:pt idx="405">
                  <c:v>371.1466666666667</c:v>
                </c:pt>
                <c:pt idx="406">
                  <c:v>372.81333333333333</c:v>
                </c:pt>
                <c:pt idx="407">
                  <c:v>377.08333333333331</c:v>
                </c:pt>
                <c:pt idx="408">
                  <c:v>380.82</c:v>
                </c:pt>
                <c:pt idx="409">
                  <c:v>381.18333333333334</c:v>
                </c:pt>
                <c:pt idx="410">
                  <c:v>374.43666666666667</c:v>
                </c:pt>
                <c:pt idx="411">
                  <c:v>370.36666666666662</c:v>
                </c:pt>
                <c:pt idx="412">
                  <c:v>364.78666666666669</c:v>
                </c:pt>
                <c:pt idx="413">
                  <c:v>364.5333333333333</c:v>
                </c:pt>
                <c:pt idx="414">
                  <c:v>358.32666666666665</c:v>
                </c:pt>
                <c:pt idx="415">
                  <c:v>347.10666666666663</c:v>
                </c:pt>
                <c:pt idx="416">
                  <c:v>329.51333333333332</c:v>
                </c:pt>
                <c:pt idx="417">
                  <c:v>316.38</c:v>
                </c:pt>
                <c:pt idx="418">
                  <c:v>312.7</c:v>
                </c:pt>
                <c:pt idx="419">
                  <c:v>318.83</c:v>
                </c:pt>
                <c:pt idx="420">
                  <c:v>324.26333333333332</c:v>
                </c:pt>
                <c:pt idx="421">
                  <c:v>326.7166666666667</c:v>
                </c:pt>
                <c:pt idx="422">
                  <c:v>326.90333333333336</c:v>
                </c:pt>
                <c:pt idx="423">
                  <c:v>323.58666666666664</c:v>
                </c:pt>
                <c:pt idx="424">
                  <c:v>325.19666666666666</c:v>
                </c:pt>
                <c:pt idx="425">
                  <c:v>324.35666666666663</c:v>
                </c:pt>
                <c:pt idx="426">
                  <c:v>327.80666666666667</c:v>
                </c:pt>
                <c:pt idx="427">
                  <c:v>327.86</c:v>
                </c:pt>
                <c:pt idx="428">
                  <c:v>333.61333333333329</c:v>
                </c:pt>
                <c:pt idx="429">
                  <c:v>336.84</c:v>
                </c:pt>
                <c:pt idx="430">
                  <c:v>341.99</c:v>
                </c:pt>
                <c:pt idx="431">
                  <c:v>339.30333333333334</c:v>
                </c:pt>
                <c:pt idx="432">
                  <c:v>337.79333333333329</c:v>
                </c:pt>
                <c:pt idx="433">
                  <c:v>331</c:v>
                </c:pt>
                <c:pt idx="434">
                  <c:v>326.03666666666663</c:v>
                </c:pt>
                <c:pt idx="435">
                  <c:v>322.97666666666663</c:v>
                </c:pt>
                <c:pt idx="436">
                  <c:v>330.84999999999997</c:v>
                </c:pt>
                <c:pt idx="437">
                  <c:v>343.29666666666668</c:v>
                </c:pt>
                <c:pt idx="438">
                  <c:v>353.05666666666667</c:v>
                </c:pt>
                <c:pt idx="439">
                  <c:v>359.10000000000008</c:v>
                </c:pt>
                <c:pt idx="440">
                  <c:v>361.30666666666667</c:v>
                </c:pt>
                <c:pt idx="441">
                  <c:v>361.38333333333338</c:v>
                </c:pt>
                <c:pt idx="442">
                  <c:v>358.93333333333334</c:v>
                </c:pt>
                <c:pt idx="443">
                  <c:v>359.02333333333331</c:v>
                </c:pt>
                <c:pt idx="444">
                  <c:v>361.33333333333331</c:v>
                </c:pt>
                <c:pt idx="445">
                  <c:v>363.01333333333332</c:v>
                </c:pt>
                <c:pt idx="446">
                  <c:v>359.05333333333334</c:v>
                </c:pt>
                <c:pt idx="447">
                  <c:v>354.09666666666664</c:v>
                </c:pt>
                <c:pt idx="448">
                  <c:v>345.74666666666667</c:v>
                </c:pt>
                <c:pt idx="449">
                  <c:v>342.22333333333336</c:v>
                </c:pt>
                <c:pt idx="450">
                  <c:v>343.99333333333334</c:v>
                </c:pt>
                <c:pt idx="451">
                  <c:v>349.01666666666665</c:v>
                </c:pt>
                <c:pt idx="452">
                  <c:v>351.25</c:v>
                </c:pt>
                <c:pt idx="453">
                  <c:v>348.88000000000005</c:v>
                </c:pt>
                <c:pt idx="454">
                  <c:v>347.02333333333337</c:v>
                </c:pt>
                <c:pt idx="455">
                  <c:v>348.73333333333335</c:v>
                </c:pt>
                <c:pt idx="456">
                  <c:v>352.1466666666667</c:v>
                </c:pt>
                <c:pt idx="457">
                  <c:v>354.82666666666665</c:v>
                </c:pt>
                <c:pt idx="458">
                  <c:v>353.62999999999994</c:v>
                </c:pt>
                <c:pt idx="459">
                  <c:v>349.84</c:v>
                </c:pt>
                <c:pt idx="460">
                  <c:v>348.24333333333334</c:v>
                </c:pt>
                <c:pt idx="461">
                  <c:v>346.18</c:v>
                </c:pt>
                <c:pt idx="462">
                  <c:v>352.56666666666666</c:v>
                </c:pt>
                <c:pt idx="463">
                  <c:v>356.61333333333329</c:v>
                </c:pt>
                <c:pt idx="464">
                  <c:v>364.22333333333336</c:v>
                </c:pt>
                <c:pt idx="465">
                  <c:v>368.87333333333328</c:v>
                </c:pt>
                <c:pt idx="466">
                  <c:v>374.56</c:v>
                </c:pt>
                <c:pt idx="467">
                  <c:v>380.81666666666666</c:v>
                </c:pt>
                <c:pt idx="468">
                  <c:v>379.96999999999997</c:v>
                </c:pt>
                <c:pt idx="469">
                  <c:v>378.00333333333333</c:v>
                </c:pt>
                <c:pt idx="470">
                  <c:v>371.83</c:v>
                </c:pt>
                <c:pt idx="471">
                  <c:v>363.82666666666665</c:v>
                </c:pt>
                <c:pt idx="472">
                  <c:v>354.18666666666667</c:v>
                </c:pt>
                <c:pt idx="473">
                  <c:v>347.10999999999996</c:v>
                </c:pt>
                <c:pt idx="474">
                  <c:v>343.73666666666668</c:v>
                </c:pt>
                <c:pt idx="475">
                  <c:v>341.94000000000005</c:v>
                </c:pt>
                <c:pt idx="476">
                  <c:v>340.55666666666667</c:v>
                </c:pt>
                <c:pt idx="477">
                  <c:v>340.74333333333334</c:v>
                </c:pt>
                <c:pt idx="478">
                  <c:v>343.59</c:v>
                </c:pt>
                <c:pt idx="479">
                  <c:v>348.22666666666663</c:v>
                </c:pt>
                <c:pt idx="480">
                  <c:v>352.82666666666665</c:v>
                </c:pt>
                <c:pt idx="481">
                  <c:v>355.73999999999995</c:v>
                </c:pt>
                <c:pt idx="482">
                  <c:v>351.7166666666667</c:v>
                </c:pt>
                <c:pt idx="483">
                  <c:v>351.80333333333328</c:v>
                </c:pt>
                <c:pt idx="484">
                  <c:v>351.04333333333335</c:v>
                </c:pt>
                <c:pt idx="485">
                  <c:v>355.29</c:v>
                </c:pt>
                <c:pt idx="486">
                  <c:v>355.2833333333333</c:v>
                </c:pt>
                <c:pt idx="487">
                  <c:v>353.95</c:v>
                </c:pt>
                <c:pt idx="488">
                  <c:v>353.97333333333336</c:v>
                </c:pt>
                <c:pt idx="489">
                  <c:v>355.33333333333331</c:v>
                </c:pt>
                <c:pt idx="490">
                  <c:v>355.73666666666668</c:v>
                </c:pt>
                <c:pt idx="491">
                  <c:v>352.18666666666667</c:v>
                </c:pt>
                <c:pt idx="492">
                  <c:v>344.64333333333337</c:v>
                </c:pt>
                <c:pt idx="493">
                  <c:v>339.82</c:v>
                </c:pt>
                <c:pt idx="494">
                  <c:v>333.39999999999992</c:v>
                </c:pt>
                <c:pt idx="495">
                  <c:v>329.7833333333333</c:v>
                </c:pt>
                <c:pt idx="496">
                  <c:v>324.29333333333335</c:v>
                </c:pt>
                <c:pt idx="497">
                  <c:v>322.37333333333328</c:v>
                </c:pt>
                <c:pt idx="498">
                  <c:v>324.16000000000003</c:v>
                </c:pt>
                <c:pt idx="499">
                  <c:v>324.22999999999996</c:v>
                </c:pt>
                <c:pt idx="500">
                  <c:v>317.28999999999996</c:v>
                </c:pt>
                <c:pt idx="501">
                  <c:v>308.80999999999995</c:v>
                </c:pt>
                <c:pt idx="502">
                  <c:v>302.70999999999998</c:v>
                </c:pt>
                <c:pt idx="503">
                  <c:v>304.9733333333333</c:v>
                </c:pt>
                <c:pt idx="504">
                  <c:v>304.40666666666664</c:v>
                </c:pt>
                <c:pt idx="505">
                  <c:v>304.47666666666669</c:v>
                </c:pt>
                <c:pt idx="506">
                  <c:v>303.45666666666665</c:v>
                </c:pt>
                <c:pt idx="507">
                  <c:v>307.12666666666667</c:v>
                </c:pt>
                <c:pt idx="508">
                  <c:v>309.02999999999997</c:v>
                </c:pt>
                <c:pt idx="509">
                  <c:v>311.79999999999995</c:v>
                </c:pt>
                <c:pt idx="510">
                  <c:v>310.83333333333331</c:v>
                </c:pt>
                <c:pt idx="511">
                  <c:v>312.95</c:v>
                </c:pt>
                <c:pt idx="512">
                  <c:v>312.09666666666664</c:v>
                </c:pt>
                <c:pt idx="513">
                  <c:v>313.86666666666662</c:v>
                </c:pt>
                <c:pt idx="514">
                  <c:v>313.05</c:v>
                </c:pt>
                <c:pt idx="515">
                  <c:v>315.32</c:v>
                </c:pt>
                <c:pt idx="516">
                  <c:v>314.98666666666668</c:v>
                </c:pt>
                <c:pt idx="517">
                  <c:v>316.63666666666671</c:v>
                </c:pt>
                <c:pt idx="518">
                  <c:v>313.9666666666667</c:v>
                </c:pt>
                <c:pt idx="519">
                  <c:v>311.31333333333333</c:v>
                </c:pt>
                <c:pt idx="520">
                  <c:v>307.64000000000004</c:v>
                </c:pt>
                <c:pt idx="521">
                  <c:v>306.85999999999996</c:v>
                </c:pt>
                <c:pt idx="522">
                  <c:v>305.14333333333337</c:v>
                </c:pt>
                <c:pt idx="523">
                  <c:v>307.38666666666666</c:v>
                </c:pt>
                <c:pt idx="524">
                  <c:v>309.40000000000003</c:v>
                </c:pt>
                <c:pt idx="525">
                  <c:v>313.20999999999998</c:v>
                </c:pt>
                <c:pt idx="526">
                  <c:v>318.42666666666668</c:v>
                </c:pt>
                <c:pt idx="527">
                  <c:v>328.35666666666663</c:v>
                </c:pt>
                <c:pt idx="528">
                  <c:v>336.32333333333332</c:v>
                </c:pt>
                <c:pt idx="529">
                  <c:v>339.31666666666666</c:v>
                </c:pt>
                <c:pt idx="530">
                  <c:v>340.12333333333328</c:v>
                </c:pt>
                <c:pt idx="531">
                  <c:v>340.07</c:v>
                </c:pt>
                <c:pt idx="532">
                  <c:v>337.80666666666667</c:v>
                </c:pt>
                <c:pt idx="533">
                  <c:v>332.98333333333335</c:v>
                </c:pt>
                <c:pt idx="534">
                  <c:v>330.58</c:v>
                </c:pt>
                <c:pt idx="535">
                  <c:v>328.6133333333334</c:v>
                </c:pt>
                <c:pt idx="536">
                  <c:v>324.7166666666667</c:v>
                </c:pt>
                <c:pt idx="537">
                  <c:v>318.04333333333335</c:v>
                </c:pt>
                <c:pt idx="538">
                  <c:v>314.76333333333338</c:v>
                </c:pt>
                <c:pt idx="539">
                  <c:v>312.78333333333336</c:v>
                </c:pt>
                <c:pt idx="540">
                  <c:v>315.74666666666667</c:v>
                </c:pt>
                <c:pt idx="541">
                  <c:v>316.37666666666667</c:v>
                </c:pt>
                <c:pt idx="542">
                  <c:v>317.46666666666664</c:v>
                </c:pt>
                <c:pt idx="543">
                  <c:v>316.15000000000003</c:v>
                </c:pt>
                <c:pt idx="544">
                  <c:v>322.53666666666669</c:v>
                </c:pt>
                <c:pt idx="545">
                  <c:v>328.89333333333337</c:v>
                </c:pt>
                <c:pt idx="546">
                  <c:v>334.9666666666667</c:v>
                </c:pt>
                <c:pt idx="547">
                  <c:v>335.48</c:v>
                </c:pt>
                <c:pt idx="548">
                  <c:v>336.32333333333332</c:v>
                </c:pt>
                <c:pt idx="549">
                  <c:v>338.07666666666665</c:v>
                </c:pt>
                <c:pt idx="550">
                  <c:v>341.1466666666667</c:v>
                </c:pt>
                <c:pt idx="551">
                  <c:v>343.93</c:v>
                </c:pt>
                <c:pt idx="552">
                  <c:v>347.25</c:v>
                </c:pt>
                <c:pt idx="553">
                  <c:v>348.71666666666664</c:v>
                </c:pt>
                <c:pt idx="554">
                  <c:v>351.45666666666665</c:v>
                </c:pt>
                <c:pt idx="555">
                  <c:v>350.08</c:v>
                </c:pt>
                <c:pt idx="556">
                  <c:v>345.44000000000005</c:v>
                </c:pt>
                <c:pt idx="557">
                  <c:v>342.12666666666672</c:v>
                </c:pt>
                <c:pt idx="558">
                  <c:v>343.34</c:v>
                </c:pt>
                <c:pt idx="559">
                  <c:v>346.06666666666666</c:v>
                </c:pt>
                <c:pt idx="560">
                  <c:v>349.8866666666666</c:v>
                </c:pt>
                <c:pt idx="561">
                  <c:v>349.79333333333335</c:v>
                </c:pt>
                <c:pt idx="562">
                  <c:v>349.1033333333333</c:v>
                </c:pt>
                <c:pt idx="563">
                  <c:v>342.04333333333335</c:v>
                </c:pt>
                <c:pt idx="564">
                  <c:v>336.95</c:v>
                </c:pt>
                <c:pt idx="565">
                  <c:v>337.36666666666667</c:v>
                </c:pt>
                <c:pt idx="566">
                  <c:v>331.40000000000003</c:v>
                </c:pt>
                <c:pt idx="567">
                  <c:v>323.55</c:v>
                </c:pt>
                <c:pt idx="568">
                  <c:v>313.79333333333335</c:v>
                </c:pt>
                <c:pt idx="569">
                  <c:v>316.60333333333341</c:v>
                </c:pt>
                <c:pt idx="570">
                  <c:v>320.56666666666666</c:v>
                </c:pt>
                <c:pt idx="571">
                  <c:v>326.67833333333334</c:v>
                </c:pt>
                <c:pt idx="572">
                  <c:v>330.62166666666667</c:v>
                </c:pt>
                <c:pt idx="573">
                  <c:v>334.77500000000003</c:v>
                </c:pt>
                <c:pt idx="574">
                  <c:v>334.52</c:v>
                </c:pt>
                <c:pt idx="575">
                  <c:v>338.08</c:v>
                </c:pt>
                <c:pt idx="576">
                  <c:v>343.84</c:v>
                </c:pt>
                <c:pt idx="577">
                  <c:v>351.88000000000005</c:v>
                </c:pt>
                <c:pt idx="578">
                  <c:v>353.48666666666668</c:v>
                </c:pt>
                <c:pt idx="579">
                  <c:v>350.49</c:v>
                </c:pt>
                <c:pt idx="580">
                  <c:v>341.66</c:v>
                </c:pt>
                <c:pt idx="581">
                  <c:v>336.37</c:v>
                </c:pt>
                <c:pt idx="582">
                  <c:v>333.13333333333333</c:v>
                </c:pt>
                <c:pt idx="583">
                  <c:v>332.22333333333336</c:v>
                </c:pt>
                <c:pt idx="584">
                  <c:v>331.2833333333333</c:v>
                </c:pt>
                <c:pt idx="585">
                  <c:v>329.86666666666667</c:v>
                </c:pt>
                <c:pt idx="586">
                  <c:v>329.52333333333337</c:v>
                </c:pt>
                <c:pt idx="587">
                  <c:v>333.92666666666668</c:v>
                </c:pt>
                <c:pt idx="588">
                  <c:v>338.17333333333335</c:v>
                </c:pt>
                <c:pt idx="589">
                  <c:v>337.99333333333328</c:v>
                </c:pt>
                <c:pt idx="590">
                  <c:v>331.35666666666668</c:v>
                </c:pt>
                <c:pt idx="591">
                  <c:v>324.5266666666667</c:v>
                </c:pt>
                <c:pt idx="592">
                  <c:v>320.17</c:v>
                </c:pt>
                <c:pt idx="593">
                  <c:v>315.15333333333336</c:v>
                </c:pt>
                <c:pt idx="594">
                  <c:v>313.54666666666668</c:v>
                </c:pt>
                <c:pt idx="595">
                  <c:v>312.06</c:v>
                </c:pt>
                <c:pt idx="596">
                  <c:v>309.05666666666667</c:v>
                </c:pt>
                <c:pt idx="597">
                  <c:v>304.94000000000005</c:v>
                </c:pt>
                <c:pt idx="598">
                  <c:v>294.9666666666667</c:v>
                </c:pt>
                <c:pt idx="599">
                  <c:v>280.38</c:v>
                </c:pt>
                <c:pt idx="600">
                  <c:v>267.69666666666666</c:v>
                </c:pt>
                <c:pt idx="601">
                  <c:v>258.79666666666668</c:v>
                </c:pt>
                <c:pt idx="602">
                  <c:v>262.04666666666668</c:v>
                </c:pt>
                <c:pt idx="603">
                  <c:v>268.98333333333335</c:v>
                </c:pt>
                <c:pt idx="604">
                  <c:v>286.73</c:v>
                </c:pt>
                <c:pt idx="605">
                  <c:v>297.32</c:v>
                </c:pt>
                <c:pt idx="606">
                  <c:v>298.22666666666669</c:v>
                </c:pt>
                <c:pt idx="607">
                  <c:v>297.88666666666671</c:v>
                </c:pt>
                <c:pt idx="608">
                  <c:v>298.43</c:v>
                </c:pt>
                <c:pt idx="609">
                  <c:v>299.90333333333336</c:v>
                </c:pt>
                <c:pt idx="610">
                  <c:v>298.45</c:v>
                </c:pt>
                <c:pt idx="611">
                  <c:v>295.20999999999998</c:v>
                </c:pt>
                <c:pt idx="612">
                  <c:v>293.08</c:v>
                </c:pt>
                <c:pt idx="613">
                  <c:v>290.75</c:v>
                </c:pt>
                <c:pt idx="614">
                  <c:v>293.70666666666665</c:v>
                </c:pt>
                <c:pt idx="615">
                  <c:v>294.55666666666667</c:v>
                </c:pt>
                <c:pt idx="616">
                  <c:v>291.22999999999996</c:v>
                </c:pt>
                <c:pt idx="617">
                  <c:v>285.69</c:v>
                </c:pt>
                <c:pt idx="618">
                  <c:v>282.50666666666666</c:v>
                </c:pt>
                <c:pt idx="619">
                  <c:v>283.20999999999998</c:v>
                </c:pt>
                <c:pt idx="620">
                  <c:v>286.74833333333339</c:v>
                </c:pt>
                <c:pt idx="621">
                  <c:v>291.1516666666667</c:v>
                </c:pt>
                <c:pt idx="622">
                  <c:v>295.96499999999997</c:v>
                </c:pt>
                <c:pt idx="623">
                  <c:v>298.32333333333332</c:v>
                </c:pt>
                <c:pt idx="624">
                  <c:v>295.17333333333335</c:v>
                </c:pt>
                <c:pt idx="625">
                  <c:v>293.22999999999996</c:v>
                </c:pt>
                <c:pt idx="626">
                  <c:v>293.77</c:v>
                </c:pt>
                <c:pt idx="627">
                  <c:v>299.60999999999996</c:v>
                </c:pt>
                <c:pt idx="628">
                  <c:v>303.86333333333334</c:v>
                </c:pt>
                <c:pt idx="629">
                  <c:v>304.61333333333334</c:v>
                </c:pt>
                <c:pt idx="630">
                  <c:v>304.31</c:v>
                </c:pt>
                <c:pt idx="631">
                  <c:v>299.34999999999997</c:v>
                </c:pt>
                <c:pt idx="632">
                  <c:v>292.40333333333336</c:v>
                </c:pt>
                <c:pt idx="633">
                  <c:v>287.54333333333335</c:v>
                </c:pt>
                <c:pt idx="634">
                  <c:v>285.06666666666666</c:v>
                </c:pt>
                <c:pt idx="635">
                  <c:v>282.61333333333329</c:v>
                </c:pt>
                <c:pt idx="636">
                  <c:v>281.95</c:v>
                </c:pt>
                <c:pt idx="637">
                  <c:v>278.77333333333331</c:v>
                </c:pt>
                <c:pt idx="638">
                  <c:v>279.52333333333331</c:v>
                </c:pt>
                <c:pt idx="639">
                  <c:v>277.31</c:v>
                </c:pt>
                <c:pt idx="640">
                  <c:v>278.59000000000003</c:v>
                </c:pt>
                <c:pt idx="641">
                  <c:v>280.15333333333336</c:v>
                </c:pt>
                <c:pt idx="642">
                  <c:v>284.7766666666667</c:v>
                </c:pt>
                <c:pt idx="643">
                  <c:v>286.73666666666668</c:v>
                </c:pt>
                <c:pt idx="644">
                  <c:v>289.42333333333335</c:v>
                </c:pt>
                <c:pt idx="645">
                  <c:v>291.09666666666664</c:v>
                </c:pt>
                <c:pt idx="646">
                  <c:v>293.22999999999996</c:v>
                </c:pt>
                <c:pt idx="647">
                  <c:v>302.45666666666665</c:v>
                </c:pt>
                <c:pt idx="648">
                  <c:v>308.90666666666669</c:v>
                </c:pt>
                <c:pt idx="649">
                  <c:v>317.75</c:v>
                </c:pt>
                <c:pt idx="650">
                  <c:v>321.95</c:v>
                </c:pt>
                <c:pt idx="651">
                  <c:v>330.84333333333331</c:v>
                </c:pt>
                <c:pt idx="652">
                  <c:v>339.88333333333333</c:v>
                </c:pt>
                <c:pt idx="653">
                  <c:v>348.42333333333335</c:v>
                </c:pt>
                <c:pt idx="654">
                  <c:v>353.55666666666667</c:v>
                </c:pt>
                <c:pt idx="655">
                  <c:v>362.24</c:v>
                </c:pt>
                <c:pt idx="656">
                  <c:v>360.51666666666665</c:v>
                </c:pt>
                <c:pt idx="657">
                  <c:v>361.86666666666662</c:v>
                </c:pt>
                <c:pt idx="658">
                  <c:v>354.09333333333331</c:v>
                </c:pt>
                <c:pt idx="659">
                  <c:v>347.78666666666669</c:v>
                </c:pt>
                <c:pt idx="660">
                  <c:v>338.05</c:v>
                </c:pt>
                <c:pt idx="661">
                  <c:v>336.21333333333331</c:v>
                </c:pt>
                <c:pt idx="662">
                  <c:v>339.83666666666664</c:v>
                </c:pt>
                <c:pt idx="663">
                  <c:v>345.47666666666669</c:v>
                </c:pt>
                <c:pt idx="664">
                  <c:v>345.79333333333335</c:v>
                </c:pt>
                <c:pt idx="665">
                  <c:v>342.65000000000003</c:v>
                </c:pt>
                <c:pt idx="666">
                  <c:v>329.62666666666667</c:v>
                </c:pt>
                <c:pt idx="667">
                  <c:v>318.3633333333334</c:v>
                </c:pt>
                <c:pt idx="668">
                  <c:v>309.64</c:v>
                </c:pt>
                <c:pt idx="669">
                  <c:v>312.19</c:v>
                </c:pt>
                <c:pt idx="670">
                  <c:v>316.62666666666667</c:v>
                </c:pt>
                <c:pt idx="671">
                  <c:v>319.98</c:v>
                </c:pt>
                <c:pt idx="672">
                  <c:v>319.38000000000005</c:v>
                </c:pt>
                <c:pt idx="673">
                  <c:v>318.18</c:v>
                </c:pt>
                <c:pt idx="674">
                  <c:v>315.22666666666663</c:v>
                </c:pt>
                <c:pt idx="675">
                  <c:v>317.22000000000003</c:v>
                </c:pt>
                <c:pt idx="676">
                  <c:v>318.88</c:v>
                </c:pt>
                <c:pt idx="677">
                  <c:v>322.25666666666666</c:v>
                </c:pt>
                <c:pt idx="678">
                  <c:v>319.22000000000003</c:v>
                </c:pt>
                <c:pt idx="679">
                  <c:v>312.33666666666664</c:v>
                </c:pt>
                <c:pt idx="680">
                  <c:v>304.73666666666668</c:v>
                </c:pt>
                <c:pt idx="681">
                  <c:v>303.12333333333333</c:v>
                </c:pt>
                <c:pt idx="682">
                  <c:v>304.27333333333337</c:v>
                </c:pt>
                <c:pt idx="683">
                  <c:v>304.19</c:v>
                </c:pt>
                <c:pt idx="684">
                  <c:v>298</c:v>
                </c:pt>
                <c:pt idx="685">
                  <c:v>295.16333333333336</c:v>
                </c:pt>
                <c:pt idx="686">
                  <c:v>296.38333333333327</c:v>
                </c:pt>
                <c:pt idx="687">
                  <c:v>316.17333333333335</c:v>
                </c:pt>
                <c:pt idx="688">
                  <c:v>332.84999999999997</c:v>
                </c:pt>
                <c:pt idx="689">
                  <c:v>346.56666666666666</c:v>
                </c:pt>
                <c:pt idx="690">
                  <c:v>356.57666666666665</c:v>
                </c:pt>
                <c:pt idx="691">
                  <c:v>363.96666666666664</c:v>
                </c:pt>
                <c:pt idx="692">
                  <c:v>367.45333333333332</c:v>
                </c:pt>
                <c:pt idx="693">
                  <c:v>359.42666666666668</c:v>
                </c:pt>
                <c:pt idx="694">
                  <c:v>354.78333333333336</c:v>
                </c:pt>
                <c:pt idx="695">
                  <c:v>353.18</c:v>
                </c:pt>
                <c:pt idx="696">
                  <c:v>347.58</c:v>
                </c:pt>
                <c:pt idx="697">
                  <c:v>340.59333333333331</c:v>
                </c:pt>
                <c:pt idx="698">
                  <c:v>326.54666666666668</c:v>
                </c:pt>
                <c:pt idx="699">
                  <c:v>316.46333333333337</c:v>
                </c:pt>
                <c:pt idx="700">
                  <c:v>311.94666666666666</c:v>
                </c:pt>
                <c:pt idx="701">
                  <c:v>317.32666666666665</c:v>
                </c:pt>
                <c:pt idx="702">
                  <c:v>321.21333333333331</c:v>
                </c:pt>
                <c:pt idx="703">
                  <c:v>321.52</c:v>
                </c:pt>
                <c:pt idx="704">
                  <c:v>320.73</c:v>
                </c:pt>
                <c:pt idx="705">
                  <c:v>317.98333333333329</c:v>
                </c:pt>
                <c:pt idx="706">
                  <c:v>312.04666666666668</c:v>
                </c:pt>
                <c:pt idx="707">
                  <c:v>306.67333333333335</c:v>
                </c:pt>
                <c:pt idx="708">
                  <c:v>303.27333333333331</c:v>
                </c:pt>
                <c:pt idx="709">
                  <c:v>297.92</c:v>
                </c:pt>
                <c:pt idx="710">
                  <c:v>290.45</c:v>
                </c:pt>
                <c:pt idx="711">
                  <c:v>283.54666666666668</c:v>
                </c:pt>
                <c:pt idx="712">
                  <c:v>274.97666666666669</c:v>
                </c:pt>
                <c:pt idx="713">
                  <c:v>276.56333333333333</c:v>
                </c:pt>
                <c:pt idx="714">
                  <c:v>276.06</c:v>
                </c:pt>
                <c:pt idx="715">
                  <c:v>285.16000000000003</c:v>
                </c:pt>
                <c:pt idx="716">
                  <c:v>286.48</c:v>
                </c:pt>
                <c:pt idx="717">
                  <c:v>291.73333333333335</c:v>
                </c:pt>
                <c:pt idx="718">
                  <c:v>293.16666666666669</c:v>
                </c:pt>
                <c:pt idx="719">
                  <c:v>291.66666666666669</c:v>
                </c:pt>
                <c:pt idx="720">
                  <c:v>292.94</c:v>
                </c:pt>
                <c:pt idx="721">
                  <c:v>294.1033333333333</c:v>
                </c:pt>
                <c:pt idx="722">
                  <c:v>298.81666666666666</c:v>
                </c:pt>
                <c:pt idx="723">
                  <c:v>299.03666666666669</c:v>
                </c:pt>
                <c:pt idx="724">
                  <c:v>299.92333333333335</c:v>
                </c:pt>
                <c:pt idx="725">
                  <c:v>303.41666666666669</c:v>
                </c:pt>
                <c:pt idx="726">
                  <c:v>306.02999999999997</c:v>
                </c:pt>
                <c:pt idx="727">
                  <c:v>293.95666666666665</c:v>
                </c:pt>
                <c:pt idx="728">
                  <c:v>294.33</c:v>
                </c:pt>
                <c:pt idx="729">
                  <c:v>292.16333333333336</c:v>
                </c:pt>
                <c:pt idx="730">
                  <c:v>302.17333333333335</c:v>
                </c:pt>
                <c:pt idx="731">
                  <c:v>292.54999999999995</c:v>
                </c:pt>
                <c:pt idx="732">
                  <c:v>279.52666666666664</c:v>
                </c:pt>
                <c:pt idx="733">
                  <c:v>264.77999999999997</c:v>
                </c:pt>
                <c:pt idx="734">
                  <c:v>258.43666666666667</c:v>
                </c:pt>
                <c:pt idx="735">
                  <c:v>256.74666666666667</c:v>
                </c:pt>
                <c:pt idx="736">
                  <c:v>257.30333333333334</c:v>
                </c:pt>
                <c:pt idx="737">
                  <c:v>255.96333333333334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F69-4513-95A1-5743461B9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921263"/>
        <c:axId val="312920015"/>
      </c:scatterChart>
      <c:valAx>
        <c:axId val="312921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20015"/>
        <c:crosses val="autoZero"/>
        <c:crossBetween val="midCat"/>
      </c:valAx>
      <c:valAx>
        <c:axId val="31292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21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portfolio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'tesla-stock-price'!$A$21:$A$758</c:f>
              <c:numCache>
                <c:formatCode>m/d/yyyy</c:formatCode>
                <c:ptCount val="738"/>
                <c:pt idx="0">
                  <c:v>42318</c:v>
                </c:pt>
                <c:pt idx="1">
                  <c:v>42319</c:v>
                </c:pt>
                <c:pt idx="2">
                  <c:v>42320</c:v>
                </c:pt>
                <c:pt idx="3">
                  <c:v>42321</c:v>
                </c:pt>
                <c:pt idx="4">
                  <c:v>42324</c:v>
                </c:pt>
                <c:pt idx="5">
                  <c:v>42325</c:v>
                </c:pt>
                <c:pt idx="6">
                  <c:v>42326</c:v>
                </c:pt>
                <c:pt idx="7">
                  <c:v>42327</c:v>
                </c:pt>
                <c:pt idx="8">
                  <c:v>42328</c:v>
                </c:pt>
                <c:pt idx="9">
                  <c:v>42331</c:v>
                </c:pt>
                <c:pt idx="10">
                  <c:v>42332</c:v>
                </c:pt>
                <c:pt idx="11">
                  <c:v>42333</c:v>
                </c:pt>
                <c:pt idx="12">
                  <c:v>42335</c:v>
                </c:pt>
                <c:pt idx="13">
                  <c:v>42338</c:v>
                </c:pt>
                <c:pt idx="14">
                  <c:v>42339</c:v>
                </c:pt>
                <c:pt idx="15">
                  <c:v>42340</c:v>
                </c:pt>
                <c:pt idx="16">
                  <c:v>42341</c:v>
                </c:pt>
                <c:pt idx="17">
                  <c:v>42342</c:v>
                </c:pt>
                <c:pt idx="18">
                  <c:v>42345</c:v>
                </c:pt>
                <c:pt idx="19">
                  <c:v>42346</c:v>
                </c:pt>
                <c:pt idx="20">
                  <c:v>42347</c:v>
                </c:pt>
                <c:pt idx="21">
                  <c:v>42348</c:v>
                </c:pt>
                <c:pt idx="22">
                  <c:v>42349</c:v>
                </c:pt>
                <c:pt idx="23">
                  <c:v>42352</c:v>
                </c:pt>
                <c:pt idx="24">
                  <c:v>42353</c:v>
                </c:pt>
                <c:pt idx="25">
                  <c:v>42354</c:v>
                </c:pt>
                <c:pt idx="26">
                  <c:v>42355</c:v>
                </c:pt>
                <c:pt idx="27">
                  <c:v>42356</c:v>
                </c:pt>
                <c:pt idx="28">
                  <c:v>42359</c:v>
                </c:pt>
                <c:pt idx="29">
                  <c:v>42360</c:v>
                </c:pt>
                <c:pt idx="30">
                  <c:v>42361</c:v>
                </c:pt>
                <c:pt idx="31">
                  <c:v>42362</c:v>
                </c:pt>
                <c:pt idx="32">
                  <c:v>42366</c:v>
                </c:pt>
                <c:pt idx="33">
                  <c:v>42367</c:v>
                </c:pt>
                <c:pt idx="34">
                  <c:v>42368</c:v>
                </c:pt>
                <c:pt idx="35">
                  <c:v>42369</c:v>
                </c:pt>
                <c:pt idx="36">
                  <c:v>42373</c:v>
                </c:pt>
                <c:pt idx="37">
                  <c:v>42374</c:v>
                </c:pt>
                <c:pt idx="38">
                  <c:v>42375</c:v>
                </c:pt>
                <c:pt idx="39">
                  <c:v>42376</c:v>
                </c:pt>
                <c:pt idx="40">
                  <c:v>42377</c:v>
                </c:pt>
                <c:pt idx="41">
                  <c:v>42380</c:v>
                </c:pt>
                <c:pt idx="42">
                  <c:v>42381</c:v>
                </c:pt>
                <c:pt idx="43">
                  <c:v>42382</c:v>
                </c:pt>
                <c:pt idx="44">
                  <c:v>42383</c:v>
                </c:pt>
                <c:pt idx="45">
                  <c:v>42384</c:v>
                </c:pt>
                <c:pt idx="46">
                  <c:v>42388</c:v>
                </c:pt>
                <c:pt idx="47">
                  <c:v>42389</c:v>
                </c:pt>
                <c:pt idx="48">
                  <c:v>42390</c:v>
                </c:pt>
                <c:pt idx="49">
                  <c:v>42391</c:v>
                </c:pt>
                <c:pt idx="50">
                  <c:v>42394</c:v>
                </c:pt>
                <c:pt idx="51">
                  <c:v>42395</c:v>
                </c:pt>
                <c:pt idx="52">
                  <c:v>42396</c:v>
                </c:pt>
                <c:pt idx="53">
                  <c:v>42397</c:v>
                </c:pt>
                <c:pt idx="54">
                  <c:v>42398</c:v>
                </c:pt>
                <c:pt idx="55">
                  <c:v>42401</c:v>
                </c:pt>
                <c:pt idx="56">
                  <c:v>42402</c:v>
                </c:pt>
                <c:pt idx="57">
                  <c:v>42403</c:v>
                </c:pt>
                <c:pt idx="58">
                  <c:v>42404</c:v>
                </c:pt>
                <c:pt idx="59">
                  <c:v>42405</c:v>
                </c:pt>
                <c:pt idx="60">
                  <c:v>42408</c:v>
                </c:pt>
                <c:pt idx="61">
                  <c:v>42409</c:v>
                </c:pt>
                <c:pt idx="62">
                  <c:v>42410</c:v>
                </c:pt>
                <c:pt idx="63">
                  <c:v>42411</c:v>
                </c:pt>
                <c:pt idx="64">
                  <c:v>42412</c:v>
                </c:pt>
                <c:pt idx="65">
                  <c:v>42416</c:v>
                </c:pt>
                <c:pt idx="66">
                  <c:v>42417</c:v>
                </c:pt>
                <c:pt idx="67">
                  <c:v>42418</c:v>
                </c:pt>
                <c:pt idx="68">
                  <c:v>42419</c:v>
                </c:pt>
                <c:pt idx="69">
                  <c:v>42422</c:v>
                </c:pt>
                <c:pt idx="70">
                  <c:v>42423</c:v>
                </c:pt>
                <c:pt idx="71">
                  <c:v>42424</c:v>
                </c:pt>
                <c:pt idx="72">
                  <c:v>42425</c:v>
                </c:pt>
                <c:pt idx="73">
                  <c:v>42426</c:v>
                </c:pt>
                <c:pt idx="74">
                  <c:v>42429</c:v>
                </c:pt>
                <c:pt idx="75">
                  <c:v>42430</c:v>
                </c:pt>
                <c:pt idx="76">
                  <c:v>42431</c:v>
                </c:pt>
                <c:pt idx="77">
                  <c:v>42432</c:v>
                </c:pt>
                <c:pt idx="78">
                  <c:v>42433</c:v>
                </c:pt>
                <c:pt idx="79">
                  <c:v>42436</c:v>
                </c:pt>
                <c:pt idx="80">
                  <c:v>42437</c:v>
                </c:pt>
                <c:pt idx="81">
                  <c:v>42438</c:v>
                </c:pt>
                <c:pt idx="82">
                  <c:v>42439</c:v>
                </c:pt>
                <c:pt idx="83">
                  <c:v>42440</c:v>
                </c:pt>
                <c:pt idx="84">
                  <c:v>42443</c:v>
                </c:pt>
                <c:pt idx="85">
                  <c:v>42444</c:v>
                </c:pt>
                <c:pt idx="86">
                  <c:v>42445</c:v>
                </c:pt>
                <c:pt idx="87">
                  <c:v>42446</c:v>
                </c:pt>
                <c:pt idx="88">
                  <c:v>42447</c:v>
                </c:pt>
                <c:pt idx="89">
                  <c:v>42450</c:v>
                </c:pt>
                <c:pt idx="90">
                  <c:v>42451</c:v>
                </c:pt>
                <c:pt idx="91">
                  <c:v>42452</c:v>
                </c:pt>
                <c:pt idx="92">
                  <c:v>42453</c:v>
                </c:pt>
                <c:pt idx="93">
                  <c:v>42457</c:v>
                </c:pt>
                <c:pt idx="94">
                  <c:v>42458</c:v>
                </c:pt>
                <c:pt idx="95">
                  <c:v>42459</c:v>
                </c:pt>
                <c:pt idx="96">
                  <c:v>42460</c:v>
                </c:pt>
                <c:pt idx="97">
                  <c:v>42461</c:v>
                </c:pt>
                <c:pt idx="98">
                  <c:v>42464</c:v>
                </c:pt>
                <c:pt idx="99">
                  <c:v>42465</c:v>
                </c:pt>
                <c:pt idx="100">
                  <c:v>42466</c:v>
                </c:pt>
                <c:pt idx="101">
                  <c:v>42467</c:v>
                </c:pt>
                <c:pt idx="102">
                  <c:v>42468</c:v>
                </c:pt>
                <c:pt idx="103">
                  <c:v>42471</c:v>
                </c:pt>
                <c:pt idx="104">
                  <c:v>42472</c:v>
                </c:pt>
                <c:pt idx="105">
                  <c:v>42473</c:v>
                </c:pt>
                <c:pt idx="106">
                  <c:v>42474</c:v>
                </c:pt>
                <c:pt idx="107">
                  <c:v>42475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42485</c:v>
                </c:pt>
                <c:pt idx="114">
                  <c:v>42486</c:v>
                </c:pt>
                <c:pt idx="115">
                  <c:v>42487</c:v>
                </c:pt>
                <c:pt idx="116">
                  <c:v>42488</c:v>
                </c:pt>
                <c:pt idx="117">
                  <c:v>42489</c:v>
                </c:pt>
                <c:pt idx="118">
                  <c:v>42492</c:v>
                </c:pt>
                <c:pt idx="119">
                  <c:v>42493</c:v>
                </c:pt>
                <c:pt idx="120">
                  <c:v>42494</c:v>
                </c:pt>
                <c:pt idx="121">
                  <c:v>42495</c:v>
                </c:pt>
                <c:pt idx="122">
                  <c:v>42496</c:v>
                </c:pt>
                <c:pt idx="123">
                  <c:v>42499</c:v>
                </c:pt>
                <c:pt idx="124">
                  <c:v>42500</c:v>
                </c:pt>
                <c:pt idx="125">
                  <c:v>42501</c:v>
                </c:pt>
                <c:pt idx="126">
                  <c:v>42502</c:v>
                </c:pt>
                <c:pt idx="127">
                  <c:v>42503</c:v>
                </c:pt>
                <c:pt idx="128">
                  <c:v>42506</c:v>
                </c:pt>
                <c:pt idx="129">
                  <c:v>42507</c:v>
                </c:pt>
                <c:pt idx="130">
                  <c:v>42508</c:v>
                </c:pt>
                <c:pt idx="131">
                  <c:v>42509</c:v>
                </c:pt>
                <c:pt idx="132">
                  <c:v>42510</c:v>
                </c:pt>
                <c:pt idx="133">
                  <c:v>42513</c:v>
                </c:pt>
                <c:pt idx="134">
                  <c:v>42514</c:v>
                </c:pt>
                <c:pt idx="135">
                  <c:v>42515</c:v>
                </c:pt>
                <c:pt idx="136">
                  <c:v>42516</c:v>
                </c:pt>
                <c:pt idx="137">
                  <c:v>42517</c:v>
                </c:pt>
                <c:pt idx="138">
                  <c:v>42521</c:v>
                </c:pt>
                <c:pt idx="139">
                  <c:v>42522</c:v>
                </c:pt>
                <c:pt idx="140">
                  <c:v>42523</c:v>
                </c:pt>
                <c:pt idx="141">
                  <c:v>42524</c:v>
                </c:pt>
                <c:pt idx="142">
                  <c:v>42527</c:v>
                </c:pt>
                <c:pt idx="143">
                  <c:v>42528</c:v>
                </c:pt>
                <c:pt idx="144">
                  <c:v>42529</c:v>
                </c:pt>
                <c:pt idx="145">
                  <c:v>42530</c:v>
                </c:pt>
                <c:pt idx="146">
                  <c:v>42531</c:v>
                </c:pt>
                <c:pt idx="147">
                  <c:v>42534</c:v>
                </c:pt>
                <c:pt idx="148">
                  <c:v>42535</c:v>
                </c:pt>
                <c:pt idx="149">
                  <c:v>42536</c:v>
                </c:pt>
                <c:pt idx="150">
                  <c:v>42537</c:v>
                </c:pt>
                <c:pt idx="151">
                  <c:v>42538</c:v>
                </c:pt>
                <c:pt idx="152">
                  <c:v>42541</c:v>
                </c:pt>
                <c:pt idx="153">
                  <c:v>42542</c:v>
                </c:pt>
                <c:pt idx="154">
                  <c:v>42543</c:v>
                </c:pt>
                <c:pt idx="155">
                  <c:v>42544</c:v>
                </c:pt>
                <c:pt idx="156">
                  <c:v>42545</c:v>
                </c:pt>
                <c:pt idx="157">
                  <c:v>42548</c:v>
                </c:pt>
                <c:pt idx="158">
                  <c:v>42549</c:v>
                </c:pt>
                <c:pt idx="159">
                  <c:v>42550</c:v>
                </c:pt>
                <c:pt idx="160">
                  <c:v>42551</c:v>
                </c:pt>
                <c:pt idx="161">
                  <c:v>42552</c:v>
                </c:pt>
                <c:pt idx="162">
                  <c:v>42556</c:v>
                </c:pt>
                <c:pt idx="163">
                  <c:v>42557</c:v>
                </c:pt>
                <c:pt idx="164">
                  <c:v>42558</c:v>
                </c:pt>
                <c:pt idx="165">
                  <c:v>42559</c:v>
                </c:pt>
                <c:pt idx="166">
                  <c:v>42562</c:v>
                </c:pt>
                <c:pt idx="167">
                  <c:v>42563</c:v>
                </c:pt>
                <c:pt idx="168">
                  <c:v>42564</c:v>
                </c:pt>
                <c:pt idx="169">
                  <c:v>42565</c:v>
                </c:pt>
                <c:pt idx="170">
                  <c:v>42566</c:v>
                </c:pt>
                <c:pt idx="171">
                  <c:v>42569</c:v>
                </c:pt>
                <c:pt idx="172">
                  <c:v>42570</c:v>
                </c:pt>
                <c:pt idx="173">
                  <c:v>42571</c:v>
                </c:pt>
                <c:pt idx="174">
                  <c:v>42572</c:v>
                </c:pt>
                <c:pt idx="175">
                  <c:v>42573</c:v>
                </c:pt>
                <c:pt idx="176">
                  <c:v>42576</c:v>
                </c:pt>
                <c:pt idx="177">
                  <c:v>42577</c:v>
                </c:pt>
                <c:pt idx="178">
                  <c:v>42578</c:v>
                </c:pt>
                <c:pt idx="179">
                  <c:v>42579</c:v>
                </c:pt>
                <c:pt idx="180">
                  <c:v>42580</c:v>
                </c:pt>
                <c:pt idx="181">
                  <c:v>42583</c:v>
                </c:pt>
                <c:pt idx="182">
                  <c:v>42584</c:v>
                </c:pt>
                <c:pt idx="183">
                  <c:v>42585</c:v>
                </c:pt>
                <c:pt idx="184">
                  <c:v>42586</c:v>
                </c:pt>
                <c:pt idx="185">
                  <c:v>42587</c:v>
                </c:pt>
                <c:pt idx="186">
                  <c:v>42590</c:v>
                </c:pt>
                <c:pt idx="187">
                  <c:v>42591</c:v>
                </c:pt>
                <c:pt idx="188">
                  <c:v>42592</c:v>
                </c:pt>
                <c:pt idx="189">
                  <c:v>42593</c:v>
                </c:pt>
                <c:pt idx="190">
                  <c:v>42594</c:v>
                </c:pt>
                <c:pt idx="191">
                  <c:v>42597</c:v>
                </c:pt>
                <c:pt idx="192">
                  <c:v>42598</c:v>
                </c:pt>
                <c:pt idx="193">
                  <c:v>42599</c:v>
                </c:pt>
                <c:pt idx="194">
                  <c:v>42600</c:v>
                </c:pt>
                <c:pt idx="195">
                  <c:v>42601</c:v>
                </c:pt>
                <c:pt idx="196">
                  <c:v>42604</c:v>
                </c:pt>
                <c:pt idx="197">
                  <c:v>42605</c:v>
                </c:pt>
                <c:pt idx="198">
                  <c:v>42606</c:v>
                </c:pt>
                <c:pt idx="199">
                  <c:v>42607</c:v>
                </c:pt>
                <c:pt idx="200">
                  <c:v>42608</c:v>
                </c:pt>
                <c:pt idx="201">
                  <c:v>42611</c:v>
                </c:pt>
                <c:pt idx="202">
                  <c:v>42612</c:v>
                </c:pt>
                <c:pt idx="203">
                  <c:v>42613</c:v>
                </c:pt>
                <c:pt idx="204">
                  <c:v>42614</c:v>
                </c:pt>
                <c:pt idx="205">
                  <c:v>42615</c:v>
                </c:pt>
                <c:pt idx="206">
                  <c:v>42619</c:v>
                </c:pt>
                <c:pt idx="207">
                  <c:v>42620</c:v>
                </c:pt>
                <c:pt idx="208">
                  <c:v>42621</c:v>
                </c:pt>
                <c:pt idx="209">
                  <c:v>42622</c:v>
                </c:pt>
                <c:pt idx="210">
                  <c:v>42625</c:v>
                </c:pt>
                <c:pt idx="211">
                  <c:v>42626</c:v>
                </c:pt>
                <c:pt idx="212">
                  <c:v>42627</c:v>
                </c:pt>
                <c:pt idx="213">
                  <c:v>42628</c:v>
                </c:pt>
                <c:pt idx="214">
                  <c:v>42629</c:v>
                </c:pt>
                <c:pt idx="215">
                  <c:v>42632</c:v>
                </c:pt>
                <c:pt idx="216">
                  <c:v>42633</c:v>
                </c:pt>
                <c:pt idx="217">
                  <c:v>42634</c:v>
                </c:pt>
                <c:pt idx="218">
                  <c:v>42635</c:v>
                </c:pt>
                <c:pt idx="219">
                  <c:v>42636</c:v>
                </c:pt>
                <c:pt idx="220">
                  <c:v>42639</c:v>
                </c:pt>
                <c:pt idx="221">
                  <c:v>42640</c:v>
                </c:pt>
                <c:pt idx="222">
                  <c:v>42641</c:v>
                </c:pt>
                <c:pt idx="223">
                  <c:v>42642</c:v>
                </c:pt>
                <c:pt idx="224">
                  <c:v>42643</c:v>
                </c:pt>
                <c:pt idx="225">
                  <c:v>42646</c:v>
                </c:pt>
                <c:pt idx="226">
                  <c:v>42647</c:v>
                </c:pt>
                <c:pt idx="227">
                  <c:v>42648</c:v>
                </c:pt>
                <c:pt idx="228">
                  <c:v>42649</c:v>
                </c:pt>
                <c:pt idx="229">
                  <c:v>42650</c:v>
                </c:pt>
                <c:pt idx="230">
                  <c:v>42653</c:v>
                </c:pt>
                <c:pt idx="231">
                  <c:v>42654</c:v>
                </c:pt>
                <c:pt idx="232">
                  <c:v>42655</c:v>
                </c:pt>
                <c:pt idx="233">
                  <c:v>42656</c:v>
                </c:pt>
                <c:pt idx="234">
                  <c:v>42657</c:v>
                </c:pt>
                <c:pt idx="235">
                  <c:v>42660</c:v>
                </c:pt>
                <c:pt idx="236">
                  <c:v>42661</c:v>
                </c:pt>
                <c:pt idx="237">
                  <c:v>42662</c:v>
                </c:pt>
                <c:pt idx="238">
                  <c:v>42663</c:v>
                </c:pt>
                <c:pt idx="239">
                  <c:v>42664</c:v>
                </c:pt>
                <c:pt idx="240">
                  <c:v>42667</c:v>
                </c:pt>
                <c:pt idx="241">
                  <c:v>42668</c:v>
                </c:pt>
                <c:pt idx="242">
                  <c:v>42669</c:v>
                </c:pt>
                <c:pt idx="243">
                  <c:v>42670</c:v>
                </c:pt>
                <c:pt idx="244">
                  <c:v>42671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42681</c:v>
                </c:pt>
                <c:pt idx="251">
                  <c:v>42682</c:v>
                </c:pt>
                <c:pt idx="252">
                  <c:v>42683</c:v>
                </c:pt>
                <c:pt idx="253">
                  <c:v>42684</c:v>
                </c:pt>
                <c:pt idx="254">
                  <c:v>42685</c:v>
                </c:pt>
                <c:pt idx="255">
                  <c:v>42688</c:v>
                </c:pt>
                <c:pt idx="256">
                  <c:v>42689</c:v>
                </c:pt>
                <c:pt idx="257">
                  <c:v>42690</c:v>
                </c:pt>
                <c:pt idx="258">
                  <c:v>42691</c:v>
                </c:pt>
                <c:pt idx="259">
                  <c:v>42692</c:v>
                </c:pt>
                <c:pt idx="260">
                  <c:v>42695</c:v>
                </c:pt>
                <c:pt idx="261">
                  <c:v>42696</c:v>
                </c:pt>
                <c:pt idx="262">
                  <c:v>42697</c:v>
                </c:pt>
                <c:pt idx="263">
                  <c:v>42699</c:v>
                </c:pt>
                <c:pt idx="264">
                  <c:v>42702</c:v>
                </c:pt>
                <c:pt idx="265">
                  <c:v>42703</c:v>
                </c:pt>
                <c:pt idx="266">
                  <c:v>42704</c:v>
                </c:pt>
                <c:pt idx="267">
                  <c:v>42705</c:v>
                </c:pt>
                <c:pt idx="268">
                  <c:v>42706</c:v>
                </c:pt>
                <c:pt idx="269">
                  <c:v>42709</c:v>
                </c:pt>
                <c:pt idx="270">
                  <c:v>42710</c:v>
                </c:pt>
                <c:pt idx="271">
                  <c:v>42711</c:v>
                </c:pt>
                <c:pt idx="272">
                  <c:v>42712</c:v>
                </c:pt>
                <c:pt idx="273">
                  <c:v>42713</c:v>
                </c:pt>
                <c:pt idx="274">
                  <c:v>42716</c:v>
                </c:pt>
                <c:pt idx="275">
                  <c:v>42717</c:v>
                </c:pt>
                <c:pt idx="276">
                  <c:v>42718</c:v>
                </c:pt>
                <c:pt idx="277">
                  <c:v>42719</c:v>
                </c:pt>
                <c:pt idx="278">
                  <c:v>42720</c:v>
                </c:pt>
                <c:pt idx="279">
                  <c:v>42723</c:v>
                </c:pt>
                <c:pt idx="280">
                  <c:v>42724</c:v>
                </c:pt>
                <c:pt idx="281">
                  <c:v>42725</c:v>
                </c:pt>
                <c:pt idx="282">
                  <c:v>42726</c:v>
                </c:pt>
                <c:pt idx="283">
                  <c:v>42727</c:v>
                </c:pt>
                <c:pt idx="284">
                  <c:v>42731</c:v>
                </c:pt>
                <c:pt idx="285">
                  <c:v>42732</c:v>
                </c:pt>
                <c:pt idx="286">
                  <c:v>42733</c:v>
                </c:pt>
                <c:pt idx="287">
                  <c:v>42734</c:v>
                </c:pt>
                <c:pt idx="288">
                  <c:v>42738</c:v>
                </c:pt>
                <c:pt idx="289">
                  <c:v>42739</c:v>
                </c:pt>
                <c:pt idx="290">
                  <c:v>42740</c:v>
                </c:pt>
                <c:pt idx="291">
                  <c:v>42741</c:v>
                </c:pt>
                <c:pt idx="292">
                  <c:v>42744</c:v>
                </c:pt>
                <c:pt idx="293">
                  <c:v>42745</c:v>
                </c:pt>
                <c:pt idx="294">
                  <c:v>42746</c:v>
                </c:pt>
                <c:pt idx="295">
                  <c:v>42747</c:v>
                </c:pt>
                <c:pt idx="296">
                  <c:v>42748</c:v>
                </c:pt>
                <c:pt idx="297">
                  <c:v>42752</c:v>
                </c:pt>
                <c:pt idx="298">
                  <c:v>42753</c:v>
                </c:pt>
                <c:pt idx="299">
                  <c:v>42754</c:v>
                </c:pt>
                <c:pt idx="300">
                  <c:v>42755</c:v>
                </c:pt>
                <c:pt idx="301">
                  <c:v>42758</c:v>
                </c:pt>
                <c:pt idx="302">
                  <c:v>42759</c:v>
                </c:pt>
                <c:pt idx="303">
                  <c:v>42760</c:v>
                </c:pt>
                <c:pt idx="304">
                  <c:v>42761</c:v>
                </c:pt>
                <c:pt idx="305">
                  <c:v>42762</c:v>
                </c:pt>
                <c:pt idx="306">
                  <c:v>42765</c:v>
                </c:pt>
                <c:pt idx="307">
                  <c:v>42766</c:v>
                </c:pt>
                <c:pt idx="308">
                  <c:v>42767</c:v>
                </c:pt>
                <c:pt idx="309">
                  <c:v>42768</c:v>
                </c:pt>
                <c:pt idx="310">
                  <c:v>42769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42779</c:v>
                </c:pt>
                <c:pt idx="317">
                  <c:v>42780</c:v>
                </c:pt>
                <c:pt idx="318">
                  <c:v>42781</c:v>
                </c:pt>
                <c:pt idx="319">
                  <c:v>42782</c:v>
                </c:pt>
                <c:pt idx="320">
                  <c:v>42783</c:v>
                </c:pt>
                <c:pt idx="321">
                  <c:v>42787</c:v>
                </c:pt>
                <c:pt idx="322">
                  <c:v>42788</c:v>
                </c:pt>
                <c:pt idx="323">
                  <c:v>42789</c:v>
                </c:pt>
                <c:pt idx="324">
                  <c:v>42790</c:v>
                </c:pt>
                <c:pt idx="325">
                  <c:v>42793</c:v>
                </c:pt>
                <c:pt idx="326">
                  <c:v>42794</c:v>
                </c:pt>
                <c:pt idx="327">
                  <c:v>42795</c:v>
                </c:pt>
                <c:pt idx="328">
                  <c:v>42796</c:v>
                </c:pt>
                <c:pt idx="329">
                  <c:v>42797</c:v>
                </c:pt>
                <c:pt idx="330">
                  <c:v>42800</c:v>
                </c:pt>
                <c:pt idx="331">
                  <c:v>42801</c:v>
                </c:pt>
                <c:pt idx="332">
                  <c:v>42802</c:v>
                </c:pt>
                <c:pt idx="333">
                  <c:v>42803</c:v>
                </c:pt>
                <c:pt idx="334">
                  <c:v>42804</c:v>
                </c:pt>
                <c:pt idx="335">
                  <c:v>42807</c:v>
                </c:pt>
                <c:pt idx="336">
                  <c:v>42808</c:v>
                </c:pt>
                <c:pt idx="337">
                  <c:v>42809</c:v>
                </c:pt>
                <c:pt idx="338">
                  <c:v>42810</c:v>
                </c:pt>
                <c:pt idx="339">
                  <c:v>42811</c:v>
                </c:pt>
                <c:pt idx="340">
                  <c:v>42814</c:v>
                </c:pt>
                <c:pt idx="341">
                  <c:v>42815</c:v>
                </c:pt>
                <c:pt idx="342">
                  <c:v>42816</c:v>
                </c:pt>
                <c:pt idx="343">
                  <c:v>42817</c:v>
                </c:pt>
                <c:pt idx="344">
                  <c:v>42818</c:v>
                </c:pt>
                <c:pt idx="345">
                  <c:v>42821</c:v>
                </c:pt>
                <c:pt idx="346">
                  <c:v>42822</c:v>
                </c:pt>
                <c:pt idx="347">
                  <c:v>42823</c:v>
                </c:pt>
                <c:pt idx="348">
                  <c:v>42824</c:v>
                </c:pt>
                <c:pt idx="349">
                  <c:v>42825</c:v>
                </c:pt>
                <c:pt idx="350">
                  <c:v>42828</c:v>
                </c:pt>
                <c:pt idx="351">
                  <c:v>42829</c:v>
                </c:pt>
                <c:pt idx="352">
                  <c:v>42830</c:v>
                </c:pt>
                <c:pt idx="353">
                  <c:v>42831</c:v>
                </c:pt>
                <c:pt idx="354">
                  <c:v>42832</c:v>
                </c:pt>
                <c:pt idx="355">
                  <c:v>42835</c:v>
                </c:pt>
                <c:pt idx="356">
                  <c:v>42836</c:v>
                </c:pt>
                <c:pt idx="357">
                  <c:v>42837</c:v>
                </c:pt>
                <c:pt idx="358">
                  <c:v>42838</c:v>
                </c:pt>
                <c:pt idx="359">
                  <c:v>42842</c:v>
                </c:pt>
                <c:pt idx="360">
                  <c:v>42843</c:v>
                </c:pt>
                <c:pt idx="361">
                  <c:v>42844</c:v>
                </c:pt>
                <c:pt idx="362">
                  <c:v>42845</c:v>
                </c:pt>
                <c:pt idx="363">
                  <c:v>42846</c:v>
                </c:pt>
                <c:pt idx="364">
                  <c:v>42849</c:v>
                </c:pt>
                <c:pt idx="365">
                  <c:v>42850</c:v>
                </c:pt>
                <c:pt idx="366">
                  <c:v>42851</c:v>
                </c:pt>
                <c:pt idx="367">
                  <c:v>42852</c:v>
                </c:pt>
                <c:pt idx="368">
                  <c:v>42853</c:v>
                </c:pt>
                <c:pt idx="369">
                  <c:v>42856</c:v>
                </c:pt>
                <c:pt idx="370">
                  <c:v>42857</c:v>
                </c:pt>
                <c:pt idx="371">
                  <c:v>42858</c:v>
                </c:pt>
                <c:pt idx="372">
                  <c:v>42859</c:v>
                </c:pt>
                <c:pt idx="373">
                  <c:v>42860</c:v>
                </c:pt>
                <c:pt idx="374">
                  <c:v>42863</c:v>
                </c:pt>
                <c:pt idx="375">
                  <c:v>42864</c:v>
                </c:pt>
                <c:pt idx="376">
                  <c:v>42865</c:v>
                </c:pt>
                <c:pt idx="377">
                  <c:v>42866</c:v>
                </c:pt>
                <c:pt idx="378">
                  <c:v>42867</c:v>
                </c:pt>
                <c:pt idx="379">
                  <c:v>42870</c:v>
                </c:pt>
                <c:pt idx="380">
                  <c:v>42871</c:v>
                </c:pt>
                <c:pt idx="381">
                  <c:v>42872</c:v>
                </c:pt>
                <c:pt idx="382">
                  <c:v>42873</c:v>
                </c:pt>
                <c:pt idx="383">
                  <c:v>42874</c:v>
                </c:pt>
                <c:pt idx="384">
                  <c:v>42877</c:v>
                </c:pt>
                <c:pt idx="385">
                  <c:v>42878</c:v>
                </c:pt>
                <c:pt idx="386">
                  <c:v>42879</c:v>
                </c:pt>
                <c:pt idx="387">
                  <c:v>42880</c:v>
                </c:pt>
                <c:pt idx="388">
                  <c:v>42881</c:v>
                </c:pt>
                <c:pt idx="389">
                  <c:v>42885</c:v>
                </c:pt>
                <c:pt idx="390">
                  <c:v>42886</c:v>
                </c:pt>
                <c:pt idx="391">
                  <c:v>42887</c:v>
                </c:pt>
                <c:pt idx="392">
                  <c:v>42888</c:v>
                </c:pt>
                <c:pt idx="393">
                  <c:v>42891</c:v>
                </c:pt>
                <c:pt idx="394">
                  <c:v>42892</c:v>
                </c:pt>
                <c:pt idx="395">
                  <c:v>42893</c:v>
                </c:pt>
                <c:pt idx="396">
                  <c:v>42894</c:v>
                </c:pt>
                <c:pt idx="397">
                  <c:v>42895</c:v>
                </c:pt>
                <c:pt idx="398">
                  <c:v>42898</c:v>
                </c:pt>
                <c:pt idx="399">
                  <c:v>42899</c:v>
                </c:pt>
                <c:pt idx="400">
                  <c:v>42900</c:v>
                </c:pt>
                <c:pt idx="401">
                  <c:v>42901</c:v>
                </c:pt>
                <c:pt idx="402">
                  <c:v>42902</c:v>
                </c:pt>
                <c:pt idx="403">
                  <c:v>42905</c:v>
                </c:pt>
                <c:pt idx="404">
                  <c:v>42906</c:v>
                </c:pt>
                <c:pt idx="405">
                  <c:v>42907</c:v>
                </c:pt>
                <c:pt idx="406">
                  <c:v>42908</c:v>
                </c:pt>
                <c:pt idx="407">
                  <c:v>42909</c:v>
                </c:pt>
                <c:pt idx="408">
                  <c:v>42912</c:v>
                </c:pt>
                <c:pt idx="409">
                  <c:v>42913</c:v>
                </c:pt>
                <c:pt idx="410">
                  <c:v>42914</c:v>
                </c:pt>
                <c:pt idx="411">
                  <c:v>42915</c:v>
                </c:pt>
                <c:pt idx="412">
                  <c:v>42916</c:v>
                </c:pt>
                <c:pt idx="413">
                  <c:v>42919</c:v>
                </c:pt>
                <c:pt idx="414">
                  <c:v>42921</c:v>
                </c:pt>
                <c:pt idx="415">
                  <c:v>42922</c:v>
                </c:pt>
                <c:pt idx="416">
                  <c:v>42923</c:v>
                </c:pt>
                <c:pt idx="417">
                  <c:v>42926</c:v>
                </c:pt>
                <c:pt idx="418">
                  <c:v>42927</c:v>
                </c:pt>
                <c:pt idx="419">
                  <c:v>42928</c:v>
                </c:pt>
                <c:pt idx="420">
                  <c:v>42929</c:v>
                </c:pt>
                <c:pt idx="421">
                  <c:v>42930</c:v>
                </c:pt>
                <c:pt idx="422">
                  <c:v>42933</c:v>
                </c:pt>
                <c:pt idx="423">
                  <c:v>42934</c:v>
                </c:pt>
                <c:pt idx="424">
                  <c:v>42935</c:v>
                </c:pt>
                <c:pt idx="425">
                  <c:v>42936</c:v>
                </c:pt>
                <c:pt idx="426">
                  <c:v>42937</c:v>
                </c:pt>
                <c:pt idx="427">
                  <c:v>42940</c:v>
                </c:pt>
                <c:pt idx="428">
                  <c:v>42941</c:v>
                </c:pt>
                <c:pt idx="429">
                  <c:v>42942</c:v>
                </c:pt>
                <c:pt idx="430">
                  <c:v>42943</c:v>
                </c:pt>
                <c:pt idx="431">
                  <c:v>42944</c:v>
                </c:pt>
                <c:pt idx="432">
                  <c:v>42947</c:v>
                </c:pt>
                <c:pt idx="433">
                  <c:v>42948</c:v>
                </c:pt>
                <c:pt idx="434">
                  <c:v>42949</c:v>
                </c:pt>
                <c:pt idx="435">
                  <c:v>42950</c:v>
                </c:pt>
                <c:pt idx="436">
                  <c:v>42951</c:v>
                </c:pt>
                <c:pt idx="437">
                  <c:v>42954</c:v>
                </c:pt>
                <c:pt idx="438">
                  <c:v>42955</c:v>
                </c:pt>
                <c:pt idx="439">
                  <c:v>42956</c:v>
                </c:pt>
                <c:pt idx="440">
                  <c:v>42957</c:v>
                </c:pt>
                <c:pt idx="441">
                  <c:v>42958</c:v>
                </c:pt>
                <c:pt idx="442">
                  <c:v>42961</c:v>
                </c:pt>
                <c:pt idx="443">
                  <c:v>42962</c:v>
                </c:pt>
                <c:pt idx="444">
                  <c:v>42963</c:v>
                </c:pt>
                <c:pt idx="445">
                  <c:v>42964</c:v>
                </c:pt>
                <c:pt idx="446">
                  <c:v>42965</c:v>
                </c:pt>
                <c:pt idx="447">
                  <c:v>42968</c:v>
                </c:pt>
                <c:pt idx="448">
                  <c:v>42969</c:v>
                </c:pt>
                <c:pt idx="449">
                  <c:v>42970</c:v>
                </c:pt>
                <c:pt idx="450">
                  <c:v>42971</c:v>
                </c:pt>
                <c:pt idx="451">
                  <c:v>42972</c:v>
                </c:pt>
                <c:pt idx="452">
                  <c:v>42975</c:v>
                </c:pt>
                <c:pt idx="453">
                  <c:v>42976</c:v>
                </c:pt>
                <c:pt idx="454">
                  <c:v>42977</c:v>
                </c:pt>
                <c:pt idx="455">
                  <c:v>42978</c:v>
                </c:pt>
                <c:pt idx="456">
                  <c:v>42979</c:v>
                </c:pt>
                <c:pt idx="457">
                  <c:v>42983</c:v>
                </c:pt>
                <c:pt idx="458">
                  <c:v>42984</c:v>
                </c:pt>
                <c:pt idx="459">
                  <c:v>42985</c:v>
                </c:pt>
                <c:pt idx="460">
                  <c:v>42986</c:v>
                </c:pt>
                <c:pt idx="461">
                  <c:v>42989</c:v>
                </c:pt>
                <c:pt idx="462">
                  <c:v>42990</c:v>
                </c:pt>
                <c:pt idx="463">
                  <c:v>42991</c:v>
                </c:pt>
                <c:pt idx="464">
                  <c:v>42992</c:v>
                </c:pt>
                <c:pt idx="465">
                  <c:v>42993</c:v>
                </c:pt>
                <c:pt idx="466">
                  <c:v>42996</c:v>
                </c:pt>
                <c:pt idx="467">
                  <c:v>42997</c:v>
                </c:pt>
                <c:pt idx="468">
                  <c:v>42998</c:v>
                </c:pt>
                <c:pt idx="469">
                  <c:v>42999</c:v>
                </c:pt>
                <c:pt idx="470">
                  <c:v>43000</c:v>
                </c:pt>
                <c:pt idx="471">
                  <c:v>43003</c:v>
                </c:pt>
                <c:pt idx="472">
                  <c:v>43004</c:v>
                </c:pt>
                <c:pt idx="473">
                  <c:v>43005</c:v>
                </c:pt>
                <c:pt idx="474">
                  <c:v>43006</c:v>
                </c:pt>
                <c:pt idx="475">
                  <c:v>43007</c:v>
                </c:pt>
                <c:pt idx="476">
                  <c:v>43010</c:v>
                </c:pt>
                <c:pt idx="477">
                  <c:v>43011</c:v>
                </c:pt>
                <c:pt idx="478">
                  <c:v>43012</c:v>
                </c:pt>
                <c:pt idx="479">
                  <c:v>43013</c:v>
                </c:pt>
                <c:pt idx="480">
                  <c:v>43014</c:v>
                </c:pt>
                <c:pt idx="481">
                  <c:v>43017</c:v>
                </c:pt>
                <c:pt idx="482">
                  <c:v>43018</c:v>
                </c:pt>
                <c:pt idx="483">
                  <c:v>43019</c:v>
                </c:pt>
                <c:pt idx="484">
                  <c:v>43020</c:v>
                </c:pt>
                <c:pt idx="485">
                  <c:v>43021</c:v>
                </c:pt>
                <c:pt idx="486">
                  <c:v>43024</c:v>
                </c:pt>
                <c:pt idx="487">
                  <c:v>43025</c:v>
                </c:pt>
                <c:pt idx="488">
                  <c:v>43026</c:v>
                </c:pt>
                <c:pt idx="489">
                  <c:v>43027</c:v>
                </c:pt>
                <c:pt idx="490">
                  <c:v>43028</c:v>
                </c:pt>
                <c:pt idx="491">
                  <c:v>43031</c:v>
                </c:pt>
                <c:pt idx="492">
                  <c:v>43032</c:v>
                </c:pt>
                <c:pt idx="493">
                  <c:v>43033</c:v>
                </c:pt>
                <c:pt idx="494">
                  <c:v>43034</c:v>
                </c:pt>
                <c:pt idx="495">
                  <c:v>43035</c:v>
                </c:pt>
                <c:pt idx="496">
                  <c:v>43038</c:v>
                </c:pt>
                <c:pt idx="497">
                  <c:v>43039</c:v>
                </c:pt>
                <c:pt idx="498">
                  <c:v>43040</c:v>
                </c:pt>
                <c:pt idx="499">
                  <c:v>43041</c:v>
                </c:pt>
                <c:pt idx="500">
                  <c:v>43042</c:v>
                </c:pt>
                <c:pt idx="501">
                  <c:v>43045</c:v>
                </c:pt>
                <c:pt idx="502">
                  <c:v>43046</c:v>
                </c:pt>
                <c:pt idx="503">
                  <c:v>43047</c:v>
                </c:pt>
                <c:pt idx="504">
                  <c:v>43048</c:v>
                </c:pt>
                <c:pt idx="505">
                  <c:v>43049</c:v>
                </c:pt>
                <c:pt idx="506">
                  <c:v>43052</c:v>
                </c:pt>
                <c:pt idx="507">
                  <c:v>43053</c:v>
                </c:pt>
                <c:pt idx="508">
                  <c:v>43054</c:v>
                </c:pt>
                <c:pt idx="509">
                  <c:v>43055</c:v>
                </c:pt>
                <c:pt idx="510">
                  <c:v>43056</c:v>
                </c:pt>
                <c:pt idx="511">
                  <c:v>43059</c:v>
                </c:pt>
                <c:pt idx="512">
                  <c:v>43060</c:v>
                </c:pt>
                <c:pt idx="513">
                  <c:v>43061</c:v>
                </c:pt>
                <c:pt idx="514">
                  <c:v>43063</c:v>
                </c:pt>
                <c:pt idx="515">
                  <c:v>43066</c:v>
                </c:pt>
                <c:pt idx="516">
                  <c:v>43067</c:v>
                </c:pt>
                <c:pt idx="517">
                  <c:v>43068</c:v>
                </c:pt>
                <c:pt idx="518">
                  <c:v>43069</c:v>
                </c:pt>
                <c:pt idx="519">
                  <c:v>43070</c:v>
                </c:pt>
                <c:pt idx="520">
                  <c:v>43073</c:v>
                </c:pt>
                <c:pt idx="521">
                  <c:v>43074</c:v>
                </c:pt>
                <c:pt idx="522">
                  <c:v>43075</c:v>
                </c:pt>
                <c:pt idx="523">
                  <c:v>43076</c:v>
                </c:pt>
                <c:pt idx="524">
                  <c:v>43077</c:v>
                </c:pt>
                <c:pt idx="525">
                  <c:v>43080</c:v>
                </c:pt>
                <c:pt idx="526">
                  <c:v>43081</c:v>
                </c:pt>
                <c:pt idx="527">
                  <c:v>43082</c:v>
                </c:pt>
                <c:pt idx="528">
                  <c:v>43083</c:v>
                </c:pt>
                <c:pt idx="529">
                  <c:v>43084</c:v>
                </c:pt>
                <c:pt idx="530">
                  <c:v>43087</c:v>
                </c:pt>
                <c:pt idx="531">
                  <c:v>43088</c:v>
                </c:pt>
                <c:pt idx="532">
                  <c:v>43089</c:v>
                </c:pt>
                <c:pt idx="533">
                  <c:v>43090</c:v>
                </c:pt>
                <c:pt idx="534">
                  <c:v>43091</c:v>
                </c:pt>
                <c:pt idx="535">
                  <c:v>43095</c:v>
                </c:pt>
                <c:pt idx="536">
                  <c:v>43096</c:v>
                </c:pt>
                <c:pt idx="537">
                  <c:v>43097</c:v>
                </c:pt>
                <c:pt idx="538">
                  <c:v>43098</c:v>
                </c:pt>
                <c:pt idx="539">
                  <c:v>43102</c:v>
                </c:pt>
                <c:pt idx="540">
                  <c:v>43103</c:v>
                </c:pt>
                <c:pt idx="541">
                  <c:v>43104</c:v>
                </c:pt>
                <c:pt idx="542">
                  <c:v>43105</c:v>
                </c:pt>
                <c:pt idx="543">
                  <c:v>43108</c:v>
                </c:pt>
                <c:pt idx="544">
                  <c:v>43109</c:v>
                </c:pt>
                <c:pt idx="545">
                  <c:v>43110</c:v>
                </c:pt>
                <c:pt idx="546">
                  <c:v>43111</c:v>
                </c:pt>
                <c:pt idx="547">
                  <c:v>43112</c:v>
                </c:pt>
                <c:pt idx="548">
                  <c:v>43116</c:v>
                </c:pt>
                <c:pt idx="549">
                  <c:v>43117</c:v>
                </c:pt>
                <c:pt idx="550">
                  <c:v>43118</c:v>
                </c:pt>
                <c:pt idx="551">
                  <c:v>43119</c:v>
                </c:pt>
                <c:pt idx="552">
                  <c:v>43122</c:v>
                </c:pt>
                <c:pt idx="553">
                  <c:v>43123</c:v>
                </c:pt>
                <c:pt idx="554">
                  <c:v>43124</c:v>
                </c:pt>
                <c:pt idx="555">
                  <c:v>43125</c:v>
                </c:pt>
                <c:pt idx="556">
                  <c:v>43126</c:v>
                </c:pt>
                <c:pt idx="557">
                  <c:v>43129</c:v>
                </c:pt>
                <c:pt idx="558">
                  <c:v>43130</c:v>
                </c:pt>
                <c:pt idx="559">
                  <c:v>43131</c:v>
                </c:pt>
                <c:pt idx="560">
                  <c:v>43132</c:v>
                </c:pt>
                <c:pt idx="561">
                  <c:v>43133</c:v>
                </c:pt>
                <c:pt idx="562">
                  <c:v>43136</c:v>
                </c:pt>
                <c:pt idx="563">
                  <c:v>43137</c:v>
                </c:pt>
                <c:pt idx="564">
                  <c:v>43138</c:v>
                </c:pt>
                <c:pt idx="565">
                  <c:v>43139</c:v>
                </c:pt>
                <c:pt idx="566">
                  <c:v>43140</c:v>
                </c:pt>
                <c:pt idx="567">
                  <c:v>43143</c:v>
                </c:pt>
                <c:pt idx="568">
                  <c:v>43144</c:v>
                </c:pt>
                <c:pt idx="569">
                  <c:v>43145</c:v>
                </c:pt>
                <c:pt idx="570">
                  <c:v>43146</c:v>
                </c:pt>
                <c:pt idx="571">
                  <c:v>43147</c:v>
                </c:pt>
                <c:pt idx="572">
                  <c:v>43151</c:v>
                </c:pt>
                <c:pt idx="573">
                  <c:v>43152</c:v>
                </c:pt>
                <c:pt idx="574">
                  <c:v>43153</c:v>
                </c:pt>
                <c:pt idx="575">
                  <c:v>43154</c:v>
                </c:pt>
                <c:pt idx="576">
                  <c:v>43157</c:v>
                </c:pt>
                <c:pt idx="577">
                  <c:v>43158</c:v>
                </c:pt>
                <c:pt idx="578">
                  <c:v>43159</c:v>
                </c:pt>
                <c:pt idx="579">
                  <c:v>43160</c:v>
                </c:pt>
                <c:pt idx="580">
                  <c:v>43161</c:v>
                </c:pt>
                <c:pt idx="581">
                  <c:v>43164</c:v>
                </c:pt>
                <c:pt idx="582">
                  <c:v>43165</c:v>
                </c:pt>
                <c:pt idx="583">
                  <c:v>43166</c:v>
                </c:pt>
                <c:pt idx="584">
                  <c:v>43167</c:v>
                </c:pt>
                <c:pt idx="585">
                  <c:v>43168</c:v>
                </c:pt>
                <c:pt idx="586">
                  <c:v>43171</c:v>
                </c:pt>
                <c:pt idx="587">
                  <c:v>43172</c:v>
                </c:pt>
                <c:pt idx="588">
                  <c:v>43173</c:v>
                </c:pt>
                <c:pt idx="589">
                  <c:v>43174</c:v>
                </c:pt>
                <c:pt idx="590">
                  <c:v>43175</c:v>
                </c:pt>
                <c:pt idx="591">
                  <c:v>43178</c:v>
                </c:pt>
                <c:pt idx="592">
                  <c:v>43179</c:v>
                </c:pt>
                <c:pt idx="593">
                  <c:v>43180</c:v>
                </c:pt>
                <c:pt idx="594">
                  <c:v>43181</c:v>
                </c:pt>
                <c:pt idx="595">
                  <c:v>43182</c:v>
                </c:pt>
                <c:pt idx="596">
                  <c:v>43185</c:v>
                </c:pt>
                <c:pt idx="597">
                  <c:v>43186</c:v>
                </c:pt>
                <c:pt idx="598">
                  <c:v>43187</c:v>
                </c:pt>
                <c:pt idx="599">
                  <c:v>43188</c:v>
                </c:pt>
                <c:pt idx="600">
                  <c:v>43192</c:v>
                </c:pt>
                <c:pt idx="601">
                  <c:v>43193</c:v>
                </c:pt>
                <c:pt idx="602">
                  <c:v>43194</c:v>
                </c:pt>
                <c:pt idx="603">
                  <c:v>43195</c:v>
                </c:pt>
                <c:pt idx="604">
                  <c:v>43196</c:v>
                </c:pt>
                <c:pt idx="605">
                  <c:v>43199</c:v>
                </c:pt>
                <c:pt idx="606">
                  <c:v>43200</c:v>
                </c:pt>
                <c:pt idx="607">
                  <c:v>43201</c:v>
                </c:pt>
                <c:pt idx="608">
                  <c:v>43202</c:v>
                </c:pt>
                <c:pt idx="609">
                  <c:v>43203</c:v>
                </c:pt>
                <c:pt idx="610">
                  <c:v>43206</c:v>
                </c:pt>
                <c:pt idx="611">
                  <c:v>43207</c:v>
                </c:pt>
                <c:pt idx="612">
                  <c:v>43208</c:v>
                </c:pt>
                <c:pt idx="613">
                  <c:v>43209</c:v>
                </c:pt>
                <c:pt idx="614">
                  <c:v>43210</c:v>
                </c:pt>
                <c:pt idx="615">
                  <c:v>43213</c:v>
                </c:pt>
                <c:pt idx="616">
                  <c:v>43214</c:v>
                </c:pt>
                <c:pt idx="617">
                  <c:v>43215</c:v>
                </c:pt>
                <c:pt idx="618">
                  <c:v>43216</c:v>
                </c:pt>
                <c:pt idx="619">
                  <c:v>43217</c:v>
                </c:pt>
                <c:pt idx="620">
                  <c:v>43220</c:v>
                </c:pt>
                <c:pt idx="621">
                  <c:v>43221</c:v>
                </c:pt>
                <c:pt idx="622">
                  <c:v>43222</c:v>
                </c:pt>
                <c:pt idx="623">
                  <c:v>43223</c:v>
                </c:pt>
                <c:pt idx="624">
                  <c:v>43224</c:v>
                </c:pt>
                <c:pt idx="625">
                  <c:v>43227</c:v>
                </c:pt>
                <c:pt idx="626">
                  <c:v>43228</c:v>
                </c:pt>
                <c:pt idx="627">
                  <c:v>43229</c:v>
                </c:pt>
                <c:pt idx="628">
                  <c:v>43230</c:v>
                </c:pt>
                <c:pt idx="629">
                  <c:v>43231</c:v>
                </c:pt>
                <c:pt idx="630">
                  <c:v>43234</c:v>
                </c:pt>
                <c:pt idx="631">
                  <c:v>43235</c:v>
                </c:pt>
                <c:pt idx="632">
                  <c:v>43236</c:v>
                </c:pt>
                <c:pt idx="633">
                  <c:v>43237</c:v>
                </c:pt>
                <c:pt idx="634">
                  <c:v>43238</c:v>
                </c:pt>
                <c:pt idx="635">
                  <c:v>43241</c:v>
                </c:pt>
                <c:pt idx="636">
                  <c:v>43242</c:v>
                </c:pt>
                <c:pt idx="637">
                  <c:v>43243</c:v>
                </c:pt>
                <c:pt idx="638">
                  <c:v>43244</c:v>
                </c:pt>
                <c:pt idx="639">
                  <c:v>43245</c:v>
                </c:pt>
                <c:pt idx="640">
                  <c:v>43249</c:v>
                </c:pt>
                <c:pt idx="641">
                  <c:v>43250</c:v>
                </c:pt>
                <c:pt idx="642">
                  <c:v>43251</c:v>
                </c:pt>
                <c:pt idx="643">
                  <c:v>43252</c:v>
                </c:pt>
                <c:pt idx="644">
                  <c:v>43255</c:v>
                </c:pt>
                <c:pt idx="645">
                  <c:v>43256</c:v>
                </c:pt>
                <c:pt idx="646">
                  <c:v>43257</c:v>
                </c:pt>
                <c:pt idx="647">
                  <c:v>43258</c:v>
                </c:pt>
                <c:pt idx="648">
                  <c:v>43259</c:v>
                </c:pt>
                <c:pt idx="649">
                  <c:v>43262</c:v>
                </c:pt>
                <c:pt idx="650">
                  <c:v>43263</c:v>
                </c:pt>
                <c:pt idx="651">
                  <c:v>43264</c:v>
                </c:pt>
                <c:pt idx="652">
                  <c:v>43265</c:v>
                </c:pt>
                <c:pt idx="653">
                  <c:v>43266</c:v>
                </c:pt>
                <c:pt idx="654">
                  <c:v>43269</c:v>
                </c:pt>
                <c:pt idx="655">
                  <c:v>43270</c:v>
                </c:pt>
                <c:pt idx="656">
                  <c:v>43271</c:v>
                </c:pt>
                <c:pt idx="657">
                  <c:v>43272</c:v>
                </c:pt>
                <c:pt idx="658">
                  <c:v>43273</c:v>
                </c:pt>
                <c:pt idx="659">
                  <c:v>43276</c:v>
                </c:pt>
                <c:pt idx="660">
                  <c:v>43277</c:v>
                </c:pt>
                <c:pt idx="661">
                  <c:v>43278</c:v>
                </c:pt>
                <c:pt idx="662">
                  <c:v>43279</c:v>
                </c:pt>
                <c:pt idx="663">
                  <c:v>43280</c:v>
                </c:pt>
                <c:pt idx="664">
                  <c:v>43283</c:v>
                </c:pt>
                <c:pt idx="665">
                  <c:v>43284</c:v>
                </c:pt>
                <c:pt idx="666">
                  <c:v>43286</c:v>
                </c:pt>
                <c:pt idx="667">
                  <c:v>43287</c:v>
                </c:pt>
                <c:pt idx="668">
                  <c:v>43290</c:v>
                </c:pt>
                <c:pt idx="669">
                  <c:v>43291</c:v>
                </c:pt>
                <c:pt idx="670">
                  <c:v>43292</c:v>
                </c:pt>
                <c:pt idx="671">
                  <c:v>43293</c:v>
                </c:pt>
                <c:pt idx="672">
                  <c:v>43294</c:v>
                </c:pt>
                <c:pt idx="673">
                  <c:v>43297</c:v>
                </c:pt>
                <c:pt idx="674">
                  <c:v>43298</c:v>
                </c:pt>
                <c:pt idx="675">
                  <c:v>43299</c:v>
                </c:pt>
                <c:pt idx="676">
                  <c:v>43300</c:v>
                </c:pt>
                <c:pt idx="677">
                  <c:v>43301</c:v>
                </c:pt>
                <c:pt idx="678">
                  <c:v>43304</c:v>
                </c:pt>
                <c:pt idx="679">
                  <c:v>43305</c:v>
                </c:pt>
                <c:pt idx="680">
                  <c:v>43306</c:v>
                </c:pt>
                <c:pt idx="681">
                  <c:v>43307</c:v>
                </c:pt>
                <c:pt idx="682">
                  <c:v>43308</c:v>
                </c:pt>
                <c:pt idx="683">
                  <c:v>43311</c:v>
                </c:pt>
                <c:pt idx="684">
                  <c:v>43312</c:v>
                </c:pt>
                <c:pt idx="685">
                  <c:v>43313</c:v>
                </c:pt>
                <c:pt idx="686">
                  <c:v>43314</c:v>
                </c:pt>
                <c:pt idx="687">
                  <c:v>43315</c:v>
                </c:pt>
                <c:pt idx="688">
                  <c:v>43318</c:v>
                </c:pt>
                <c:pt idx="689">
                  <c:v>43319</c:v>
                </c:pt>
                <c:pt idx="690">
                  <c:v>43320</c:v>
                </c:pt>
                <c:pt idx="691">
                  <c:v>43321</c:v>
                </c:pt>
                <c:pt idx="692">
                  <c:v>43322</c:v>
                </c:pt>
                <c:pt idx="693">
                  <c:v>43325</c:v>
                </c:pt>
                <c:pt idx="694">
                  <c:v>43326</c:v>
                </c:pt>
                <c:pt idx="695">
                  <c:v>43327</c:v>
                </c:pt>
                <c:pt idx="696">
                  <c:v>43328</c:v>
                </c:pt>
                <c:pt idx="697">
                  <c:v>43329</c:v>
                </c:pt>
                <c:pt idx="698">
                  <c:v>43332</c:v>
                </c:pt>
                <c:pt idx="699">
                  <c:v>43333</c:v>
                </c:pt>
                <c:pt idx="700">
                  <c:v>43334</c:v>
                </c:pt>
                <c:pt idx="701">
                  <c:v>43335</c:v>
                </c:pt>
                <c:pt idx="702">
                  <c:v>43336</c:v>
                </c:pt>
                <c:pt idx="703">
                  <c:v>43339</c:v>
                </c:pt>
                <c:pt idx="704">
                  <c:v>43340</c:v>
                </c:pt>
                <c:pt idx="705">
                  <c:v>43341</c:v>
                </c:pt>
                <c:pt idx="706">
                  <c:v>43342</c:v>
                </c:pt>
                <c:pt idx="707">
                  <c:v>43343</c:v>
                </c:pt>
                <c:pt idx="708">
                  <c:v>43347</c:v>
                </c:pt>
                <c:pt idx="709">
                  <c:v>43348</c:v>
                </c:pt>
                <c:pt idx="710">
                  <c:v>43349</c:v>
                </c:pt>
                <c:pt idx="711">
                  <c:v>43350</c:v>
                </c:pt>
                <c:pt idx="712">
                  <c:v>43353</c:v>
                </c:pt>
                <c:pt idx="713">
                  <c:v>43354</c:v>
                </c:pt>
                <c:pt idx="714">
                  <c:v>43355</c:v>
                </c:pt>
                <c:pt idx="715">
                  <c:v>43356</c:v>
                </c:pt>
                <c:pt idx="716">
                  <c:v>43357</c:v>
                </c:pt>
                <c:pt idx="717">
                  <c:v>43360</c:v>
                </c:pt>
                <c:pt idx="718">
                  <c:v>43361</c:v>
                </c:pt>
                <c:pt idx="719">
                  <c:v>43362</c:v>
                </c:pt>
                <c:pt idx="720">
                  <c:v>43363</c:v>
                </c:pt>
                <c:pt idx="721">
                  <c:v>43364</c:v>
                </c:pt>
                <c:pt idx="722">
                  <c:v>43367</c:v>
                </c:pt>
                <c:pt idx="723">
                  <c:v>43368</c:v>
                </c:pt>
                <c:pt idx="724">
                  <c:v>43369</c:v>
                </c:pt>
                <c:pt idx="725">
                  <c:v>43370</c:v>
                </c:pt>
                <c:pt idx="726">
                  <c:v>43371</c:v>
                </c:pt>
                <c:pt idx="727">
                  <c:v>43374</c:v>
                </c:pt>
                <c:pt idx="728">
                  <c:v>43375</c:v>
                </c:pt>
                <c:pt idx="729">
                  <c:v>43376</c:v>
                </c:pt>
                <c:pt idx="730">
                  <c:v>43377</c:v>
                </c:pt>
                <c:pt idx="731">
                  <c:v>43378</c:v>
                </c:pt>
                <c:pt idx="732">
                  <c:v>43381</c:v>
                </c:pt>
                <c:pt idx="733">
                  <c:v>43382</c:v>
                </c:pt>
                <c:pt idx="734">
                  <c:v>43383</c:v>
                </c:pt>
                <c:pt idx="735">
                  <c:v>43384</c:v>
                </c:pt>
                <c:pt idx="736">
                  <c:v>43385</c:v>
                </c:pt>
                <c:pt idx="737">
                  <c:v>43388</c:v>
                </c:pt>
              </c:numCache>
            </c:numRef>
          </c:xVal>
          <c:yVal>
            <c:numRef>
              <c:f>'tesla-stock-price'!$H$21:$H$749</c:f>
              <c:numCache>
                <c:formatCode>General</c:formatCode>
                <c:ptCount val="729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10037.41</c:v>
                </c:pt>
                <c:pt idx="32">
                  <c:v>9967.75</c:v>
                </c:pt>
                <c:pt idx="33">
                  <c:v>10322.07</c:v>
                </c:pt>
                <c:pt idx="34">
                  <c:v>10360.77</c:v>
                </c:pt>
                <c:pt idx="35">
                  <c:v>10443.33</c:v>
                </c:pt>
                <c:pt idx="36">
                  <c:v>9729.5299999999988</c:v>
                </c:pt>
                <c:pt idx="37">
                  <c:v>9730.39</c:v>
                </c:pt>
                <c:pt idx="38">
                  <c:v>9541.619999999999</c:v>
                </c:pt>
                <c:pt idx="39">
                  <c:v>9541.619999999999</c:v>
                </c:pt>
                <c:pt idx="40">
                  <c:v>9541.619999999999</c:v>
                </c:pt>
                <c:pt idx="41">
                  <c:v>9541.619999999999</c:v>
                </c:pt>
                <c:pt idx="42">
                  <c:v>9541.619999999999</c:v>
                </c:pt>
                <c:pt idx="43">
                  <c:v>9541.619999999999</c:v>
                </c:pt>
                <c:pt idx="44">
                  <c:v>9541.619999999999</c:v>
                </c:pt>
                <c:pt idx="45">
                  <c:v>9541.619999999999</c:v>
                </c:pt>
                <c:pt idx="46">
                  <c:v>9541.619999999999</c:v>
                </c:pt>
                <c:pt idx="47">
                  <c:v>9541.619999999999</c:v>
                </c:pt>
                <c:pt idx="48">
                  <c:v>9541.619999999999</c:v>
                </c:pt>
                <c:pt idx="49">
                  <c:v>9541.619999999999</c:v>
                </c:pt>
                <c:pt idx="50">
                  <c:v>9541.619999999999</c:v>
                </c:pt>
                <c:pt idx="51">
                  <c:v>9541.619999999999</c:v>
                </c:pt>
                <c:pt idx="52">
                  <c:v>9541.619999999999</c:v>
                </c:pt>
                <c:pt idx="53">
                  <c:v>9541.619999999999</c:v>
                </c:pt>
                <c:pt idx="54">
                  <c:v>9541.619999999999</c:v>
                </c:pt>
                <c:pt idx="55">
                  <c:v>9541.619999999999</c:v>
                </c:pt>
                <c:pt idx="56">
                  <c:v>9541.619999999999</c:v>
                </c:pt>
                <c:pt idx="57">
                  <c:v>9541.619999999999</c:v>
                </c:pt>
                <c:pt idx="58">
                  <c:v>9541.619999999999</c:v>
                </c:pt>
                <c:pt idx="59">
                  <c:v>9541.619999999999</c:v>
                </c:pt>
                <c:pt idx="60">
                  <c:v>9541.619999999999</c:v>
                </c:pt>
                <c:pt idx="61">
                  <c:v>9541.619999999999</c:v>
                </c:pt>
                <c:pt idx="62">
                  <c:v>9541.619999999999</c:v>
                </c:pt>
                <c:pt idx="63">
                  <c:v>9541.619999999999</c:v>
                </c:pt>
                <c:pt idx="64">
                  <c:v>9541.619999999999</c:v>
                </c:pt>
                <c:pt idx="65">
                  <c:v>9541.619999999999</c:v>
                </c:pt>
                <c:pt idx="66">
                  <c:v>9541.619999999999</c:v>
                </c:pt>
                <c:pt idx="67">
                  <c:v>9541.619999999999</c:v>
                </c:pt>
                <c:pt idx="68">
                  <c:v>9541.6200000000044</c:v>
                </c:pt>
                <c:pt idx="69">
                  <c:v>10177.740000000003</c:v>
                </c:pt>
                <c:pt idx="70">
                  <c:v>10147.530000000004</c:v>
                </c:pt>
                <c:pt idx="71">
                  <c:v>10249.560000000003</c:v>
                </c:pt>
                <c:pt idx="72">
                  <c:v>10730.070000000003</c:v>
                </c:pt>
                <c:pt idx="73">
                  <c:v>10895.940000000004</c:v>
                </c:pt>
                <c:pt idx="74">
                  <c:v>10986.570000000003</c:v>
                </c:pt>
                <c:pt idx="75">
                  <c:v>10668.510000000002</c:v>
                </c:pt>
                <c:pt idx="76">
                  <c:v>10781.940000000004</c:v>
                </c:pt>
                <c:pt idx="77">
                  <c:v>11203.740000000003</c:v>
                </c:pt>
                <c:pt idx="78">
                  <c:v>11505.840000000002</c:v>
                </c:pt>
                <c:pt idx="79">
                  <c:v>11748.090000000002</c:v>
                </c:pt>
                <c:pt idx="80">
                  <c:v>11594.760000000002</c:v>
                </c:pt>
                <c:pt idx="81">
                  <c:v>11943.600000000002</c:v>
                </c:pt>
                <c:pt idx="82">
                  <c:v>11741.820000000003</c:v>
                </c:pt>
                <c:pt idx="83">
                  <c:v>11874.060000000003</c:v>
                </c:pt>
                <c:pt idx="84">
                  <c:v>12310.110000000004</c:v>
                </c:pt>
                <c:pt idx="85">
                  <c:v>12491.940000000004</c:v>
                </c:pt>
                <c:pt idx="86">
                  <c:v>12696.570000000003</c:v>
                </c:pt>
                <c:pt idx="87">
                  <c:v>12950.220000000003</c:v>
                </c:pt>
                <c:pt idx="88">
                  <c:v>13312.740000000003</c:v>
                </c:pt>
                <c:pt idx="89">
                  <c:v>13630.800000000003</c:v>
                </c:pt>
                <c:pt idx="90">
                  <c:v>13398.240000000003</c:v>
                </c:pt>
                <c:pt idx="91">
                  <c:v>12733.620000000004</c:v>
                </c:pt>
                <c:pt idx="92">
                  <c:v>13028.310000000003</c:v>
                </c:pt>
                <c:pt idx="93">
                  <c:v>13171.380000000003</c:v>
                </c:pt>
                <c:pt idx="94">
                  <c:v>13163.970000000003</c:v>
                </c:pt>
                <c:pt idx="95">
                  <c:v>12979.290000000003</c:v>
                </c:pt>
                <c:pt idx="96">
                  <c:v>13143.450000000004</c:v>
                </c:pt>
                <c:pt idx="97">
                  <c:v>13589.190000000004</c:v>
                </c:pt>
                <c:pt idx="98">
                  <c:v>14124.990000000003</c:v>
                </c:pt>
                <c:pt idx="99">
                  <c:v>14608.350000000002</c:v>
                </c:pt>
                <c:pt idx="100">
                  <c:v>15175.500000000004</c:v>
                </c:pt>
                <c:pt idx="101">
                  <c:v>14706.960000000003</c:v>
                </c:pt>
                <c:pt idx="102">
                  <c:v>14300.550000000003</c:v>
                </c:pt>
                <c:pt idx="103">
                  <c:v>14292.000000000002</c:v>
                </c:pt>
                <c:pt idx="104">
                  <c:v>14172.300000000003</c:v>
                </c:pt>
                <c:pt idx="105">
                  <c:v>14554.770000000004</c:v>
                </c:pt>
                <c:pt idx="106">
                  <c:v>14402.580000000004</c:v>
                </c:pt>
                <c:pt idx="107">
                  <c:v>14553.630000000003</c:v>
                </c:pt>
                <c:pt idx="108">
                  <c:v>14517.720000000003</c:v>
                </c:pt>
                <c:pt idx="109">
                  <c:v>14146.650000000003</c:v>
                </c:pt>
                <c:pt idx="110">
                  <c:v>14294.850000000002</c:v>
                </c:pt>
                <c:pt idx="111">
                  <c:v>14294.850000000002</c:v>
                </c:pt>
                <c:pt idx="112">
                  <c:v>14294.850000000002</c:v>
                </c:pt>
                <c:pt idx="113">
                  <c:v>14294.850000000002</c:v>
                </c:pt>
                <c:pt idx="114">
                  <c:v>14294.850000000013</c:v>
                </c:pt>
                <c:pt idx="115">
                  <c:v>14167.730000000012</c:v>
                </c:pt>
                <c:pt idx="116">
                  <c:v>13957.170000000013</c:v>
                </c:pt>
                <c:pt idx="117">
                  <c:v>13567.970000000012</c:v>
                </c:pt>
                <c:pt idx="118">
                  <c:v>13567.970000000012</c:v>
                </c:pt>
                <c:pt idx="119">
                  <c:v>13567.970000000012</c:v>
                </c:pt>
                <c:pt idx="120">
                  <c:v>13567.970000000012</c:v>
                </c:pt>
                <c:pt idx="121">
                  <c:v>13567.970000000012</c:v>
                </c:pt>
                <c:pt idx="122">
                  <c:v>13567.970000000012</c:v>
                </c:pt>
                <c:pt idx="123">
                  <c:v>13567.970000000012</c:v>
                </c:pt>
                <c:pt idx="124">
                  <c:v>13567.970000000012</c:v>
                </c:pt>
                <c:pt idx="125">
                  <c:v>13567.970000000012</c:v>
                </c:pt>
                <c:pt idx="126">
                  <c:v>13567.970000000012</c:v>
                </c:pt>
                <c:pt idx="127">
                  <c:v>13567.970000000012</c:v>
                </c:pt>
                <c:pt idx="128">
                  <c:v>13567.970000000012</c:v>
                </c:pt>
                <c:pt idx="129">
                  <c:v>13567.970000000012</c:v>
                </c:pt>
                <c:pt idx="130">
                  <c:v>13567.970000000012</c:v>
                </c:pt>
                <c:pt idx="131">
                  <c:v>13567.970000000012</c:v>
                </c:pt>
                <c:pt idx="132">
                  <c:v>13567.970000000012</c:v>
                </c:pt>
                <c:pt idx="133">
                  <c:v>13567.970000000025</c:v>
                </c:pt>
                <c:pt idx="134">
                  <c:v>13672.750000000025</c:v>
                </c:pt>
                <c:pt idx="135">
                  <c:v>13776.290000000026</c:v>
                </c:pt>
                <c:pt idx="136">
                  <c:v>14119.770000000026</c:v>
                </c:pt>
                <c:pt idx="137">
                  <c:v>13990.810000000025</c:v>
                </c:pt>
                <c:pt idx="138">
                  <c:v>14002.590000000026</c:v>
                </c:pt>
                <c:pt idx="139">
                  <c:v>13775.050000000025</c:v>
                </c:pt>
                <c:pt idx="140">
                  <c:v>13737.850000000026</c:v>
                </c:pt>
                <c:pt idx="141">
                  <c:v>13739.710000000026</c:v>
                </c:pt>
                <c:pt idx="142">
                  <c:v>13844.490000000025</c:v>
                </c:pt>
                <c:pt idx="143">
                  <c:v>14567.410000000025</c:v>
                </c:pt>
                <c:pt idx="144">
                  <c:v>14567.410000000007</c:v>
                </c:pt>
                <c:pt idx="145">
                  <c:v>14191.650000000007</c:v>
                </c:pt>
                <c:pt idx="146">
                  <c:v>13546.880000000005</c:v>
                </c:pt>
                <c:pt idx="147">
                  <c:v>13490.760000000006</c:v>
                </c:pt>
                <c:pt idx="148">
                  <c:v>13313.250000000007</c:v>
                </c:pt>
                <c:pt idx="149">
                  <c:v>13313.250000000007</c:v>
                </c:pt>
                <c:pt idx="150">
                  <c:v>13313.250000000007</c:v>
                </c:pt>
                <c:pt idx="151">
                  <c:v>13313.250000000007</c:v>
                </c:pt>
                <c:pt idx="152">
                  <c:v>13313.250000000007</c:v>
                </c:pt>
                <c:pt idx="153">
                  <c:v>13313.250000000007</c:v>
                </c:pt>
                <c:pt idx="154">
                  <c:v>13313.250000000007</c:v>
                </c:pt>
                <c:pt idx="155">
                  <c:v>13313.250000000007</c:v>
                </c:pt>
                <c:pt idx="156">
                  <c:v>13313.250000000007</c:v>
                </c:pt>
                <c:pt idx="157">
                  <c:v>13313.250000000007</c:v>
                </c:pt>
                <c:pt idx="158">
                  <c:v>13313.250000000007</c:v>
                </c:pt>
                <c:pt idx="159">
                  <c:v>13313.250000000007</c:v>
                </c:pt>
                <c:pt idx="160">
                  <c:v>13313.250000000007</c:v>
                </c:pt>
                <c:pt idx="161">
                  <c:v>13313.250000000007</c:v>
                </c:pt>
                <c:pt idx="162">
                  <c:v>13313.250000000025</c:v>
                </c:pt>
                <c:pt idx="163">
                  <c:v>13341.770000000026</c:v>
                </c:pt>
                <c:pt idx="164">
                  <c:v>13434.770000000026</c:v>
                </c:pt>
                <c:pt idx="165">
                  <c:v>13486.850000000026</c:v>
                </c:pt>
                <c:pt idx="166">
                  <c:v>13982.850000000026</c:v>
                </c:pt>
                <c:pt idx="167">
                  <c:v>13974.790000000026</c:v>
                </c:pt>
                <c:pt idx="168">
                  <c:v>13843.350000000026</c:v>
                </c:pt>
                <c:pt idx="169">
                  <c:v>13781.350000000026</c:v>
                </c:pt>
                <c:pt idx="170">
                  <c:v>13711.290000000026</c:v>
                </c:pt>
                <c:pt idx="171">
                  <c:v>14073.990000000025</c:v>
                </c:pt>
                <c:pt idx="172">
                  <c:v>14012.610000000024</c:v>
                </c:pt>
                <c:pt idx="173">
                  <c:v>14204.810000000027</c:v>
                </c:pt>
                <c:pt idx="174">
                  <c:v>13717.490000000025</c:v>
                </c:pt>
                <c:pt idx="175">
                  <c:v>13827.230000000025</c:v>
                </c:pt>
                <c:pt idx="176">
                  <c:v>14307.110000000024</c:v>
                </c:pt>
                <c:pt idx="177">
                  <c:v>14276.110000000024</c:v>
                </c:pt>
                <c:pt idx="178">
                  <c:v>14212.870000000026</c:v>
                </c:pt>
                <c:pt idx="179">
                  <c:v>14344.310000000027</c:v>
                </c:pt>
                <c:pt idx="180">
                  <c:v>14603.470000000025</c:v>
                </c:pt>
                <c:pt idx="181">
                  <c:v>14307.110000000024</c:v>
                </c:pt>
                <c:pt idx="182">
                  <c:v>14132.890000000025</c:v>
                </c:pt>
                <c:pt idx="183">
                  <c:v>14045.470000000025</c:v>
                </c:pt>
                <c:pt idx="184">
                  <c:v>14344.310000000027</c:v>
                </c:pt>
                <c:pt idx="185">
                  <c:v>14344.310000000027</c:v>
                </c:pt>
                <c:pt idx="186">
                  <c:v>14344.310000000034</c:v>
                </c:pt>
                <c:pt idx="187">
                  <c:v>14528.270000000035</c:v>
                </c:pt>
                <c:pt idx="188">
                  <c:v>14312.180000000035</c:v>
                </c:pt>
                <c:pt idx="189">
                  <c:v>14312.180000000035</c:v>
                </c:pt>
                <c:pt idx="190">
                  <c:v>14312.180000000035</c:v>
                </c:pt>
                <c:pt idx="191">
                  <c:v>14312.180000000035</c:v>
                </c:pt>
                <c:pt idx="192">
                  <c:v>14312.180000000035</c:v>
                </c:pt>
                <c:pt idx="193">
                  <c:v>14312.180000000035</c:v>
                </c:pt>
                <c:pt idx="194">
                  <c:v>14312.180000000035</c:v>
                </c:pt>
                <c:pt idx="195">
                  <c:v>14312.180000000035</c:v>
                </c:pt>
                <c:pt idx="196">
                  <c:v>14312.180000000035</c:v>
                </c:pt>
                <c:pt idx="197">
                  <c:v>14312.180000000035</c:v>
                </c:pt>
                <c:pt idx="198">
                  <c:v>14312.180000000035</c:v>
                </c:pt>
                <c:pt idx="199">
                  <c:v>14312.180000000035</c:v>
                </c:pt>
                <c:pt idx="200">
                  <c:v>14312.180000000035</c:v>
                </c:pt>
                <c:pt idx="201">
                  <c:v>14312.180000000035</c:v>
                </c:pt>
                <c:pt idx="202">
                  <c:v>14312.180000000035</c:v>
                </c:pt>
                <c:pt idx="203">
                  <c:v>14312.180000000035</c:v>
                </c:pt>
                <c:pt idx="204">
                  <c:v>14312.180000000035</c:v>
                </c:pt>
                <c:pt idx="205">
                  <c:v>14312.180000000035</c:v>
                </c:pt>
                <c:pt idx="206">
                  <c:v>14312.180000000035</c:v>
                </c:pt>
                <c:pt idx="207">
                  <c:v>14312.180000000035</c:v>
                </c:pt>
                <c:pt idx="208">
                  <c:v>14312.180000000035</c:v>
                </c:pt>
                <c:pt idx="209">
                  <c:v>14312.180000000035</c:v>
                </c:pt>
                <c:pt idx="210">
                  <c:v>14312.180000000035</c:v>
                </c:pt>
                <c:pt idx="211">
                  <c:v>14312.180000000035</c:v>
                </c:pt>
                <c:pt idx="212">
                  <c:v>14312.180000000035</c:v>
                </c:pt>
                <c:pt idx="213">
                  <c:v>14312.180000000035</c:v>
                </c:pt>
                <c:pt idx="214">
                  <c:v>14312.180000000035</c:v>
                </c:pt>
                <c:pt idx="215">
                  <c:v>14312.180000000028</c:v>
                </c:pt>
                <c:pt idx="216">
                  <c:v>14194.880000000026</c:v>
                </c:pt>
                <c:pt idx="217">
                  <c:v>14234.900000000027</c:v>
                </c:pt>
                <c:pt idx="218">
                  <c:v>14318.390000000027</c:v>
                </c:pt>
                <c:pt idx="219">
                  <c:v>14388.770000000026</c:v>
                </c:pt>
                <c:pt idx="220">
                  <c:v>14495.030000000028</c:v>
                </c:pt>
                <c:pt idx="221">
                  <c:v>14275.610000000026</c:v>
                </c:pt>
                <c:pt idx="222">
                  <c:v>14307.350000000028</c:v>
                </c:pt>
                <c:pt idx="223">
                  <c:v>13923.020000000026</c:v>
                </c:pt>
                <c:pt idx="224">
                  <c:v>14152.790000000026</c:v>
                </c:pt>
                <c:pt idx="225">
                  <c:v>14152.790000000026</c:v>
                </c:pt>
                <c:pt idx="226">
                  <c:v>14152.790000000026</c:v>
                </c:pt>
                <c:pt idx="227">
                  <c:v>14152.79000000005</c:v>
                </c:pt>
                <c:pt idx="228">
                  <c:v>13652.97000000005</c:v>
                </c:pt>
                <c:pt idx="229">
                  <c:v>13358.840000000051</c:v>
                </c:pt>
                <c:pt idx="230">
                  <c:v>13649.62000000005</c:v>
                </c:pt>
                <c:pt idx="231">
                  <c:v>13649.62000000005</c:v>
                </c:pt>
                <c:pt idx="232">
                  <c:v>13649.62000000005</c:v>
                </c:pt>
                <c:pt idx="233">
                  <c:v>13649.62000000005</c:v>
                </c:pt>
                <c:pt idx="234">
                  <c:v>13649.62000000005</c:v>
                </c:pt>
                <c:pt idx="235">
                  <c:v>13649.62000000005</c:v>
                </c:pt>
                <c:pt idx="236">
                  <c:v>13649.62000000005</c:v>
                </c:pt>
                <c:pt idx="237">
                  <c:v>13649.62000000005</c:v>
                </c:pt>
                <c:pt idx="238">
                  <c:v>13649.62000000005</c:v>
                </c:pt>
                <c:pt idx="239">
                  <c:v>13649.620000000043</c:v>
                </c:pt>
                <c:pt idx="240">
                  <c:v>13831.180000000042</c:v>
                </c:pt>
                <c:pt idx="241">
                  <c:v>13802.620000000043</c:v>
                </c:pt>
                <c:pt idx="242">
                  <c:v>13795.820000000042</c:v>
                </c:pt>
                <c:pt idx="243">
                  <c:v>13916.180000000042</c:v>
                </c:pt>
                <c:pt idx="244">
                  <c:v>13641.460000000041</c:v>
                </c:pt>
                <c:pt idx="245">
                  <c:v>13489.140000000041</c:v>
                </c:pt>
                <c:pt idx="246">
                  <c:v>13017.220000000041</c:v>
                </c:pt>
                <c:pt idx="247">
                  <c:v>12828.860000000042</c:v>
                </c:pt>
                <c:pt idx="248">
                  <c:v>12828.860000000042</c:v>
                </c:pt>
                <c:pt idx="249">
                  <c:v>12828.860000000042</c:v>
                </c:pt>
                <c:pt idx="250">
                  <c:v>12828.860000000042</c:v>
                </c:pt>
                <c:pt idx="251">
                  <c:v>12828.860000000042</c:v>
                </c:pt>
                <c:pt idx="252">
                  <c:v>12828.860000000042</c:v>
                </c:pt>
                <c:pt idx="253">
                  <c:v>12828.860000000042</c:v>
                </c:pt>
                <c:pt idx="254">
                  <c:v>12828.860000000042</c:v>
                </c:pt>
                <c:pt idx="255">
                  <c:v>12828.860000000042</c:v>
                </c:pt>
                <c:pt idx="256">
                  <c:v>12828.860000000042</c:v>
                </c:pt>
                <c:pt idx="257">
                  <c:v>12828.860000000042</c:v>
                </c:pt>
                <c:pt idx="258">
                  <c:v>12828.860000000042</c:v>
                </c:pt>
                <c:pt idx="259">
                  <c:v>12828.860000000042</c:v>
                </c:pt>
                <c:pt idx="260">
                  <c:v>12828.860000000042</c:v>
                </c:pt>
                <c:pt idx="261">
                  <c:v>12828.860000000042</c:v>
                </c:pt>
                <c:pt idx="262">
                  <c:v>12828.860000000042</c:v>
                </c:pt>
                <c:pt idx="263">
                  <c:v>12828.860000000057</c:v>
                </c:pt>
                <c:pt idx="264">
                  <c:v>12794.410000000058</c:v>
                </c:pt>
                <c:pt idx="265">
                  <c:v>12368.660000000056</c:v>
                </c:pt>
                <c:pt idx="266">
                  <c:v>12357.610000000057</c:v>
                </c:pt>
                <c:pt idx="267">
                  <c:v>11868.810000000056</c:v>
                </c:pt>
                <c:pt idx="268">
                  <c:v>11842.160000000056</c:v>
                </c:pt>
                <c:pt idx="269">
                  <c:v>11842.160000000056</c:v>
                </c:pt>
                <c:pt idx="270">
                  <c:v>11842.160000000056</c:v>
                </c:pt>
                <c:pt idx="271">
                  <c:v>11842.160000000056</c:v>
                </c:pt>
                <c:pt idx="272">
                  <c:v>11842.160000000056</c:v>
                </c:pt>
                <c:pt idx="273">
                  <c:v>11842.160000000045</c:v>
                </c:pt>
                <c:pt idx="274">
                  <c:v>11857.410000000045</c:v>
                </c:pt>
                <c:pt idx="275">
                  <c:v>12206.330000000045</c:v>
                </c:pt>
                <c:pt idx="276">
                  <c:v>12239.270000000046</c:v>
                </c:pt>
                <c:pt idx="277">
                  <c:v>12171.560000000047</c:v>
                </c:pt>
                <c:pt idx="278">
                  <c:v>12471.070000000047</c:v>
                </c:pt>
                <c:pt idx="279">
                  <c:v>12485.710000000045</c:v>
                </c:pt>
                <c:pt idx="280">
                  <c:v>12855.370000000044</c:v>
                </c:pt>
                <c:pt idx="281">
                  <c:v>12788.880000000045</c:v>
                </c:pt>
                <c:pt idx="282">
                  <c:v>12834.630000000045</c:v>
                </c:pt>
                <c:pt idx="283">
                  <c:v>13132.920000000046</c:v>
                </c:pt>
                <c:pt idx="284">
                  <c:v>13510.510000000046</c:v>
                </c:pt>
                <c:pt idx="285">
                  <c:v>13523.320000000047</c:v>
                </c:pt>
                <c:pt idx="286">
                  <c:v>13214.660000000045</c:v>
                </c:pt>
                <c:pt idx="287">
                  <c:v>13154.270000000046</c:v>
                </c:pt>
                <c:pt idx="288">
                  <c:v>13355.570000000047</c:v>
                </c:pt>
                <c:pt idx="289">
                  <c:v>13965.570000000047</c:v>
                </c:pt>
                <c:pt idx="290">
                  <c:v>13950.930000000046</c:v>
                </c:pt>
                <c:pt idx="291">
                  <c:v>14088.790000000045</c:v>
                </c:pt>
                <c:pt idx="292">
                  <c:v>14227.260000000046</c:v>
                </c:pt>
                <c:pt idx="293">
                  <c:v>14141.250000000045</c:v>
                </c:pt>
                <c:pt idx="294">
                  <c:v>14132.710000000045</c:v>
                </c:pt>
                <c:pt idx="295">
                  <c:v>14124.170000000046</c:v>
                </c:pt>
                <c:pt idx="296">
                  <c:v>14621.930000000046</c:v>
                </c:pt>
                <c:pt idx="297">
                  <c:v>14489.560000000047</c:v>
                </c:pt>
                <c:pt idx="298">
                  <c:v>14659.140000000047</c:v>
                </c:pt>
                <c:pt idx="299">
                  <c:v>14988.540000000045</c:v>
                </c:pt>
                <c:pt idx="300">
                  <c:v>15047.710000000045</c:v>
                </c:pt>
                <c:pt idx="301">
                  <c:v>15303.300000000045</c:v>
                </c:pt>
                <c:pt idx="302">
                  <c:v>15650.390000000047</c:v>
                </c:pt>
                <c:pt idx="303">
                  <c:v>15641.850000000046</c:v>
                </c:pt>
                <c:pt idx="304">
                  <c:v>15522.290000000045</c:v>
                </c:pt>
                <c:pt idx="305">
                  <c:v>15549.130000000045</c:v>
                </c:pt>
                <c:pt idx="306">
                  <c:v>15407.610000000046</c:v>
                </c:pt>
                <c:pt idx="307">
                  <c:v>15486.910000000045</c:v>
                </c:pt>
                <c:pt idx="308">
                  <c:v>15322.820000000047</c:v>
                </c:pt>
                <c:pt idx="309">
                  <c:v>15463.730000000047</c:v>
                </c:pt>
                <c:pt idx="310">
                  <c:v>15450.310000000047</c:v>
                </c:pt>
                <c:pt idx="311">
                  <c:v>15843.150000000045</c:v>
                </c:pt>
                <c:pt idx="312">
                  <c:v>15825.460000000046</c:v>
                </c:pt>
                <c:pt idx="313">
                  <c:v>16106.060000000045</c:v>
                </c:pt>
                <c:pt idx="314">
                  <c:v>16540.380000000045</c:v>
                </c:pt>
                <c:pt idx="315">
                  <c:v>16542.210000000046</c:v>
                </c:pt>
                <c:pt idx="316">
                  <c:v>17235.780000000046</c:v>
                </c:pt>
                <c:pt idx="317">
                  <c:v>17258.960000000046</c:v>
                </c:pt>
                <c:pt idx="318">
                  <c:v>17184.540000000045</c:v>
                </c:pt>
                <c:pt idx="319">
                  <c:v>16525.130000000045</c:v>
                </c:pt>
                <c:pt idx="320">
                  <c:v>16725.210000000046</c:v>
                </c:pt>
                <c:pt idx="321">
                  <c:v>17039.970000000045</c:v>
                </c:pt>
                <c:pt idx="322">
                  <c:v>16803.290000000045</c:v>
                </c:pt>
                <c:pt idx="323">
                  <c:v>15734.570000000047</c:v>
                </c:pt>
                <c:pt idx="324">
                  <c:v>15796.180000000046</c:v>
                </c:pt>
                <c:pt idx="325">
                  <c:v>15796.180000000046</c:v>
                </c:pt>
                <c:pt idx="326">
                  <c:v>15796.180000000046</c:v>
                </c:pt>
                <c:pt idx="327">
                  <c:v>15796.180000000046</c:v>
                </c:pt>
                <c:pt idx="328">
                  <c:v>15796.180000000046</c:v>
                </c:pt>
                <c:pt idx="329">
                  <c:v>15796.180000000046</c:v>
                </c:pt>
                <c:pt idx="330">
                  <c:v>15796.180000000046</c:v>
                </c:pt>
                <c:pt idx="331">
                  <c:v>15796.180000000046</c:v>
                </c:pt>
                <c:pt idx="332">
                  <c:v>15796.180000000046</c:v>
                </c:pt>
                <c:pt idx="333">
                  <c:v>15796.180000000046</c:v>
                </c:pt>
                <c:pt idx="334">
                  <c:v>15796.180000000046</c:v>
                </c:pt>
                <c:pt idx="335">
                  <c:v>15796.180000000046</c:v>
                </c:pt>
                <c:pt idx="336">
                  <c:v>15796.180000000046</c:v>
                </c:pt>
                <c:pt idx="337">
                  <c:v>15796.180000000064</c:v>
                </c:pt>
                <c:pt idx="338">
                  <c:v>16181.700000000066</c:v>
                </c:pt>
                <c:pt idx="339">
                  <c:v>16148.150000000065</c:v>
                </c:pt>
                <c:pt idx="340">
                  <c:v>16173.770000000066</c:v>
                </c:pt>
                <c:pt idx="341">
                  <c:v>15488.130000000065</c:v>
                </c:pt>
                <c:pt idx="342">
                  <c:v>15752.260000000064</c:v>
                </c:pt>
                <c:pt idx="343">
                  <c:v>15738.230000000065</c:v>
                </c:pt>
                <c:pt idx="344">
                  <c:v>16249.410000000067</c:v>
                </c:pt>
                <c:pt idx="345">
                  <c:v>16680.070000000069</c:v>
                </c:pt>
                <c:pt idx="346">
                  <c:v>17121.100000000068</c:v>
                </c:pt>
                <c:pt idx="347">
                  <c:v>17116.830000000067</c:v>
                </c:pt>
                <c:pt idx="348">
                  <c:v>17149.77000000007</c:v>
                </c:pt>
                <c:pt idx="349">
                  <c:v>17172.950000000066</c:v>
                </c:pt>
                <c:pt idx="350">
                  <c:v>18406.370000000064</c:v>
                </c:pt>
                <c:pt idx="351">
                  <c:v>18722.350000000068</c:v>
                </c:pt>
                <c:pt idx="352">
                  <c:v>18191.650000000067</c:v>
                </c:pt>
                <c:pt idx="353">
                  <c:v>18417.350000000068</c:v>
                </c:pt>
                <c:pt idx="354">
                  <c:v>18651.590000000069</c:v>
                </c:pt>
                <c:pt idx="355">
                  <c:v>19252.440000000068</c:v>
                </c:pt>
                <c:pt idx="356">
                  <c:v>19027.960000000065</c:v>
                </c:pt>
                <c:pt idx="357">
                  <c:v>18303.890000000065</c:v>
                </c:pt>
                <c:pt idx="358">
                  <c:v>18740.650000000067</c:v>
                </c:pt>
                <c:pt idx="359">
                  <c:v>18584.490000000067</c:v>
                </c:pt>
                <c:pt idx="360">
                  <c:v>18511.900000000067</c:v>
                </c:pt>
                <c:pt idx="361">
                  <c:v>18833.370000000064</c:v>
                </c:pt>
                <c:pt idx="362">
                  <c:v>18649.760000000068</c:v>
                </c:pt>
                <c:pt idx="363">
                  <c:v>18838.250000000069</c:v>
                </c:pt>
                <c:pt idx="364">
                  <c:v>18986.480000000065</c:v>
                </c:pt>
                <c:pt idx="365">
                  <c:v>19337.840000000069</c:v>
                </c:pt>
                <c:pt idx="366">
                  <c:v>19117.02000000007</c:v>
                </c:pt>
                <c:pt idx="367">
                  <c:v>19023.080000000067</c:v>
                </c:pt>
                <c:pt idx="368">
                  <c:v>19354.920000000067</c:v>
                </c:pt>
                <c:pt idx="369">
                  <c:v>19889.280000000064</c:v>
                </c:pt>
                <c:pt idx="370">
                  <c:v>19648.940000000068</c:v>
                </c:pt>
                <c:pt idx="371">
                  <c:v>19168.870000000064</c:v>
                </c:pt>
                <c:pt idx="372">
                  <c:v>18219.710000000065</c:v>
                </c:pt>
                <c:pt idx="373">
                  <c:v>19006.000000000069</c:v>
                </c:pt>
                <c:pt idx="374">
                  <c:v>19006.000000000069</c:v>
                </c:pt>
                <c:pt idx="375">
                  <c:v>19006.000000000069</c:v>
                </c:pt>
                <c:pt idx="376">
                  <c:v>19006.000000000073</c:v>
                </c:pt>
                <c:pt idx="377">
                  <c:v>18883.040000000074</c:v>
                </c:pt>
                <c:pt idx="378">
                  <c:v>18982.22000000007</c:v>
                </c:pt>
                <c:pt idx="379">
                  <c:v>18464.280000000072</c:v>
                </c:pt>
                <c:pt idx="380">
                  <c:v>18529.820000000069</c:v>
                </c:pt>
                <c:pt idx="381">
                  <c:v>17897.620000000072</c:v>
                </c:pt>
                <c:pt idx="382">
                  <c:v>18300.72000000007</c:v>
                </c:pt>
                <c:pt idx="383">
                  <c:v>18300.72000000007</c:v>
                </c:pt>
                <c:pt idx="384">
                  <c:v>18300.72000000007</c:v>
                </c:pt>
                <c:pt idx="385">
                  <c:v>18300.72000000007</c:v>
                </c:pt>
                <c:pt idx="386">
                  <c:v>18300.72000000007</c:v>
                </c:pt>
                <c:pt idx="387">
                  <c:v>18300.72000000007</c:v>
                </c:pt>
                <c:pt idx="388">
                  <c:v>18300.72000000007</c:v>
                </c:pt>
                <c:pt idx="389">
                  <c:v>18300.720000000067</c:v>
                </c:pt>
                <c:pt idx="390">
                  <c:v>18619.860000000066</c:v>
                </c:pt>
                <c:pt idx="391">
                  <c:v>18585.300000000065</c:v>
                </c:pt>
                <c:pt idx="392">
                  <c:v>18557.220000000067</c:v>
                </c:pt>
                <c:pt idx="393">
                  <c:v>18960.600000000064</c:v>
                </c:pt>
                <c:pt idx="394">
                  <c:v>19259.220000000067</c:v>
                </c:pt>
                <c:pt idx="395">
                  <c:v>19626.420000000064</c:v>
                </c:pt>
                <c:pt idx="396">
                  <c:v>20185.320000000065</c:v>
                </c:pt>
                <c:pt idx="397">
                  <c:v>19500.600000000064</c:v>
                </c:pt>
                <c:pt idx="398">
                  <c:v>19591.860000000066</c:v>
                </c:pt>
                <c:pt idx="399">
                  <c:v>20506.620000000064</c:v>
                </c:pt>
                <c:pt idx="400">
                  <c:v>20760.960000000068</c:v>
                </c:pt>
                <c:pt idx="401">
                  <c:v>20473.680000000062</c:v>
                </c:pt>
                <c:pt idx="402">
                  <c:v>20260.920000000064</c:v>
                </c:pt>
                <c:pt idx="403">
                  <c:v>20174.520000000066</c:v>
                </c:pt>
                <c:pt idx="404">
                  <c:v>20306.280000000064</c:v>
                </c:pt>
                <c:pt idx="405">
                  <c:v>20530.920000000064</c:v>
                </c:pt>
                <c:pt idx="406">
                  <c:v>20866.260000000068</c:v>
                </c:pt>
                <c:pt idx="407">
                  <c:v>20911.620000000064</c:v>
                </c:pt>
                <c:pt idx="408">
                  <c:v>20589.780000000064</c:v>
                </c:pt>
                <c:pt idx="409">
                  <c:v>19773.300000000065</c:v>
                </c:pt>
                <c:pt idx="410">
                  <c:v>20252.280000000064</c:v>
                </c:pt>
                <c:pt idx="411">
                  <c:v>19685.820000000065</c:v>
                </c:pt>
                <c:pt idx="412">
                  <c:v>19685.820000000065</c:v>
                </c:pt>
                <c:pt idx="413">
                  <c:v>19685.820000000065</c:v>
                </c:pt>
                <c:pt idx="414">
                  <c:v>19685.820000000065</c:v>
                </c:pt>
                <c:pt idx="415">
                  <c:v>19685.820000000065</c:v>
                </c:pt>
                <c:pt idx="416">
                  <c:v>19685.820000000065</c:v>
                </c:pt>
                <c:pt idx="417">
                  <c:v>19685.820000000065</c:v>
                </c:pt>
                <c:pt idx="418">
                  <c:v>19685.820000000065</c:v>
                </c:pt>
                <c:pt idx="419">
                  <c:v>19685.820000000065</c:v>
                </c:pt>
                <c:pt idx="420">
                  <c:v>19685.820000000065</c:v>
                </c:pt>
                <c:pt idx="421">
                  <c:v>19685.820000000065</c:v>
                </c:pt>
                <c:pt idx="422">
                  <c:v>19685.820000000065</c:v>
                </c:pt>
                <c:pt idx="423">
                  <c:v>19685.820000000065</c:v>
                </c:pt>
                <c:pt idx="424">
                  <c:v>19685.820000000065</c:v>
                </c:pt>
                <c:pt idx="425">
                  <c:v>19685.820000000065</c:v>
                </c:pt>
                <c:pt idx="426">
                  <c:v>19685.820000000062</c:v>
                </c:pt>
                <c:pt idx="427">
                  <c:v>20518.900000000063</c:v>
                </c:pt>
                <c:pt idx="428">
                  <c:v>20346.620000000064</c:v>
                </c:pt>
                <c:pt idx="429">
                  <c:v>20597.370000000064</c:v>
                </c:pt>
                <c:pt idx="430">
                  <c:v>20043.360000000062</c:v>
                </c:pt>
                <c:pt idx="431">
                  <c:v>20079.350000000064</c:v>
                </c:pt>
                <c:pt idx="432">
                  <c:v>19394.950000000066</c:v>
                </c:pt>
                <c:pt idx="433">
                  <c:v>19164.850000000064</c:v>
                </c:pt>
                <c:pt idx="434">
                  <c:v>19164.850000000064</c:v>
                </c:pt>
                <c:pt idx="435">
                  <c:v>19164.850000000064</c:v>
                </c:pt>
                <c:pt idx="436">
                  <c:v>19164.850000000064</c:v>
                </c:pt>
                <c:pt idx="437">
                  <c:v>19164.850000000075</c:v>
                </c:pt>
                <c:pt idx="438">
                  <c:v>19697.500000000073</c:v>
                </c:pt>
                <c:pt idx="439">
                  <c:v>19607.930000000073</c:v>
                </c:pt>
                <c:pt idx="440">
                  <c:v>19177.04000000007</c:v>
                </c:pt>
                <c:pt idx="441">
                  <c:v>19307.950000000073</c:v>
                </c:pt>
                <c:pt idx="442">
                  <c:v>19622.240000000074</c:v>
                </c:pt>
                <c:pt idx="443">
                  <c:v>19544.330000000071</c:v>
                </c:pt>
                <c:pt idx="444">
                  <c:v>19575.070000000072</c:v>
                </c:pt>
                <c:pt idx="445">
                  <c:v>18992.600000000075</c:v>
                </c:pt>
                <c:pt idx="446">
                  <c:v>18756.22000000007</c:v>
                </c:pt>
                <c:pt idx="447">
                  <c:v>18247.420000000075</c:v>
                </c:pt>
                <c:pt idx="448">
                  <c:v>18247.420000000075</c:v>
                </c:pt>
                <c:pt idx="449">
                  <c:v>18247.420000000075</c:v>
                </c:pt>
                <c:pt idx="450">
                  <c:v>18247.420000000075</c:v>
                </c:pt>
                <c:pt idx="451">
                  <c:v>18247.420000000075</c:v>
                </c:pt>
                <c:pt idx="452">
                  <c:v>18247.420000000075</c:v>
                </c:pt>
                <c:pt idx="453">
                  <c:v>18247.420000000075</c:v>
                </c:pt>
                <c:pt idx="454">
                  <c:v>18247.420000000075</c:v>
                </c:pt>
                <c:pt idx="455">
                  <c:v>18247.420000000075</c:v>
                </c:pt>
                <c:pt idx="456">
                  <c:v>18247.420000000078</c:v>
                </c:pt>
                <c:pt idx="457">
                  <c:v>17951.110000000081</c:v>
                </c:pt>
                <c:pt idx="458">
                  <c:v>17693.050000000079</c:v>
                </c:pt>
                <c:pt idx="459">
                  <c:v>18003.130000000081</c:v>
                </c:pt>
                <c:pt idx="460">
                  <c:v>17635.420000000078</c:v>
                </c:pt>
                <c:pt idx="461">
                  <c:v>17635.420000000078</c:v>
                </c:pt>
                <c:pt idx="462">
                  <c:v>17635.420000000078</c:v>
                </c:pt>
                <c:pt idx="463">
                  <c:v>17802.460000000079</c:v>
                </c:pt>
                <c:pt idx="464">
                  <c:v>18350.140000000079</c:v>
                </c:pt>
                <c:pt idx="465">
                  <c:v>18454.300000000079</c:v>
                </c:pt>
                <c:pt idx="466">
                  <c:v>18703.420000000078</c:v>
                </c:pt>
                <c:pt idx="467">
                  <c:v>18228.220000000081</c:v>
                </c:pt>
                <c:pt idx="468">
                  <c:v>18171.100000000079</c:v>
                </c:pt>
                <c:pt idx="469">
                  <c:v>17814.460000000079</c:v>
                </c:pt>
                <c:pt idx="470">
                  <c:v>17075.740000000078</c:v>
                </c:pt>
                <c:pt idx="471">
                  <c:v>16782.940000000079</c:v>
                </c:pt>
                <c:pt idx="472">
                  <c:v>16782.940000000079</c:v>
                </c:pt>
                <c:pt idx="473">
                  <c:v>16782.940000000079</c:v>
                </c:pt>
                <c:pt idx="474">
                  <c:v>16782.940000000079</c:v>
                </c:pt>
                <c:pt idx="475">
                  <c:v>16782.940000000079</c:v>
                </c:pt>
                <c:pt idx="476">
                  <c:v>16782.940000000079</c:v>
                </c:pt>
                <c:pt idx="477">
                  <c:v>16782.940000000079</c:v>
                </c:pt>
                <c:pt idx="478">
                  <c:v>16782.940000000079</c:v>
                </c:pt>
                <c:pt idx="479">
                  <c:v>16782.940000000079</c:v>
                </c:pt>
                <c:pt idx="480">
                  <c:v>16782.940000000093</c:v>
                </c:pt>
                <c:pt idx="481">
                  <c:v>16127.760000000095</c:v>
                </c:pt>
                <c:pt idx="482">
                  <c:v>16722.310000000092</c:v>
                </c:pt>
                <c:pt idx="483">
                  <c:v>16675.780000000093</c:v>
                </c:pt>
                <c:pt idx="484">
                  <c:v>16726.540000000092</c:v>
                </c:pt>
                <c:pt idx="485">
                  <c:v>16721.370000000094</c:v>
                </c:pt>
                <c:pt idx="486">
                  <c:v>16487.780000000093</c:v>
                </c:pt>
                <c:pt idx="487">
                  <c:v>16729.830000000093</c:v>
                </c:pt>
                <c:pt idx="488">
                  <c:v>16913.130000000092</c:v>
                </c:pt>
                <c:pt idx="489">
                  <c:v>16544.650000000092</c:v>
                </c:pt>
                <c:pt idx="490">
                  <c:v>16229.280000000095</c:v>
                </c:pt>
                <c:pt idx="491">
                  <c:v>15849.520000000093</c:v>
                </c:pt>
                <c:pt idx="492">
                  <c:v>15849.520000000093</c:v>
                </c:pt>
                <c:pt idx="493">
                  <c:v>15849.520000000093</c:v>
                </c:pt>
                <c:pt idx="494">
                  <c:v>15849.520000000093</c:v>
                </c:pt>
                <c:pt idx="495">
                  <c:v>15849.520000000093</c:v>
                </c:pt>
                <c:pt idx="496">
                  <c:v>15849.520000000093</c:v>
                </c:pt>
                <c:pt idx="497">
                  <c:v>15849.520000000093</c:v>
                </c:pt>
                <c:pt idx="498">
                  <c:v>15849.520000000093</c:v>
                </c:pt>
                <c:pt idx="499">
                  <c:v>15849.520000000093</c:v>
                </c:pt>
                <c:pt idx="500">
                  <c:v>15849.520000000093</c:v>
                </c:pt>
                <c:pt idx="501">
                  <c:v>15849.520000000093</c:v>
                </c:pt>
                <c:pt idx="502">
                  <c:v>15849.520000000093</c:v>
                </c:pt>
                <c:pt idx="503">
                  <c:v>15849.520000000093</c:v>
                </c:pt>
                <c:pt idx="504">
                  <c:v>15849.520000000093</c:v>
                </c:pt>
                <c:pt idx="505">
                  <c:v>15849.520000000093</c:v>
                </c:pt>
                <c:pt idx="506">
                  <c:v>15849.520000000093</c:v>
                </c:pt>
                <c:pt idx="507">
                  <c:v>15849.520000000093</c:v>
                </c:pt>
                <c:pt idx="508">
                  <c:v>15849.520000000093</c:v>
                </c:pt>
                <c:pt idx="509">
                  <c:v>15849.520000000093</c:v>
                </c:pt>
                <c:pt idx="510">
                  <c:v>15977.020000000093</c:v>
                </c:pt>
                <c:pt idx="511">
                  <c:v>15661.520000000093</c:v>
                </c:pt>
                <c:pt idx="512">
                  <c:v>16115.020000000093</c:v>
                </c:pt>
                <c:pt idx="513">
                  <c:v>15854.520000000095</c:v>
                </c:pt>
                <c:pt idx="514">
                  <c:v>16002.020000000093</c:v>
                </c:pt>
                <c:pt idx="515">
                  <c:v>16065.020000000093</c:v>
                </c:pt>
                <c:pt idx="516">
                  <c:v>16102.020000000093</c:v>
                </c:pt>
                <c:pt idx="517">
                  <c:v>15601.520000000095</c:v>
                </c:pt>
                <c:pt idx="518">
                  <c:v>15667.020000000095</c:v>
                </c:pt>
                <c:pt idx="519">
                  <c:v>15551.020000000091</c:v>
                </c:pt>
                <c:pt idx="520">
                  <c:v>15551.020000000091</c:v>
                </c:pt>
                <c:pt idx="521">
                  <c:v>15551.020000000091</c:v>
                </c:pt>
                <c:pt idx="522">
                  <c:v>15551.020000000091</c:v>
                </c:pt>
                <c:pt idx="523">
                  <c:v>15551.020000000091</c:v>
                </c:pt>
                <c:pt idx="524">
                  <c:v>15551.020000000091</c:v>
                </c:pt>
                <c:pt idx="525">
                  <c:v>15551.020000000097</c:v>
                </c:pt>
                <c:pt idx="526">
                  <c:v>16120.660000000094</c:v>
                </c:pt>
                <c:pt idx="527">
                  <c:v>16026.660000000094</c:v>
                </c:pt>
                <c:pt idx="528">
                  <c:v>15973.080000000096</c:v>
                </c:pt>
                <c:pt idx="529">
                  <c:v>16234.400000000096</c:v>
                </c:pt>
                <c:pt idx="530">
                  <c:v>16019.140000000096</c:v>
                </c:pt>
                <c:pt idx="531">
                  <c:v>15653.950000000097</c:v>
                </c:pt>
                <c:pt idx="532">
                  <c:v>15554.310000000098</c:v>
                </c:pt>
                <c:pt idx="533">
                  <c:v>15680.270000000097</c:v>
                </c:pt>
                <c:pt idx="534">
                  <c:v>15376.650000000096</c:v>
                </c:pt>
                <c:pt idx="535">
                  <c:v>15004.880000000097</c:v>
                </c:pt>
                <c:pt idx="536">
                  <c:v>15004.880000000097</c:v>
                </c:pt>
                <c:pt idx="537">
                  <c:v>15004.880000000097</c:v>
                </c:pt>
                <c:pt idx="538">
                  <c:v>15004.880000000097</c:v>
                </c:pt>
                <c:pt idx="539">
                  <c:v>15004.880000000097</c:v>
                </c:pt>
                <c:pt idx="540">
                  <c:v>15004.880000000097</c:v>
                </c:pt>
                <c:pt idx="541">
                  <c:v>15004.880000000097</c:v>
                </c:pt>
                <c:pt idx="542">
                  <c:v>15004.880000000097</c:v>
                </c:pt>
                <c:pt idx="543">
                  <c:v>15004.880000000097</c:v>
                </c:pt>
                <c:pt idx="544">
                  <c:v>15004.880000000092</c:v>
                </c:pt>
                <c:pt idx="545">
                  <c:v>15053.720000000092</c:v>
                </c:pt>
                <c:pt idx="546">
                  <c:v>15192.320000000091</c:v>
                </c:pt>
                <c:pt idx="547">
                  <c:v>15116.200000000092</c:v>
                </c:pt>
                <c:pt idx="548">
                  <c:v>15285.160000000091</c:v>
                </c:pt>
                <c:pt idx="549">
                  <c:v>15597.560000000092</c:v>
                </c:pt>
                <c:pt idx="550">
                  <c:v>15483.600000000091</c:v>
                </c:pt>
                <c:pt idx="551">
                  <c:v>15723.400000000091</c:v>
                </c:pt>
                <c:pt idx="552">
                  <c:v>15791.160000000091</c:v>
                </c:pt>
                <c:pt idx="553">
                  <c:v>15845.280000000092</c:v>
                </c:pt>
                <c:pt idx="554">
                  <c:v>15541.680000000091</c:v>
                </c:pt>
                <c:pt idx="555">
                  <c:v>15178.680000000091</c:v>
                </c:pt>
                <c:pt idx="556">
                  <c:v>15407.920000000093</c:v>
                </c:pt>
                <c:pt idx="557">
                  <c:v>15701.840000000091</c:v>
                </c:pt>
                <c:pt idx="558">
                  <c:v>15701.840000000091</c:v>
                </c:pt>
                <c:pt idx="559">
                  <c:v>15701.840000000097</c:v>
                </c:pt>
                <c:pt idx="560">
                  <c:v>15479.200000000097</c:v>
                </c:pt>
                <c:pt idx="561">
                  <c:v>15237.200000000097</c:v>
                </c:pt>
                <c:pt idx="562">
                  <c:v>14769.920000000096</c:v>
                </c:pt>
                <c:pt idx="563">
                  <c:v>14806.880000000097</c:v>
                </c:pt>
                <c:pt idx="564">
                  <c:v>14806.880000000097</c:v>
                </c:pt>
                <c:pt idx="565">
                  <c:v>14806.880000000097</c:v>
                </c:pt>
                <c:pt idx="566">
                  <c:v>14806.880000000097</c:v>
                </c:pt>
                <c:pt idx="567">
                  <c:v>14806.880000000097</c:v>
                </c:pt>
                <c:pt idx="568">
                  <c:v>14806.880000000097</c:v>
                </c:pt>
                <c:pt idx="569">
                  <c:v>14806.880000000097</c:v>
                </c:pt>
                <c:pt idx="570">
                  <c:v>14806.880000000097</c:v>
                </c:pt>
                <c:pt idx="571">
                  <c:v>14806.880000000097</c:v>
                </c:pt>
                <c:pt idx="572">
                  <c:v>14806.880000000083</c:v>
                </c:pt>
                <c:pt idx="573">
                  <c:v>14742.200000000084</c:v>
                </c:pt>
                <c:pt idx="574">
                  <c:v>15308.480000000085</c:v>
                </c:pt>
                <c:pt idx="575">
                  <c:v>15567.200000000084</c:v>
                </c:pt>
                <c:pt idx="576">
                  <c:v>15803.480000000085</c:v>
                </c:pt>
                <c:pt idx="577">
                  <c:v>15520.560000000085</c:v>
                </c:pt>
                <c:pt idx="578">
                  <c:v>15171.640000000083</c:v>
                </c:pt>
                <c:pt idx="579">
                  <c:v>14637.920000000084</c:v>
                </c:pt>
                <c:pt idx="580">
                  <c:v>14822.280000000084</c:v>
                </c:pt>
                <c:pt idx="581">
                  <c:v>14744.400000000085</c:v>
                </c:pt>
                <c:pt idx="582">
                  <c:v>14744.400000000085</c:v>
                </c:pt>
                <c:pt idx="583">
                  <c:v>14744.400000000085</c:v>
                </c:pt>
                <c:pt idx="584">
                  <c:v>14744.400000000085</c:v>
                </c:pt>
                <c:pt idx="585">
                  <c:v>14744.400000000085</c:v>
                </c:pt>
                <c:pt idx="586">
                  <c:v>14744.400000000085</c:v>
                </c:pt>
                <c:pt idx="587">
                  <c:v>14744.400000000085</c:v>
                </c:pt>
                <c:pt idx="588">
                  <c:v>14744.4000000001</c:v>
                </c:pt>
                <c:pt idx="589">
                  <c:v>14698.050000000101</c:v>
                </c:pt>
                <c:pt idx="590">
                  <c:v>14506.800000000101</c:v>
                </c:pt>
                <c:pt idx="591">
                  <c:v>14506.800000000101</c:v>
                </c:pt>
                <c:pt idx="592">
                  <c:v>14506.800000000101</c:v>
                </c:pt>
                <c:pt idx="593">
                  <c:v>14506.800000000101</c:v>
                </c:pt>
                <c:pt idx="594">
                  <c:v>14506.800000000101</c:v>
                </c:pt>
                <c:pt idx="595">
                  <c:v>14506.800000000101</c:v>
                </c:pt>
                <c:pt idx="596">
                  <c:v>14506.800000000101</c:v>
                </c:pt>
                <c:pt idx="597">
                  <c:v>14506.800000000101</c:v>
                </c:pt>
                <c:pt idx="598">
                  <c:v>14506.800000000101</c:v>
                </c:pt>
                <c:pt idx="599">
                  <c:v>14506.800000000101</c:v>
                </c:pt>
                <c:pt idx="600">
                  <c:v>14506.800000000101</c:v>
                </c:pt>
                <c:pt idx="601">
                  <c:v>14506.800000000101</c:v>
                </c:pt>
                <c:pt idx="602">
                  <c:v>14506.800000000101</c:v>
                </c:pt>
                <c:pt idx="603">
                  <c:v>14506.800000000101</c:v>
                </c:pt>
                <c:pt idx="604">
                  <c:v>14506.800000000101</c:v>
                </c:pt>
                <c:pt idx="605">
                  <c:v>14506.800000000108</c:v>
                </c:pt>
                <c:pt idx="606">
                  <c:v>15258.800000000107</c:v>
                </c:pt>
                <c:pt idx="607">
                  <c:v>15070.300000000107</c:v>
                </c:pt>
                <c:pt idx="608">
                  <c:v>14727.800000000107</c:v>
                </c:pt>
                <c:pt idx="609">
                  <c:v>15040.800000000105</c:v>
                </c:pt>
                <c:pt idx="610">
                  <c:v>14584.300000000105</c:v>
                </c:pt>
                <c:pt idx="611">
                  <c:v>14408.300000000107</c:v>
                </c:pt>
                <c:pt idx="612">
                  <c:v>14691.300000000108</c:v>
                </c:pt>
                <c:pt idx="613">
                  <c:v>15027.800000000107</c:v>
                </c:pt>
                <c:pt idx="614">
                  <c:v>15027.800000000107</c:v>
                </c:pt>
                <c:pt idx="615">
                  <c:v>15027.800000000107</c:v>
                </c:pt>
                <c:pt idx="616">
                  <c:v>15027.800000000107</c:v>
                </c:pt>
                <c:pt idx="617">
                  <c:v>15027.800000000107</c:v>
                </c:pt>
                <c:pt idx="618">
                  <c:v>15027.800000000107</c:v>
                </c:pt>
                <c:pt idx="619">
                  <c:v>15027.800000000107</c:v>
                </c:pt>
                <c:pt idx="620">
                  <c:v>15027.800000000107</c:v>
                </c:pt>
                <c:pt idx="621">
                  <c:v>15027.800000000103</c:v>
                </c:pt>
                <c:pt idx="622">
                  <c:v>15089.300000000101</c:v>
                </c:pt>
                <c:pt idx="623">
                  <c:v>14254.300000000103</c:v>
                </c:pt>
                <c:pt idx="624">
                  <c:v>14736.300000000101</c:v>
                </c:pt>
                <c:pt idx="625">
                  <c:v>15170.300000000103</c:v>
                </c:pt>
                <c:pt idx="626">
                  <c:v>15130.300000000105</c:v>
                </c:pt>
                <c:pt idx="627">
                  <c:v>15374.300000000105</c:v>
                </c:pt>
                <c:pt idx="628">
                  <c:v>15282.800000000103</c:v>
                </c:pt>
                <c:pt idx="629">
                  <c:v>15084.800000000103</c:v>
                </c:pt>
                <c:pt idx="630">
                  <c:v>14630.300000000105</c:v>
                </c:pt>
                <c:pt idx="631">
                  <c:v>14240.800000000103</c:v>
                </c:pt>
                <c:pt idx="632">
                  <c:v>14355.800000000103</c:v>
                </c:pt>
                <c:pt idx="633">
                  <c:v>14355.800000000103</c:v>
                </c:pt>
                <c:pt idx="634">
                  <c:v>14355.800000000103</c:v>
                </c:pt>
                <c:pt idx="635">
                  <c:v>14355.800000000103</c:v>
                </c:pt>
                <c:pt idx="636">
                  <c:v>14355.800000000103</c:v>
                </c:pt>
                <c:pt idx="637">
                  <c:v>14355.800000000103</c:v>
                </c:pt>
                <c:pt idx="638">
                  <c:v>14355.800000000103</c:v>
                </c:pt>
                <c:pt idx="639">
                  <c:v>14355.800000000103</c:v>
                </c:pt>
                <c:pt idx="640">
                  <c:v>14355.800000000103</c:v>
                </c:pt>
                <c:pt idx="641">
                  <c:v>14355.800000000103</c:v>
                </c:pt>
                <c:pt idx="642">
                  <c:v>14355.800000000119</c:v>
                </c:pt>
                <c:pt idx="643">
                  <c:v>14710.300000000119</c:v>
                </c:pt>
                <c:pt idx="644">
                  <c:v>14956.300000000119</c:v>
                </c:pt>
                <c:pt idx="645">
                  <c:v>14675.800000000119</c:v>
                </c:pt>
                <c:pt idx="646">
                  <c:v>16094.300000000119</c:v>
                </c:pt>
                <c:pt idx="647">
                  <c:v>15923.800000000116</c:v>
                </c:pt>
                <c:pt idx="648">
                  <c:v>16002.300000000119</c:v>
                </c:pt>
                <c:pt idx="649">
                  <c:v>16724.300000000119</c:v>
                </c:pt>
                <c:pt idx="650">
                  <c:v>17257.800000000119</c:v>
                </c:pt>
                <c:pt idx="651">
                  <c:v>17358.300000000119</c:v>
                </c:pt>
                <c:pt idx="652">
                  <c:v>18005.300000000119</c:v>
                </c:pt>
                <c:pt idx="653">
                  <c:v>18027.800000000119</c:v>
                </c:pt>
                <c:pt idx="654">
                  <c:v>18660.800000000119</c:v>
                </c:pt>
                <c:pt idx="655">
                  <c:v>17746.800000000119</c:v>
                </c:pt>
                <c:pt idx="656">
                  <c:v>18230.300000000119</c:v>
                </c:pt>
                <c:pt idx="657">
                  <c:v>17494.800000000119</c:v>
                </c:pt>
                <c:pt idx="658">
                  <c:v>16800.800000000119</c:v>
                </c:pt>
                <c:pt idx="659">
                  <c:v>16769.800000000119</c:v>
                </c:pt>
                <c:pt idx="660">
                  <c:v>17219.300000000119</c:v>
                </c:pt>
                <c:pt idx="661">
                  <c:v>17219.300000000119</c:v>
                </c:pt>
                <c:pt idx="662">
                  <c:v>17219.300000000119</c:v>
                </c:pt>
                <c:pt idx="663">
                  <c:v>17219.300000000119</c:v>
                </c:pt>
                <c:pt idx="664">
                  <c:v>17219.300000000119</c:v>
                </c:pt>
                <c:pt idx="665">
                  <c:v>17219.300000000119</c:v>
                </c:pt>
                <c:pt idx="666">
                  <c:v>17219.300000000119</c:v>
                </c:pt>
                <c:pt idx="667">
                  <c:v>17219.300000000119</c:v>
                </c:pt>
                <c:pt idx="668">
                  <c:v>17219.300000000119</c:v>
                </c:pt>
                <c:pt idx="669">
                  <c:v>17219.300000000119</c:v>
                </c:pt>
                <c:pt idx="670">
                  <c:v>17219.300000000119</c:v>
                </c:pt>
                <c:pt idx="671">
                  <c:v>17219.300000000119</c:v>
                </c:pt>
                <c:pt idx="672">
                  <c:v>17219.300000000119</c:v>
                </c:pt>
                <c:pt idx="673">
                  <c:v>17219.300000000119</c:v>
                </c:pt>
                <c:pt idx="674">
                  <c:v>17219.300000000119</c:v>
                </c:pt>
                <c:pt idx="675">
                  <c:v>17219.300000000119</c:v>
                </c:pt>
                <c:pt idx="676">
                  <c:v>17219.300000000138</c:v>
                </c:pt>
                <c:pt idx="677">
                  <c:v>16866.850000000133</c:v>
                </c:pt>
                <c:pt idx="678">
                  <c:v>16316.710000000136</c:v>
                </c:pt>
                <c:pt idx="679">
                  <c:v>16010.900000000138</c:v>
                </c:pt>
                <c:pt idx="680">
                  <c:v>16010.900000000138</c:v>
                </c:pt>
                <c:pt idx="681">
                  <c:v>16010.900000000138</c:v>
                </c:pt>
                <c:pt idx="682">
                  <c:v>16010.900000000138</c:v>
                </c:pt>
                <c:pt idx="683">
                  <c:v>16010.900000000138</c:v>
                </c:pt>
                <c:pt idx="684">
                  <c:v>16010.900000000138</c:v>
                </c:pt>
                <c:pt idx="685">
                  <c:v>16010.900000000138</c:v>
                </c:pt>
                <c:pt idx="686">
                  <c:v>16010.900000000138</c:v>
                </c:pt>
                <c:pt idx="687">
                  <c:v>16010.900000000136</c:v>
                </c:pt>
                <c:pt idx="688">
                  <c:v>15732.800000000136</c:v>
                </c:pt>
                <c:pt idx="689">
                  <c:v>17461.480000000134</c:v>
                </c:pt>
                <c:pt idx="690">
                  <c:v>17036.900000000132</c:v>
                </c:pt>
                <c:pt idx="691">
                  <c:v>16213.960000000134</c:v>
                </c:pt>
                <c:pt idx="692">
                  <c:v>16353.800000000136</c:v>
                </c:pt>
                <c:pt idx="693">
                  <c:v>16396.120000000134</c:v>
                </c:pt>
                <c:pt idx="694">
                  <c:v>15992.700000000134</c:v>
                </c:pt>
                <c:pt idx="695">
                  <c:v>15581.000000000135</c:v>
                </c:pt>
                <c:pt idx="696">
                  <c:v>15431.960000000134</c:v>
                </c:pt>
                <c:pt idx="697">
                  <c:v>14054.260000000135</c:v>
                </c:pt>
                <c:pt idx="698">
                  <c:v>14054.260000000135</c:v>
                </c:pt>
                <c:pt idx="699">
                  <c:v>14054.260000000135</c:v>
                </c:pt>
                <c:pt idx="700">
                  <c:v>14054.260000000135</c:v>
                </c:pt>
                <c:pt idx="701">
                  <c:v>14054.260000000135</c:v>
                </c:pt>
                <c:pt idx="702">
                  <c:v>14054.260000000135</c:v>
                </c:pt>
                <c:pt idx="703">
                  <c:v>14054.260000000135</c:v>
                </c:pt>
                <c:pt idx="704">
                  <c:v>14054.260000000135</c:v>
                </c:pt>
                <c:pt idx="705">
                  <c:v>14054.260000000135</c:v>
                </c:pt>
                <c:pt idx="706">
                  <c:v>14054.260000000135</c:v>
                </c:pt>
                <c:pt idx="707">
                  <c:v>14054.260000000135</c:v>
                </c:pt>
                <c:pt idx="708">
                  <c:v>14054.260000000135</c:v>
                </c:pt>
                <c:pt idx="709">
                  <c:v>14054.260000000135</c:v>
                </c:pt>
                <c:pt idx="710">
                  <c:v>14054.260000000135</c:v>
                </c:pt>
                <c:pt idx="711">
                  <c:v>14054.260000000135</c:v>
                </c:pt>
                <c:pt idx="712">
                  <c:v>14054.260000000135</c:v>
                </c:pt>
                <c:pt idx="713">
                  <c:v>14054.260000000135</c:v>
                </c:pt>
                <c:pt idx="714">
                  <c:v>14054.260000000135</c:v>
                </c:pt>
                <c:pt idx="715">
                  <c:v>14054.260000000135</c:v>
                </c:pt>
                <c:pt idx="716">
                  <c:v>14054.260000000135</c:v>
                </c:pt>
                <c:pt idx="717">
                  <c:v>14054.260000000129</c:v>
                </c:pt>
                <c:pt idx="718">
                  <c:v>13589.900000000129</c:v>
                </c:pt>
                <c:pt idx="719">
                  <c:v>14250.720000000128</c:v>
                </c:pt>
                <c:pt idx="720">
                  <c:v>14218.290000000128</c:v>
                </c:pt>
                <c:pt idx="721">
                  <c:v>14254.480000000131</c:v>
                </c:pt>
                <c:pt idx="722">
                  <c:v>14281.740000000131</c:v>
                </c:pt>
                <c:pt idx="723">
                  <c:v>14343.31000000013</c:v>
                </c:pt>
                <c:pt idx="724">
                  <c:v>14747.040000000128</c:v>
                </c:pt>
                <c:pt idx="725">
                  <c:v>14650.220000000128</c:v>
                </c:pt>
                <c:pt idx="726">
                  <c:v>12640.970000000128</c:v>
                </c:pt>
                <c:pt idx="727">
                  <c:v>14799.680000000129</c:v>
                </c:pt>
                <c:pt idx="728">
                  <c:v>14799.680000000129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29-4DA1-B136-3716DA4B7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921263"/>
        <c:axId val="312920015"/>
      </c:scatterChart>
      <c:valAx>
        <c:axId val="312921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20015"/>
        <c:crosses val="autoZero"/>
        <c:crossBetween val="midCat"/>
      </c:valAx>
      <c:valAx>
        <c:axId val="312920015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21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Close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'tesla-stock-price (2)'!$A$3:$A$758</c:f>
              <c:numCache>
                <c:formatCode>General</c:formatCode>
                <c:ptCount val="756"/>
                <c:pt idx="0">
                  <c:v>42292</c:v>
                </c:pt>
                <c:pt idx="1">
                  <c:v>42293</c:v>
                </c:pt>
                <c:pt idx="2">
                  <c:v>42296</c:v>
                </c:pt>
                <c:pt idx="3">
                  <c:v>42297</c:v>
                </c:pt>
                <c:pt idx="4">
                  <c:v>42298</c:v>
                </c:pt>
                <c:pt idx="5">
                  <c:v>42299</c:v>
                </c:pt>
                <c:pt idx="6">
                  <c:v>42300</c:v>
                </c:pt>
                <c:pt idx="7">
                  <c:v>42303</c:v>
                </c:pt>
                <c:pt idx="8">
                  <c:v>42304</c:v>
                </c:pt>
                <c:pt idx="9">
                  <c:v>42305</c:v>
                </c:pt>
                <c:pt idx="10">
                  <c:v>42306</c:v>
                </c:pt>
                <c:pt idx="11">
                  <c:v>42307</c:v>
                </c:pt>
                <c:pt idx="12">
                  <c:v>42310</c:v>
                </c:pt>
                <c:pt idx="13">
                  <c:v>42311</c:v>
                </c:pt>
                <c:pt idx="14">
                  <c:v>42312</c:v>
                </c:pt>
                <c:pt idx="15">
                  <c:v>42313</c:v>
                </c:pt>
                <c:pt idx="16">
                  <c:v>42314</c:v>
                </c:pt>
                <c:pt idx="17">
                  <c:v>42317</c:v>
                </c:pt>
                <c:pt idx="18">
                  <c:v>42318</c:v>
                </c:pt>
                <c:pt idx="19">
                  <c:v>42319</c:v>
                </c:pt>
                <c:pt idx="20">
                  <c:v>42320</c:v>
                </c:pt>
                <c:pt idx="21">
                  <c:v>42321</c:v>
                </c:pt>
                <c:pt idx="22">
                  <c:v>42324</c:v>
                </c:pt>
                <c:pt idx="23">
                  <c:v>42325</c:v>
                </c:pt>
                <c:pt idx="24">
                  <c:v>42326</c:v>
                </c:pt>
                <c:pt idx="25">
                  <c:v>42327</c:v>
                </c:pt>
                <c:pt idx="26">
                  <c:v>42328</c:v>
                </c:pt>
                <c:pt idx="27">
                  <c:v>42331</c:v>
                </c:pt>
                <c:pt idx="28">
                  <c:v>42332</c:v>
                </c:pt>
                <c:pt idx="29">
                  <c:v>42333</c:v>
                </c:pt>
                <c:pt idx="30">
                  <c:v>42335</c:v>
                </c:pt>
                <c:pt idx="31">
                  <c:v>42338</c:v>
                </c:pt>
                <c:pt idx="32">
                  <c:v>42339</c:v>
                </c:pt>
                <c:pt idx="33">
                  <c:v>42340</c:v>
                </c:pt>
                <c:pt idx="34">
                  <c:v>42341</c:v>
                </c:pt>
                <c:pt idx="35">
                  <c:v>42342</c:v>
                </c:pt>
                <c:pt idx="36">
                  <c:v>42345</c:v>
                </c:pt>
                <c:pt idx="37">
                  <c:v>42346</c:v>
                </c:pt>
                <c:pt idx="38">
                  <c:v>42347</c:v>
                </c:pt>
                <c:pt idx="39">
                  <c:v>42348</c:v>
                </c:pt>
                <c:pt idx="40">
                  <c:v>42349</c:v>
                </c:pt>
                <c:pt idx="41">
                  <c:v>42352</c:v>
                </c:pt>
                <c:pt idx="42">
                  <c:v>42353</c:v>
                </c:pt>
                <c:pt idx="43">
                  <c:v>42354</c:v>
                </c:pt>
                <c:pt idx="44">
                  <c:v>42355</c:v>
                </c:pt>
                <c:pt idx="45">
                  <c:v>42356</c:v>
                </c:pt>
                <c:pt idx="46">
                  <c:v>42359</c:v>
                </c:pt>
                <c:pt idx="47">
                  <c:v>42360</c:v>
                </c:pt>
                <c:pt idx="48">
                  <c:v>42361</c:v>
                </c:pt>
                <c:pt idx="49">
                  <c:v>42362</c:v>
                </c:pt>
                <c:pt idx="50">
                  <c:v>42366</c:v>
                </c:pt>
                <c:pt idx="51">
                  <c:v>42367</c:v>
                </c:pt>
                <c:pt idx="52">
                  <c:v>42368</c:v>
                </c:pt>
                <c:pt idx="53">
                  <c:v>42369</c:v>
                </c:pt>
                <c:pt idx="54">
                  <c:v>42373</c:v>
                </c:pt>
                <c:pt idx="55">
                  <c:v>42374</c:v>
                </c:pt>
                <c:pt idx="56">
                  <c:v>42375</c:v>
                </c:pt>
                <c:pt idx="57">
                  <c:v>42376</c:v>
                </c:pt>
                <c:pt idx="58">
                  <c:v>42377</c:v>
                </c:pt>
                <c:pt idx="59">
                  <c:v>42380</c:v>
                </c:pt>
                <c:pt idx="60">
                  <c:v>42381</c:v>
                </c:pt>
                <c:pt idx="61">
                  <c:v>42382</c:v>
                </c:pt>
                <c:pt idx="62">
                  <c:v>42383</c:v>
                </c:pt>
                <c:pt idx="63">
                  <c:v>42384</c:v>
                </c:pt>
                <c:pt idx="64">
                  <c:v>42388</c:v>
                </c:pt>
                <c:pt idx="65">
                  <c:v>42389</c:v>
                </c:pt>
                <c:pt idx="66">
                  <c:v>42390</c:v>
                </c:pt>
                <c:pt idx="67">
                  <c:v>42391</c:v>
                </c:pt>
                <c:pt idx="68">
                  <c:v>42394</c:v>
                </c:pt>
                <c:pt idx="69">
                  <c:v>42395</c:v>
                </c:pt>
                <c:pt idx="70">
                  <c:v>42396</c:v>
                </c:pt>
                <c:pt idx="71">
                  <c:v>42397</c:v>
                </c:pt>
                <c:pt idx="72">
                  <c:v>42398</c:v>
                </c:pt>
                <c:pt idx="73">
                  <c:v>42401</c:v>
                </c:pt>
                <c:pt idx="74">
                  <c:v>42402</c:v>
                </c:pt>
                <c:pt idx="75">
                  <c:v>42403</c:v>
                </c:pt>
                <c:pt idx="76">
                  <c:v>42404</c:v>
                </c:pt>
                <c:pt idx="77">
                  <c:v>42405</c:v>
                </c:pt>
                <c:pt idx="78">
                  <c:v>42408</c:v>
                </c:pt>
                <c:pt idx="79">
                  <c:v>42409</c:v>
                </c:pt>
                <c:pt idx="80">
                  <c:v>42410</c:v>
                </c:pt>
                <c:pt idx="81">
                  <c:v>42411</c:v>
                </c:pt>
                <c:pt idx="82">
                  <c:v>42412</c:v>
                </c:pt>
                <c:pt idx="83">
                  <c:v>42416</c:v>
                </c:pt>
                <c:pt idx="84">
                  <c:v>42417</c:v>
                </c:pt>
                <c:pt idx="85">
                  <c:v>42418</c:v>
                </c:pt>
                <c:pt idx="86">
                  <c:v>42419</c:v>
                </c:pt>
                <c:pt idx="87">
                  <c:v>42422</c:v>
                </c:pt>
                <c:pt idx="88">
                  <c:v>42423</c:v>
                </c:pt>
                <c:pt idx="89">
                  <c:v>42424</c:v>
                </c:pt>
                <c:pt idx="90">
                  <c:v>42425</c:v>
                </c:pt>
                <c:pt idx="91">
                  <c:v>42426</c:v>
                </c:pt>
                <c:pt idx="92">
                  <c:v>42429</c:v>
                </c:pt>
                <c:pt idx="93">
                  <c:v>42430</c:v>
                </c:pt>
                <c:pt idx="94">
                  <c:v>42431</c:v>
                </c:pt>
                <c:pt idx="95">
                  <c:v>42432</c:v>
                </c:pt>
                <c:pt idx="96">
                  <c:v>42433</c:v>
                </c:pt>
                <c:pt idx="97">
                  <c:v>42436</c:v>
                </c:pt>
                <c:pt idx="98">
                  <c:v>42437</c:v>
                </c:pt>
                <c:pt idx="99">
                  <c:v>42438</c:v>
                </c:pt>
                <c:pt idx="100">
                  <c:v>42439</c:v>
                </c:pt>
                <c:pt idx="101">
                  <c:v>42440</c:v>
                </c:pt>
                <c:pt idx="102">
                  <c:v>42443</c:v>
                </c:pt>
                <c:pt idx="103">
                  <c:v>42444</c:v>
                </c:pt>
                <c:pt idx="104">
                  <c:v>42445</c:v>
                </c:pt>
                <c:pt idx="105">
                  <c:v>42446</c:v>
                </c:pt>
                <c:pt idx="106">
                  <c:v>42447</c:v>
                </c:pt>
                <c:pt idx="107">
                  <c:v>42450</c:v>
                </c:pt>
                <c:pt idx="108">
                  <c:v>42451</c:v>
                </c:pt>
                <c:pt idx="109">
                  <c:v>42452</c:v>
                </c:pt>
                <c:pt idx="110">
                  <c:v>42453</c:v>
                </c:pt>
                <c:pt idx="111">
                  <c:v>42457</c:v>
                </c:pt>
                <c:pt idx="112">
                  <c:v>42458</c:v>
                </c:pt>
                <c:pt idx="113">
                  <c:v>42459</c:v>
                </c:pt>
                <c:pt idx="114">
                  <c:v>42460</c:v>
                </c:pt>
                <c:pt idx="115">
                  <c:v>42461</c:v>
                </c:pt>
                <c:pt idx="116">
                  <c:v>42464</c:v>
                </c:pt>
                <c:pt idx="117">
                  <c:v>42465</c:v>
                </c:pt>
                <c:pt idx="118">
                  <c:v>42466</c:v>
                </c:pt>
                <c:pt idx="119">
                  <c:v>42467</c:v>
                </c:pt>
                <c:pt idx="120">
                  <c:v>42468</c:v>
                </c:pt>
                <c:pt idx="121">
                  <c:v>42471</c:v>
                </c:pt>
                <c:pt idx="122">
                  <c:v>42472</c:v>
                </c:pt>
                <c:pt idx="123">
                  <c:v>42473</c:v>
                </c:pt>
                <c:pt idx="124">
                  <c:v>42474</c:v>
                </c:pt>
                <c:pt idx="125">
                  <c:v>42475</c:v>
                </c:pt>
                <c:pt idx="126">
                  <c:v>42478</c:v>
                </c:pt>
                <c:pt idx="127">
                  <c:v>42479</c:v>
                </c:pt>
                <c:pt idx="128">
                  <c:v>42480</c:v>
                </c:pt>
                <c:pt idx="129">
                  <c:v>42481</c:v>
                </c:pt>
                <c:pt idx="130">
                  <c:v>42482</c:v>
                </c:pt>
                <c:pt idx="131">
                  <c:v>42485</c:v>
                </c:pt>
                <c:pt idx="132">
                  <c:v>42486</c:v>
                </c:pt>
                <c:pt idx="133">
                  <c:v>42487</c:v>
                </c:pt>
                <c:pt idx="134">
                  <c:v>42488</c:v>
                </c:pt>
                <c:pt idx="135">
                  <c:v>42489</c:v>
                </c:pt>
                <c:pt idx="136">
                  <c:v>42492</c:v>
                </c:pt>
                <c:pt idx="137">
                  <c:v>42493</c:v>
                </c:pt>
                <c:pt idx="138">
                  <c:v>42494</c:v>
                </c:pt>
                <c:pt idx="139">
                  <c:v>42495</c:v>
                </c:pt>
                <c:pt idx="140">
                  <c:v>42496</c:v>
                </c:pt>
                <c:pt idx="141">
                  <c:v>42499</c:v>
                </c:pt>
                <c:pt idx="142">
                  <c:v>42500</c:v>
                </c:pt>
                <c:pt idx="143">
                  <c:v>42501</c:v>
                </c:pt>
                <c:pt idx="144">
                  <c:v>42502</c:v>
                </c:pt>
                <c:pt idx="145">
                  <c:v>42503</c:v>
                </c:pt>
                <c:pt idx="146">
                  <c:v>42506</c:v>
                </c:pt>
                <c:pt idx="147">
                  <c:v>42507</c:v>
                </c:pt>
                <c:pt idx="148">
                  <c:v>42508</c:v>
                </c:pt>
                <c:pt idx="149">
                  <c:v>42509</c:v>
                </c:pt>
                <c:pt idx="150">
                  <c:v>42510</c:v>
                </c:pt>
                <c:pt idx="151">
                  <c:v>42513</c:v>
                </c:pt>
                <c:pt idx="152">
                  <c:v>42514</c:v>
                </c:pt>
                <c:pt idx="153">
                  <c:v>42515</c:v>
                </c:pt>
                <c:pt idx="154">
                  <c:v>42516</c:v>
                </c:pt>
                <c:pt idx="155">
                  <c:v>42517</c:v>
                </c:pt>
                <c:pt idx="156">
                  <c:v>42521</c:v>
                </c:pt>
                <c:pt idx="157">
                  <c:v>42522</c:v>
                </c:pt>
                <c:pt idx="158">
                  <c:v>42523</c:v>
                </c:pt>
                <c:pt idx="159">
                  <c:v>42524</c:v>
                </c:pt>
                <c:pt idx="160">
                  <c:v>42527</c:v>
                </c:pt>
                <c:pt idx="161">
                  <c:v>42528</c:v>
                </c:pt>
                <c:pt idx="162">
                  <c:v>42529</c:v>
                </c:pt>
                <c:pt idx="163">
                  <c:v>42530</c:v>
                </c:pt>
                <c:pt idx="164">
                  <c:v>42531</c:v>
                </c:pt>
                <c:pt idx="165">
                  <c:v>42534</c:v>
                </c:pt>
                <c:pt idx="166">
                  <c:v>42535</c:v>
                </c:pt>
                <c:pt idx="167">
                  <c:v>42536</c:v>
                </c:pt>
                <c:pt idx="168">
                  <c:v>42537</c:v>
                </c:pt>
                <c:pt idx="169">
                  <c:v>42538</c:v>
                </c:pt>
                <c:pt idx="170">
                  <c:v>42541</c:v>
                </c:pt>
                <c:pt idx="171">
                  <c:v>42542</c:v>
                </c:pt>
                <c:pt idx="172">
                  <c:v>42543</c:v>
                </c:pt>
                <c:pt idx="173">
                  <c:v>42544</c:v>
                </c:pt>
                <c:pt idx="174">
                  <c:v>42545</c:v>
                </c:pt>
                <c:pt idx="175">
                  <c:v>42548</c:v>
                </c:pt>
                <c:pt idx="176">
                  <c:v>42549</c:v>
                </c:pt>
                <c:pt idx="177">
                  <c:v>42550</c:v>
                </c:pt>
                <c:pt idx="178">
                  <c:v>42551</c:v>
                </c:pt>
                <c:pt idx="179">
                  <c:v>42552</c:v>
                </c:pt>
                <c:pt idx="180">
                  <c:v>42556</c:v>
                </c:pt>
                <c:pt idx="181">
                  <c:v>42557</c:v>
                </c:pt>
                <c:pt idx="182">
                  <c:v>42558</c:v>
                </c:pt>
                <c:pt idx="183">
                  <c:v>42559</c:v>
                </c:pt>
                <c:pt idx="184">
                  <c:v>42562</c:v>
                </c:pt>
                <c:pt idx="185">
                  <c:v>42563</c:v>
                </c:pt>
                <c:pt idx="186">
                  <c:v>42564</c:v>
                </c:pt>
                <c:pt idx="187">
                  <c:v>42565</c:v>
                </c:pt>
                <c:pt idx="188">
                  <c:v>42566</c:v>
                </c:pt>
                <c:pt idx="189">
                  <c:v>42569</c:v>
                </c:pt>
                <c:pt idx="190">
                  <c:v>42570</c:v>
                </c:pt>
                <c:pt idx="191">
                  <c:v>42571</c:v>
                </c:pt>
                <c:pt idx="192">
                  <c:v>42572</c:v>
                </c:pt>
                <c:pt idx="193">
                  <c:v>42573</c:v>
                </c:pt>
                <c:pt idx="194">
                  <c:v>42576</c:v>
                </c:pt>
                <c:pt idx="195">
                  <c:v>42577</c:v>
                </c:pt>
                <c:pt idx="196">
                  <c:v>42578</c:v>
                </c:pt>
                <c:pt idx="197">
                  <c:v>42579</c:v>
                </c:pt>
                <c:pt idx="198">
                  <c:v>42580</c:v>
                </c:pt>
                <c:pt idx="199">
                  <c:v>42583</c:v>
                </c:pt>
                <c:pt idx="200">
                  <c:v>42584</c:v>
                </c:pt>
                <c:pt idx="201">
                  <c:v>42585</c:v>
                </c:pt>
                <c:pt idx="202">
                  <c:v>42586</c:v>
                </c:pt>
                <c:pt idx="203">
                  <c:v>42587</c:v>
                </c:pt>
                <c:pt idx="204">
                  <c:v>42590</c:v>
                </c:pt>
                <c:pt idx="205">
                  <c:v>42591</c:v>
                </c:pt>
                <c:pt idx="206">
                  <c:v>42592</c:v>
                </c:pt>
                <c:pt idx="207">
                  <c:v>42593</c:v>
                </c:pt>
                <c:pt idx="208">
                  <c:v>42594</c:v>
                </c:pt>
                <c:pt idx="209">
                  <c:v>42597</c:v>
                </c:pt>
                <c:pt idx="210">
                  <c:v>42598</c:v>
                </c:pt>
                <c:pt idx="211">
                  <c:v>42599</c:v>
                </c:pt>
                <c:pt idx="212">
                  <c:v>42600</c:v>
                </c:pt>
                <c:pt idx="213">
                  <c:v>42601</c:v>
                </c:pt>
                <c:pt idx="214">
                  <c:v>42604</c:v>
                </c:pt>
                <c:pt idx="215">
                  <c:v>42605</c:v>
                </c:pt>
                <c:pt idx="216">
                  <c:v>42606</c:v>
                </c:pt>
                <c:pt idx="217">
                  <c:v>42607</c:v>
                </c:pt>
                <c:pt idx="218">
                  <c:v>42608</c:v>
                </c:pt>
                <c:pt idx="219">
                  <c:v>42611</c:v>
                </c:pt>
                <c:pt idx="220">
                  <c:v>42612</c:v>
                </c:pt>
                <c:pt idx="221">
                  <c:v>42613</c:v>
                </c:pt>
                <c:pt idx="222">
                  <c:v>42614</c:v>
                </c:pt>
                <c:pt idx="223">
                  <c:v>42615</c:v>
                </c:pt>
                <c:pt idx="224">
                  <c:v>42619</c:v>
                </c:pt>
                <c:pt idx="225">
                  <c:v>42620</c:v>
                </c:pt>
                <c:pt idx="226">
                  <c:v>42621</c:v>
                </c:pt>
                <c:pt idx="227">
                  <c:v>42622</c:v>
                </c:pt>
                <c:pt idx="228">
                  <c:v>42625</c:v>
                </c:pt>
                <c:pt idx="229">
                  <c:v>42626</c:v>
                </c:pt>
                <c:pt idx="230">
                  <c:v>42627</c:v>
                </c:pt>
                <c:pt idx="231">
                  <c:v>42628</c:v>
                </c:pt>
                <c:pt idx="232">
                  <c:v>42629</c:v>
                </c:pt>
                <c:pt idx="233">
                  <c:v>42632</c:v>
                </c:pt>
                <c:pt idx="234">
                  <c:v>42633</c:v>
                </c:pt>
                <c:pt idx="235">
                  <c:v>42634</c:v>
                </c:pt>
                <c:pt idx="236">
                  <c:v>42635</c:v>
                </c:pt>
                <c:pt idx="237">
                  <c:v>42636</c:v>
                </c:pt>
                <c:pt idx="238">
                  <c:v>42639</c:v>
                </c:pt>
                <c:pt idx="239">
                  <c:v>42640</c:v>
                </c:pt>
                <c:pt idx="240">
                  <c:v>42641</c:v>
                </c:pt>
                <c:pt idx="241">
                  <c:v>42642</c:v>
                </c:pt>
                <c:pt idx="242">
                  <c:v>42643</c:v>
                </c:pt>
                <c:pt idx="243">
                  <c:v>42646</c:v>
                </c:pt>
                <c:pt idx="244">
                  <c:v>42647</c:v>
                </c:pt>
                <c:pt idx="245">
                  <c:v>42648</c:v>
                </c:pt>
                <c:pt idx="246">
                  <c:v>42649</c:v>
                </c:pt>
                <c:pt idx="247">
                  <c:v>42650</c:v>
                </c:pt>
                <c:pt idx="248">
                  <c:v>42653</c:v>
                </c:pt>
                <c:pt idx="249">
                  <c:v>42654</c:v>
                </c:pt>
                <c:pt idx="250">
                  <c:v>42655</c:v>
                </c:pt>
                <c:pt idx="251">
                  <c:v>42656</c:v>
                </c:pt>
                <c:pt idx="252">
                  <c:v>42657</c:v>
                </c:pt>
                <c:pt idx="253">
                  <c:v>42660</c:v>
                </c:pt>
                <c:pt idx="254">
                  <c:v>42661</c:v>
                </c:pt>
                <c:pt idx="255">
                  <c:v>42662</c:v>
                </c:pt>
                <c:pt idx="256">
                  <c:v>42663</c:v>
                </c:pt>
                <c:pt idx="257">
                  <c:v>42664</c:v>
                </c:pt>
                <c:pt idx="258">
                  <c:v>42667</c:v>
                </c:pt>
                <c:pt idx="259">
                  <c:v>42668</c:v>
                </c:pt>
                <c:pt idx="260">
                  <c:v>42669</c:v>
                </c:pt>
                <c:pt idx="261">
                  <c:v>42670</c:v>
                </c:pt>
                <c:pt idx="262">
                  <c:v>42671</c:v>
                </c:pt>
                <c:pt idx="263">
                  <c:v>42674</c:v>
                </c:pt>
                <c:pt idx="264">
                  <c:v>42675</c:v>
                </c:pt>
                <c:pt idx="265">
                  <c:v>42676</c:v>
                </c:pt>
                <c:pt idx="266">
                  <c:v>42677</c:v>
                </c:pt>
                <c:pt idx="267">
                  <c:v>42678</c:v>
                </c:pt>
                <c:pt idx="268">
                  <c:v>42681</c:v>
                </c:pt>
                <c:pt idx="269">
                  <c:v>42682</c:v>
                </c:pt>
                <c:pt idx="270">
                  <c:v>42683</c:v>
                </c:pt>
                <c:pt idx="271">
                  <c:v>42684</c:v>
                </c:pt>
                <c:pt idx="272">
                  <c:v>42685</c:v>
                </c:pt>
                <c:pt idx="273">
                  <c:v>42688</c:v>
                </c:pt>
                <c:pt idx="274">
                  <c:v>42689</c:v>
                </c:pt>
                <c:pt idx="275">
                  <c:v>42690</c:v>
                </c:pt>
                <c:pt idx="276">
                  <c:v>42691</c:v>
                </c:pt>
                <c:pt idx="277">
                  <c:v>42692</c:v>
                </c:pt>
                <c:pt idx="278">
                  <c:v>42695</c:v>
                </c:pt>
                <c:pt idx="279">
                  <c:v>42696</c:v>
                </c:pt>
                <c:pt idx="280">
                  <c:v>42697</c:v>
                </c:pt>
                <c:pt idx="281">
                  <c:v>42699</c:v>
                </c:pt>
                <c:pt idx="282">
                  <c:v>42702</c:v>
                </c:pt>
                <c:pt idx="283">
                  <c:v>42703</c:v>
                </c:pt>
                <c:pt idx="284">
                  <c:v>42704</c:v>
                </c:pt>
                <c:pt idx="285">
                  <c:v>42705</c:v>
                </c:pt>
                <c:pt idx="286">
                  <c:v>42706</c:v>
                </c:pt>
                <c:pt idx="287">
                  <c:v>42709</c:v>
                </c:pt>
                <c:pt idx="288">
                  <c:v>42710</c:v>
                </c:pt>
                <c:pt idx="289">
                  <c:v>42711</c:v>
                </c:pt>
                <c:pt idx="290">
                  <c:v>42712</c:v>
                </c:pt>
                <c:pt idx="291">
                  <c:v>42713</c:v>
                </c:pt>
                <c:pt idx="292">
                  <c:v>42716</c:v>
                </c:pt>
                <c:pt idx="293">
                  <c:v>42717</c:v>
                </c:pt>
                <c:pt idx="294">
                  <c:v>42718</c:v>
                </c:pt>
                <c:pt idx="295">
                  <c:v>42719</c:v>
                </c:pt>
                <c:pt idx="296">
                  <c:v>42720</c:v>
                </c:pt>
                <c:pt idx="297">
                  <c:v>42723</c:v>
                </c:pt>
                <c:pt idx="298">
                  <c:v>42724</c:v>
                </c:pt>
                <c:pt idx="299">
                  <c:v>42725</c:v>
                </c:pt>
                <c:pt idx="300">
                  <c:v>42726</c:v>
                </c:pt>
                <c:pt idx="301">
                  <c:v>42727</c:v>
                </c:pt>
                <c:pt idx="302">
                  <c:v>42731</c:v>
                </c:pt>
                <c:pt idx="303">
                  <c:v>42732</c:v>
                </c:pt>
                <c:pt idx="304">
                  <c:v>42733</c:v>
                </c:pt>
                <c:pt idx="305">
                  <c:v>42734</c:v>
                </c:pt>
                <c:pt idx="306">
                  <c:v>42738</c:v>
                </c:pt>
                <c:pt idx="307">
                  <c:v>42739</c:v>
                </c:pt>
                <c:pt idx="308">
                  <c:v>42740</c:v>
                </c:pt>
                <c:pt idx="309">
                  <c:v>42741</c:v>
                </c:pt>
                <c:pt idx="310">
                  <c:v>42744</c:v>
                </c:pt>
                <c:pt idx="311">
                  <c:v>42745</c:v>
                </c:pt>
                <c:pt idx="312">
                  <c:v>42746</c:v>
                </c:pt>
                <c:pt idx="313">
                  <c:v>42747</c:v>
                </c:pt>
                <c:pt idx="314">
                  <c:v>42748</c:v>
                </c:pt>
                <c:pt idx="315">
                  <c:v>42752</c:v>
                </c:pt>
                <c:pt idx="316">
                  <c:v>42753</c:v>
                </c:pt>
                <c:pt idx="317">
                  <c:v>42754</c:v>
                </c:pt>
                <c:pt idx="318">
                  <c:v>42755</c:v>
                </c:pt>
                <c:pt idx="319">
                  <c:v>42758</c:v>
                </c:pt>
                <c:pt idx="320">
                  <c:v>42759</c:v>
                </c:pt>
                <c:pt idx="321">
                  <c:v>42760</c:v>
                </c:pt>
                <c:pt idx="322">
                  <c:v>42761</c:v>
                </c:pt>
                <c:pt idx="323">
                  <c:v>42762</c:v>
                </c:pt>
                <c:pt idx="324">
                  <c:v>42765</c:v>
                </c:pt>
                <c:pt idx="325">
                  <c:v>42766</c:v>
                </c:pt>
                <c:pt idx="326">
                  <c:v>42767</c:v>
                </c:pt>
                <c:pt idx="327">
                  <c:v>42768</c:v>
                </c:pt>
                <c:pt idx="328">
                  <c:v>42769</c:v>
                </c:pt>
                <c:pt idx="329">
                  <c:v>42772</c:v>
                </c:pt>
                <c:pt idx="330">
                  <c:v>42773</c:v>
                </c:pt>
                <c:pt idx="331">
                  <c:v>42774</c:v>
                </c:pt>
                <c:pt idx="332">
                  <c:v>42775</c:v>
                </c:pt>
                <c:pt idx="333">
                  <c:v>42776</c:v>
                </c:pt>
                <c:pt idx="334">
                  <c:v>42779</c:v>
                </c:pt>
                <c:pt idx="335">
                  <c:v>42780</c:v>
                </c:pt>
                <c:pt idx="336">
                  <c:v>42781</c:v>
                </c:pt>
                <c:pt idx="337">
                  <c:v>42782</c:v>
                </c:pt>
                <c:pt idx="338">
                  <c:v>42783</c:v>
                </c:pt>
                <c:pt idx="339">
                  <c:v>42787</c:v>
                </c:pt>
                <c:pt idx="340">
                  <c:v>42788</c:v>
                </c:pt>
                <c:pt idx="341">
                  <c:v>42789</c:v>
                </c:pt>
                <c:pt idx="342">
                  <c:v>42790</c:v>
                </c:pt>
                <c:pt idx="343">
                  <c:v>42793</c:v>
                </c:pt>
                <c:pt idx="344">
                  <c:v>42794</c:v>
                </c:pt>
                <c:pt idx="345">
                  <c:v>42795</c:v>
                </c:pt>
                <c:pt idx="346">
                  <c:v>42796</c:v>
                </c:pt>
                <c:pt idx="347">
                  <c:v>42797</c:v>
                </c:pt>
                <c:pt idx="348">
                  <c:v>42800</c:v>
                </c:pt>
                <c:pt idx="349">
                  <c:v>42801</c:v>
                </c:pt>
                <c:pt idx="350">
                  <c:v>42802</c:v>
                </c:pt>
                <c:pt idx="351">
                  <c:v>42803</c:v>
                </c:pt>
                <c:pt idx="352">
                  <c:v>42804</c:v>
                </c:pt>
                <c:pt idx="353">
                  <c:v>42807</c:v>
                </c:pt>
                <c:pt idx="354">
                  <c:v>42808</c:v>
                </c:pt>
                <c:pt idx="355">
                  <c:v>42809</c:v>
                </c:pt>
                <c:pt idx="356">
                  <c:v>42810</c:v>
                </c:pt>
                <c:pt idx="357">
                  <c:v>42811</c:v>
                </c:pt>
                <c:pt idx="358">
                  <c:v>42814</c:v>
                </c:pt>
                <c:pt idx="359">
                  <c:v>42815</c:v>
                </c:pt>
                <c:pt idx="360">
                  <c:v>42816</c:v>
                </c:pt>
                <c:pt idx="361">
                  <c:v>42817</c:v>
                </c:pt>
                <c:pt idx="362">
                  <c:v>42818</c:v>
                </c:pt>
                <c:pt idx="363">
                  <c:v>42821</c:v>
                </c:pt>
                <c:pt idx="364">
                  <c:v>42822</c:v>
                </c:pt>
                <c:pt idx="365">
                  <c:v>42823</c:v>
                </c:pt>
                <c:pt idx="366">
                  <c:v>42824</c:v>
                </c:pt>
                <c:pt idx="367">
                  <c:v>42825</c:v>
                </c:pt>
                <c:pt idx="368">
                  <c:v>42828</c:v>
                </c:pt>
                <c:pt idx="369">
                  <c:v>42829</c:v>
                </c:pt>
                <c:pt idx="370">
                  <c:v>42830</c:v>
                </c:pt>
                <c:pt idx="371">
                  <c:v>42831</c:v>
                </c:pt>
                <c:pt idx="372">
                  <c:v>42832</c:v>
                </c:pt>
                <c:pt idx="373">
                  <c:v>42835</c:v>
                </c:pt>
                <c:pt idx="374">
                  <c:v>42836</c:v>
                </c:pt>
                <c:pt idx="375">
                  <c:v>42837</c:v>
                </c:pt>
                <c:pt idx="376">
                  <c:v>42838</c:v>
                </c:pt>
                <c:pt idx="377">
                  <c:v>42842</c:v>
                </c:pt>
                <c:pt idx="378">
                  <c:v>42843</c:v>
                </c:pt>
                <c:pt idx="379">
                  <c:v>42844</c:v>
                </c:pt>
                <c:pt idx="380">
                  <c:v>42845</c:v>
                </c:pt>
                <c:pt idx="381">
                  <c:v>42846</c:v>
                </c:pt>
                <c:pt idx="382">
                  <c:v>42849</c:v>
                </c:pt>
                <c:pt idx="383">
                  <c:v>42850</c:v>
                </c:pt>
                <c:pt idx="384">
                  <c:v>42851</c:v>
                </c:pt>
                <c:pt idx="385">
                  <c:v>42852</c:v>
                </c:pt>
                <c:pt idx="386">
                  <c:v>42853</c:v>
                </c:pt>
                <c:pt idx="387">
                  <c:v>42856</c:v>
                </c:pt>
                <c:pt idx="388">
                  <c:v>42857</c:v>
                </c:pt>
                <c:pt idx="389">
                  <c:v>42858</c:v>
                </c:pt>
                <c:pt idx="390">
                  <c:v>42859</c:v>
                </c:pt>
                <c:pt idx="391">
                  <c:v>42860</c:v>
                </c:pt>
                <c:pt idx="392">
                  <c:v>42863</c:v>
                </c:pt>
                <c:pt idx="393">
                  <c:v>42864</c:v>
                </c:pt>
                <c:pt idx="394">
                  <c:v>42865</c:v>
                </c:pt>
                <c:pt idx="395">
                  <c:v>42866</c:v>
                </c:pt>
                <c:pt idx="396">
                  <c:v>42867</c:v>
                </c:pt>
                <c:pt idx="397">
                  <c:v>42870</c:v>
                </c:pt>
                <c:pt idx="398">
                  <c:v>42871</c:v>
                </c:pt>
                <c:pt idx="399">
                  <c:v>42872</c:v>
                </c:pt>
                <c:pt idx="400">
                  <c:v>42873</c:v>
                </c:pt>
                <c:pt idx="401">
                  <c:v>42874</c:v>
                </c:pt>
                <c:pt idx="402">
                  <c:v>42877</c:v>
                </c:pt>
                <c:pt idx="403">
                  <c:v>42878</c:v>
                </c:pt>
                <c:pt idx="404">
                  <c:v>42879</c:v>
                </c:pt>
                <c:pt idx="405">
                  <c:v>42880</c:v>
                </c:pt>
                <c:pt idx="406">
                  <c:v>42881</c:v>
                </c:pt>
                <c:pt idx="407">
                  <c:v>42885</c:v>
                </c:pt>
                <c:pt idx="408">
                  <c:v>42886</c:v>
                </c:pt>
                <c:pt idx="409">
                  <c:v>42887</c:v>
                </c:pt>
                <c:pt idx="410">
                  <c:v>42888</c:v>
                </c:pt>
                <c:pt idx="411">
                  <c:v>42891</c:v>
                </c:pt>
                <c:pt idx="412">
                  <c:v>42892</c:v>
                </c:pt>
                <c:pt idx="413">
                  <c:v>42893</c:v>
                </c:pt>
                <c:pt idx="414">
                  <c:v>42894</c:v>
                </c:pt>
                <c:pt idx="415">
                  <c:v>42895</c:v>
                </c:pt>
                <c:pt idx="416">
                  <c:v>42898</c:v>
                </c:pt>
                <c:pt idx="417">
                  <c:v>42899</c:v>
                </c:pt>
                <c:pt idx="418">
                  <c:v>42900</c:v>
                </c:pt>
                <c:pt idx="419">
                  <c:v>42901</c:v>
                </c:pt>
                <c:pt idx="420">
                  <c:v>42902</c:v>
                </c:pt>
                <c:pt idx="421">
                  <c:v>42905</c:v>
                </c:pt>
                <c:pt idx="422">
                  <c:v>42906</c:v>
                </c:pt>
                <c:pt idx="423">
                  <c:v>42907</c:v>
                </c:pt>
                <c:pt idx="424">
                  <c:v>42908</c:v>
                </c:pt>
                <c:pt idx="425">
                  <c:v>42909</c:v>
                </c:pt>
                <c:pt idx="426">
                  <c:v>42912</c:v>
                </c:pt>
                <c:pt idx="427">
                  <c:v>42913</c:v>
                </c:pt>
                <c:pt idx="428">
                  <c:v>42914</c:v>
                </c:pt>
                <c:pt idx="429">
                  <c:v>42915</c:v>
                </c:pt>
                <c:pt idx="430">
                  <c:v>42916</c:v>
                </c:pt>
                <c:pt idx="431">
                  <c:v>42919</c:v>
                </c:pt>
                <c:pt idx="432">
                  <c:v>42921</c:v>
                </c:pt>
                <c:pt idx="433">
                  <c:v>42922</c:v>
                </c:pt>
                <c:pt idx="434">
                  <c:v>42923</c:v>
                </c:pt>
                <c:pt idx="435">
                  <c:v>42926</c:v>
                </c:pt>
                <c:pt idx="436">
                  <c:v>42927</c:v>
                </c:pt>
                <c:pt idx="437">
                  <c:v>42928</c:v>
                </c:pt>
                <c:pt idx="438">
                  <c:v>42929</c:v>
                </c:pt>
                <c:pt idx="439">
                  <c:v>42930</c:v>
                </c:pt>
                <c:pt idx="440">
                  <c:v>42933</c:v>
                </c:pt>
                <c:pt idx="441">
                  <c:v>42934</c:v>
                </c:pt>
                <c:pt idx="442">
                  <c:v>42935</c:v>
                </c:pt>
                <c:pt idx="443">
                  <c:v>42936</c:v>
                </c:pt>
                <c:pt idx="444">
                  <c:v>42937</c:v>
                </c:pt>
                <c:pt idx="445">
                  <c:v>42940</c:v>
                </c:pt>
                <c:pt idx="446">
                  <c:v>42941</c:v>
                </c:pt>
                <c:pt idx="447">
                  <c:v>42942</c:v>
                </c:pt>
                <c:pt idx="448">
                  <c:v>42943</c:v>
                </c:pt>
                <c:pt idx="449">
                  <c:v>42944</c:v>
                </c:pt>
                <c:pt idx="450">
                  <c:v>42947</c:v>
                </c:pt>
                <c:pt idx="451">
                  <c:v>42948</c:v>
                </c:pt>
                <c:pt idx="452">
                  <c:v>42949</c:v>
                </c:pt>
                <c:pt idx="453">
                  <c:v>42950</c:v>
                </c:pt>
                <c:pt idx="454">
                  <c:v>42951</c:v>
                </c:pt>
                <c:pt idx="455">
                  <c:v>42954</c:v>
                </c:pt>
                <c:pt idx="456">
                  <c:v>42955</c:v>
                </c:pt>
                <c:pt idx="457">
                  <c:v>42956</c:v>
                </c:pt>
                <c:pt idx="458">
                  <c:v>42957</c:v>
                </c:pt>
                <c:pt idx="459">
                  <c:v>42958</c:v>
                </c:pt>
                <c:pt idx="460">
                  <c:v>42961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42965</c:v>
                </c:pt>
                <c:pt idx="465">
                  <c:v>42968</c:v>
                </c:pt>
                <c:pt idx="466">
                  <c:v>42969</c:v>
                </c:pt>
                <c:pt idx="467">
                  <c:v>42970</c:v>
                </c:pt>
                <c:pt idx="468">
                  <c:v>42971</c:v>
                </c:pt>
                <c:pt idx="469">
                  <c:v>42972</c:v>
                </c:pt>
                <c:pt idx="470">
                  <c:v>42975</c:v>
                </c:pt>
                <c:pt idx="471">
                  <c:v>42976</c:v>
                </c:pt>
                <c:pt idx="472">
                  <c:v>42977</c:v>
                </c:pt>
                <c:pt idx="473">
                  <c:v>42978</c:v>
                </c:pt>
                <c:pt idx="474">
                  <c:v>42979</c:v>
                </c:pt>
                <c:pt idx="475">
                  <c:v>42983</c:v>
                </c:pt>
                <c:pt idx="476">
                  <c:v>42984</c:v>
                </c:pt>
                <c:pt idx="477">
                  <c:v>42985</c:v>
                </c:pt>
                <c:pt idx="478">
                  <c:v>42986</c:v>
                </c:pt>
                <c:pt idx="479">
                  <c:v>42989</c:v>
                </c:pt>
                <c:pt idx="480">
                  <c:v>42990</c:v>
                </c:pt>
                <c:pt idx="481">
                  <c:v>42991</c:v>
                </c:pt>
                <c:pt idx="482">
                  <c:v>42992</c:v>
                </c:pt>
                <c:pt idx="483">
                  <c:v>42993</c:v>
                </c:pt>
                <c:pt idx="484">
                  <c:v>42996</c:v>
                </c:pt>
                <c:pt idx="485">
                  <c:v>42997</c:v>
                </c:pt>
                <c:pt idx="486">
                  <c:v>42998</c:v>
                </c:pt>
                <c:pt idx="487">
                  <c:v>42999</c:v>
                </c:pt>
                <c:pt idx="488">
                  <c:v>43000</c:v>
                </c:pt>
                <c:pt idx="489">
                  <c:v>43003</c:v>
                </c:pt>
                <c:pt idx="490">
                  <c:v>43004</c:v>
                </c:pt>
                <c:pt idx="491">
                  <c:v>43005</c:v>
                </c:pt>
                <c:pt idx="492">
                  <c:v>43006</c:v>
                </c:pt>
                <c:pt idx="493">
                  <c:v>43007</c:v>
                </c:pt>
                <c:pt idx="494">
                  <c:v>43010</c:v>
                </c:pt>
                <c:pt idx="495">
                  <c:v>43011</c:v>
                </c:pt>
                <c:pt idx="496">
                  <c:v>43012</c:v>
                </c:pt>
                <c:pt idx="497">
                  <c:v>43013</c:v>
                </c:pt>
                <c:pt idx="498">
                  <c:v>43014</c:v>
                </c:pt>
                <c:pt idx="499">
                  <c:v>43017</c:v>
                </c:pt>
                <c:pt idx="500">
                  <c:v>43018</c:v>
                </c:pt>
                <c:pt idx="501">
                  <c:v>43019</c:v>
                </c:pt>
                <c:pt idx="502">
                  <c:v>43020</c:v>
                </c:pt>
                <c:pt idx="503">
                  <c:v>43021</c:v>
                </c:pt>
                <c:pt idx="504">
                  <c:v>43024</c:v>
                </c:pt>
                <c:pt idx="505">
                  <c:v>43025</c:v>
                </c:pt>
                <c:pt idx="506">
                  <c:v>43026</c:v>
                </c:pt>
                <c:pt idx="507">
                  <c:v>43027</c:v>
                </c:pt>
                <c:pt idx="508">
                  <c:v>43028</c:v>
                </c:pt>
                <c:pt idx="509">
                  <c:v>43031</c:v>
                </c:pt>
                <c:pt idx="510">
                  <c:v>43032</c:v>
                </c:pt>
                <c:pt idx="511">
                  <c:v>43033</c:v>
                </c:pt>
                <c:pt idx="512">
                  <c:v>43034</c:v>
                </c:pt>
                <c:pt idx="513">
                  <c:v>43035</c:v>
                </c:pt>
                <c:pt idx="514">
                  <c:v>43038</c:v>
                </c:pt>
                <c:pt idx="515">
                  <c:v>43039</c:v>
                </c:pt>
                <c:pt idx="516">
                  <c:v>43040</c:v>
                </c:pt>
                <c:pt idx="517">
                  <c:v>43041</c:v>
                </c:pt>
                <c:pt idx="518">
                  <c:v>43042</c:v>
                </c:pt>
                <c:pt idx="519">
                  <c:v>43045</c:v>
                </c:pt>
                <c:pt idx="520">
                  <c:v>43046</c:v>
                </c:pt>
                <c:pt idx="521">
                  <c:v>43047</c:v>
                </c:pt>
                <c:pt idx="522">
                  <c:v>43048</c:v>
                </c:pt>
                <c:pt idx="523">
                  <c:v>43049</c:v>
                </c:pt>
                <c:pt idx="524">
                  <c:v>43052</c:v>
                </c:pt>
                <c:pt idx="525">
                  <c:v>43053</c:v>
                </c:pt>
                <c:pt idx="526">
                  <c:v>43054</c:v>
                </c:pt>
                <c:pt idx="527">
                  <c:v>43055</c:v>
                </c:pt>
                <c:pt idx="528">
                  <c:v>43056</c:v>
                </c:pt>
                <c:pt idx="529">
                  <c:v>43059</c:v>
                </c:pt>
                <c:pt idx="530">
                  <c:v>43060</c:v>
                </c:pt>
                <c:pt idx="531">
                  <c:v>43061</c:v>
                </c:pt>
                <c:pt idx="532">
                  <c:v>43063</c:v>
                </c:pt>
                <c:pt idx="533">
                  <c:v>43066</c:v>
                </c:pt>
                <c:pt idx="534">
                  <c:v>43067</c:v>
                </c:pt>
                <c:pt idx="535">
                  <c:v>43068</c:v>
                </c:pt>
                <c:pt idx="536">
                  <c:v>43069</c:v>
                </c:pt>
                <c:pt idx="537">
                  <c:v>43070</c:v>
                </c:pt>
                <c:pt idx="538">
                  <c:v>43073</c:v>
                </c:pt>
                <c:pt idx="539">
                  <c:v>43074</c:v>
                </c:pt>
                <c:pt idx="540">
                  <c:v>43075</c:v>
                </c:pt>
                <c:pt idx="541">
                  <c:v>43076</c:v>
                </c:pt>
                <c:pt idx="542">
                  <c:v>43077</c:v>
                </c:pt>
                <c:pt idx="543">
                  <c:v>43080</c:v>
                </c:pt>
                <c:pt idx="544">
                  <c:v>43081</c:v>
                </c:pt>
                <c:pt idx="545">
                  <c:v>43082</c:v>
                </c:pt>
                <c:pt idx="546">
                  <c:v>43083</c:v>
                </c:pt>
                <c:pt idx="547">
                  <c:v>43084</c:v>
                </c:pt>
                <c:pt idx="548">
                  <c:v>43087</c:v>
                </c:pt>
                <c:pt idx="549">
                  <c:v>43088</c:v>
                </c:pt>
                <c:pt idx="550">
                  <c:v>43089</c:v>
                </c:pt>
                <c:pt idx="551">
                  <c:v>43090</c:v>
                </c:pt>
                <c:pt idx="552">
                  <c:v>43091</c:v>
                </c:pt>
                <c:pt idx="553">
                  <c:v>43095</c:v>
                </c:pt>
                <c:pt idx="554">
                  <c:v>43096</c:v>
                </c:pt>
                <c:pt idx="555">
                  <c:v>43097</c:v>
                </c:pt>
                <c:pt idx="556">
                  <c:v>43098</c:v>
                </c:pt>
                <c:pt idx="557">
                  <c:v>43102</c:v>
                </c:pt>
                <c:pt idx="558">
                  <c:v>43103</c:v>
                </c:pt>
                <c:pt idx="559">
                  <c:v>43104</c:v>
                </c:pt>
                <c:pt idx="560">
                  <c:v>43105</c:v>
                </c:pt>
                <c:pt idx="561">
                  <c:v>43108</c:v>
                </c:pt>
                <c:pt idx="562">
                  <c:v>43109</c:v>
                </c:pt>
                <c:pt idx="563">
                  <c:v>43110</c:v>
                </c:pt>
                <c:pt idx="564">
                  <c:v>43111</c:v>
                </c:pt>
                <c:pt idx="565">
                  <c:v>43112</c:v>
                </c:pt>
                <c:pt idx="566">
                  <c:v>43116</c:v>
                </c:pt>
                <c:pt idx="567">
                  <c:v>43117</c:v>
                </c:pt>
                <c:pt idx="568">
                  <c:v>43118</c:v>
                </c:pt>
                <c:pt idx="569">
                  <c:v>43119</c:v>
                </c:pt>
                <c:pt idx="570">
                  <c:v>43122</c:v>
                </c:pt>
                <c:pt idx="571">
                  <c:v>43123</c:v>
                </c:pt>
                <c:pt idx="572">
                  <c:v>43124</c:v>
                </c:pt>
                <c:pt idx="573">
                  <c:v>43125</c:v>
                </c:pt>
                <c:pt idx="574">
                  <c:v>43126</c:v>
                </c:pt>
                <c:pt idx="575">
                  <c:v>43129</c:v>
                </c:pt>
                <c:pt idx="576">
                  <c:v>43130</c:v>
                </c:pt>
                <c:pt idx="577">
                  <c:v>43131</c:v>
                </c:pt>
                <c:pt idx="578">
                  <c:v>43132</c:v>
                </c:pt>
                <c:pt idx="579">
                  <c:v>43133</c:v>
                </c:pt>
                <c:pt idx="580">
                  <c:v>43136</c:v>
                </c:pt>
                <c:pt idx="581">
                  <c:v>43137</c:v>
                </c:pt>
                <c:pt idx="582">
                  <c:v>43138</c:v>
                </c:pt>
                <c:pt idx="583">
                  <c:v>43139</c:v>
                </c:pt>
                <c:pt idx="584">
                  <c:v>43140</c:v>
                </c:pt>
                <c:pt idx="585">
                  <c:v>43143</c:v>
                </c:pt>
                <c:pt idx="586">
                  <c:v>43144</c:v>
                </c:pt>
                <c:pt idx="587">
                  <c:v>43145</c:v>
                </c:pt>
                <c:pt idx="588">
                  <c:v>43146</c:v>
                </c:pt>
                <c:pt idx="589">
                  <c:v>43147</c:v>
                </c:pt>
                <c:pt idx="590">
                  <c:v>43151</c:v>
                </c:pt>
                <c:pt idx="591">
                  <c:v>43152</c:v>
                </c:pt>
                <c:pt idx="592">
                  <c:v>43153</c:v>
                </c:pt>
                <c:pt idx="593">
                  <c:v>43154</c:v>
                </c:pt>
                <c:pt idx="594">
                  <c:v>43157</c:v>
                </c:pt>
                <c:pt idx="595">
                  <c:v>43158</c:v>
                </c:pt>
                <c:pt idx="596">
                  <c:v>43159</c:v>
                </c:pt>
                <c:pt idx="597">
                  <c:v>43160</c:v>
                </c:pt>
                <c:pt idx="598">
                  <c:v>43161</c:v>
                </c:pt>
                <c:pt idx="599">
                  <c:v>43164</c:v>
                </c:pt>
                <c:pt idx="600">
                  <c:v>43165</c:v>
                </c:pt>
                <c:pt idx="601">
                  <c:v>43166</c:v>
                </c:pt>
                <c:pt idx="602">
                  <c:v>43167</c:v>
                </c:pt>
                <c:pt idx="603">
                  <c:v>43168</c:v>
                </c:pt>
                <c:pt idx="604">
                  <c:v>43171</c:v>
                </c:pt>
                <c:pt idx="605">
                  <c:v>43172</c:v>
                </c:pt>
                <c:pt idx="606">
                  <c:v>43173</c:v>
                </c:pt>
                <c:pt idx="607">
                  <c:v>43174</c:v>
                </c:pt>
                <c:pt idx="608">
                  <c:v>43175</c:v>
                </c:pt>
                <c:pt idx="609">
                  <c:v>43178</c:v>
                </c:pt>
                <c:pt idx="610">
                  <c:v>43179</c:v>
                </c:pt>
                <c:pt idx="611">
                  <c:v>43180</c:v>
                </c:pt>
                <c:pt idx="612">
                  <c:v>43181</c:v>
                </c:pt>
                <c:pt idx="613">
                  <c:v>43182</c:v>
                </c:pt>
                <c:pt idx="614">
                  <c:v>43185</c:v>
                </c:pt>
                <c:pt idx="615">
                  <c:v>43186</c:v>
                </c:pt>
                <c:pt idx="616">
                  <c:v>43187</c:v>
                </c:pt>
                <c:pt idx="617">
                  <c:v>43188</c:v>
                </c:pt>
                <c:pt idx="618">
                  <c:v>43192</c:v>
                </c:pt>
                <c:pt idx="619">
                  <c:v>43193</c:v>
                </c:pt>
                <c:pt idx="620">
                  <c:v>43194</c:v>
                </c:pt>
                <c:pt idx="621">
                  <c:v>43195</c:v>
                </c:pt>
                <c:pt idx="622">
                  <c:v>43196</c:v>
                </c:pt>
                <c:pt idx="623">
                  <c:v>43199</c:v>
                </c:pt>
                <c:pt idx="624">
                  <c:v>43200</c:v>
                </c:pt>
                <c:pt idx="625">
                  <c:v>43201</c:v>
                </c:pt>
                <c:pt idx="626">
                  <c:v>43202</c:v>
                </c:pt>
                <c:pt idx="627">
                  <c:v>43203</c:v>
                </c:pt>
                <c:pt idx="628">
                  <c:v>43206</c:v>
                </c:pt>
                <c:pt idx="629">
                  <c:v>43207</c:v>
                </c:pt>
                <c:pt idx="630">
                  <c:v>43208</c:v>
                </c:pt>
                <c:pt idx="631">
                  <c:v>43209</c:v>
                </c:pt>
                <c:pt idx="632">
                  <c:v>43210</c:v>
                </c:pt>
                <c:pt idx="633">
                  <c:v>43213</c:v>
                </c:pt>
                <c:pt idx="634">
                  <c:v>43214</c:v>
                </c:pt>
                <c:pt idx="635">
                  <c:v>43215</c:v>
                </c:pt>
                <c:pt idx="636">
                  <c:v>43216</c:v>
                </c:pt>
                <c:pt idx="637">
                  <c:v>43217</c:v>
                </c:pt>
                <c:pt idx="638">
                  <c:v>43220</c:v>
                </c:pt>
                <c:pt idx="639">
                  <c:v>43221</c:v>
                </c:pt>
                <c:pt idx="640">
                  <c:v>43222</c:v>
                </c:pt>
                <c:pt idx="641">
                  <c:v>43223</c:v>
                </c:pt>
                <c:pt idx="642">
                  <c:v>43224</c:v>
                </c:pt>
                <c:pt idx="643">
                  <c:v>43227</c:v>
                </c:pt>
                <c:pt idx="644">
                  <c:v>43228</c:v>
                </c:pt>
                <c:pt idx="645">
                  <c:v>43229</c:v>
                </c:pt>
                <c:pt idx="646">
                  <c:v>43230</c:v>
                </c:pt>
                <c:pt idx="647">
                  <c:v>43231</c:v>
                </c:pt>
                <c:pt idx="648">
                  <c:v>43234</c:v>
                </c:pt>
                <c:pt idx="649">
                  <c:v>43235</c:v>
                </c:pt>
                <c:pt idx="650">
                  <c:v>43236</c:v>
                </c:pt>
                <c:pt idx="651">
                  <c:v>43237</c:v>
                </c:pt>
                <c:pt idx="652">
                  <c:v>43238</c:v>
                </c:pt>
                <c:pt idx="653">
                  <c:v>43241</c:v>
                </c:pt>
                <c:pt idx="654">
                  <c:v>43242</c:v>
                </c:pt>
                <c:pt idx="655">
                  <c:v>43243</c:v>
                </c:pt>
                <c:pt idx="656">
                  <c:v>43244</c:v>
                </c:pt>
                <c:pt idx="657">
                  <c:v>43245</c:v>
                </c:pt>
                <c:pt idx="658">
                  <c:v>43249</c:v>
                </c:pt>
                <c:pt idx="659">
                  <c:v>43250</c:v>
                </c:pt>
                <c:pt idx="660">
                  <c:v>43251</c:v>
                </c:pt>
                <c:pt idx="661">
                  <c:v>43252</c:v>
                </c:pt>
                <c:pt idx="662">
                  <c:v>43255</c:v>
                </c:pt>
                <c:pt idx="663">
                  <c:v>43256</c:v>
                </c:pt>
                <c:pt idx="664">
                  <c:v>43257</c:v>
                </c:pt>
                <c:pt idx="665">
                  <c:v>43258</c:v>
                </c:pt>
                <c:pt idx="666">
                  <c:v>43259</c:v>
                </c:pt>
                <c:pt idx="667">
                  <c:v>43262</c:v>
                </c:pt>
                <c:pt idx="668">
                  <c:v>43263</c:v>
                </c:pt>
                <c:pt idx="669">
                  <c:v>43264</c:v>
                </c:pt>
                <c:pt idx="670">
                  <c:v>43265</c:v>
                </c:pt>
                <c:pt idx="671">
                  <c:v>43266</c:v>
                </c:pt>
                <c:pt idx="672">
                  <c:v>43269</c:v>
                </c:pt>
                <c:pt idx="673">
                  <c:v>43270</c:v>
                </c:pt>
                <c:pt idx="674">
                  <c:v>43271</c:v>
                </c:pt>
                <c:pt idx="675">
                  <c:v>43272</c:v>
                </c:pt>
                <c:pt idx="676">
                  <c:v>43273</c:v>
                </c:pt>
                <c:pt idx="677">
                  <c:v>43276</c:v>
                </c:pt>
                <c:pt idx="678">
                  <c:v>43277</c:v>
                </c:pt>
                <c:pt idx="679">
                  <c:v>43278</c:v>
                </c:pt>
                <c:pt idx="680">
                  <c:v>43279</c:v>
                </c:pt>
                <c:pt idx="681">
                  <c:v>43280</c:v>
                </c:pt>
                <c:pt idx="682">
                  <c:v>43283</c:v>
                </c:pt>
                <c:pt idx="683">
                  <c:v>43284</c:v>
                </c:pt>
                <c:pt idx="684">
                  <c:v>43286</c:v>
                </c:pt>
                <c:pt idx="685">
                  <c:v>43287</c:v>
                </c:pt>
                <c:pt idx="686">
                  <c:v>43290</c:v>
                </c:pt>
                <c:pt idx="687">
                  <c:v>43291</c:v>
                </c:pt>
                <c:pt idx="688">
                  <c:v>43292</c:v>
                </c:pt>
                <c:pt idx="689">
                  <c:v>43293</c:v>
                </c:pt>
                <c:pt idx="690">
                  <c:v>43294</c:v>
                </c:pt>
                <c:pt idx="691">
                  <c:v>43297</c:v>
                </c:pt>
                <c:pt idx="692">
                  <c:v>43298</c:v>
                </c:pt>
                <c:pt idx="693">
                  <c:v>43299</c:v>
                </c:pt>
                <c:pt idx="694">
                  <c:v>43300</c:v>
                </c:pt>
                <c:pt idx="695">
                  <c:v>43301</c:v>
                </c:pt>
                <c:pt idx="696">
                  <c:v>43304</c:v>
                </c:pt>
                <c:pt idx="697">
                  <c:v>43305</c:v>
                </c:pt>
                <c:pt idx="698">
                  <c:v>43306</c:v>
                </c:pt>
                <c:pt idx="699">
                  <c:v>43307</c:v>
                </c:pt>
                <c:pt idx="700">
                  <c:v>43308</c:v>
                </c:pt>
                <c:pt idx="701">
                  <c:v>43311</c:v>
                </c:pt>
                <c:pt idx="702">
                  <c:v>43312</c:v>
                </c:pt>
                <c:pt idx="703">
                  <c:v>43313</c:v>
                </c:pt>
                <c:pt idx="704">
                  <c:v>43314</c:v>
                </c:pt>
                <c:pt idx="705">
                  <c:v>43315</c:v>
                </c:pt>
                <c:pt idx="706">
                  <c:v>43318</c:v>
                </c:pt>
                <c:pt idx="707">
                  <c:v>43319</c:v>
                </c:pt>
                <c:pt idx="708">
                  <c:v>43320</c:v>
                </c:pt>
                <c:pt idx="709">
                  <c:v>43321</c:v>
                </c:pt>
                <c:pt idx="710">
                  <c:v>43322</c:v>
                </c:pt>
                <c:pt idx="711">
                  <c:v>43325</c:v>
                </c:pt>
                <c:pt idx="712">
                  <c:v>43326</c:v>
                </c:pt>
                <c:pt idx="713">
                  <c:v>43327</c:v>
                </c:pt>
                <c:pt idx="714">
                  <c:v>43328</c:v>
                </c:pt>
                <c:pt idx="715">
                  <c:v>43329</c:v>
                </c:pt>
                <c:pt idx="716">
                  <c:v>43332</c:v>
                </c:pt>
                <c:pt idx="717">
                  <c:v>43333</c:v>
                </c:pt>
                <c:pt idx="718">
                  <c:v>43334</c:v>
                </c:pt>
                <c:pt idx="719">
                  <c:v>43335</c:v>
                </c:pt>
                <c:pt idx="720">
                  <c:v>43336</c:v>
                </c:pt>
                <c:pt idx="721">
                  <c:v>43339</c:v>
                </c:pt>
                <c:pt idx="722">
                  <c:v>43340</c:v>
                </c:pt>
                <c:pt idx="723">
                  <c:v>43341</c:v>
                </c:pt>
                <c:pt idx="724">
                  <c:v>43342</c:v>
                </c:pt>
                <c:pt idx="725">
                  <c:v>43343</c:v>
                </c:pt>
                <c:pt idx="726">
                  <c:v>43347</c:v>
                </c:pt>
                <c:pt idx="727">
                  <c:v>43348</c:v>
                </c:pt>
                <c:pt idx="728">
                  <c:v>43349</c:v>
                </c:pt>
                <c:pt idx="729">
                  <c:v>43350</c:v>
                </c:pt>
                <c:pt idx="730">
                  <c:v>43353</c:v>
                </c:pt>
                <c:pt idx="731">
                  <c:v>43354</c:v>
                </c:pt>
                <c:pt idx="732">
                  <c:v>43355</c:v>
                </c:pt>
                <c:pt idx="733">
                  <c:v>43356</c:v>
                </c:pt>
                <c:pt idx="734">
                  <c:v>43357</c:v>
                </c:pt>
                <c:pt idx="735">
                  <c:v>43360</c:v>
                </c:pt>
                <c:pt idx="736">
                  <c:v>43361</c:v>
                </c:pt>
                <c:pt idx="737">
                  <c:v>43362</c:v>
                </c:pt>
                <c:pt idx="738">
                  <c:v>43363</c:v>
                </c:pt>
                <c:pt idx="739">
                  <c:v>43364</c:v>
                </c:pt>
                <c:pt idx="740">
                  <c:v>43367</c:v>
                </c:pt>
                <c:pt idx="741">
                  <c:v>43368</c:v>
                </c:pt>
                <c:pt idx="742">
                  <c:v>43369</c:v>
                </c:pt>
                <c:pt idx="743">
                  <c:v>43370</c:v>
                </c:pt>
                <c:pt idx="744">
                  <c:v>43371</c:v>
                </c:pt>
                <c:pt idx="745">
                  <c:v>43374</c:v>
                </c:pt>
                <c:pt idx="746">
                  <c:v>43375</c:v>
                </c:pt>
                <c:pt idx="747">
                  <c:v>43376</c:v>
                </c:pt>
                <c:pt idx="748">
                  <c:v>43377</c:v>
                </c:pt>
                <c:pt idx="749">
                  <c:v>43378</c:v>
                </c:pt>
                <c:pt idx="750">
                  <c:v>43381</c:v>
                </c:pt>
                <c:pt idx="751">
                  <c:v>43382</c:v>
                </c:pt>
                <c:pt idx="752">
                  <c:v>43383</c:v>
                </c:pt>
                <c:pt idx="753">
                  <c:v>43384</c:v>
                </c:pt>
                <c:pt idx="754">
                  <c:v>43385</c:v>
                </c:pt>
                <c:pt idx="755">
                  <c:v>43388</c:v>
                </c:pt>
              </c:numCache>
            </c:numRef>
          </c:xVal>
          <c:yVal>
            <c:numRef>
              <c:f>'tesla-stock-price (2)'!$B$3:$B$758</c:f>
              <c:numCache>
                <c:formatCode>General</c:formatCode>
                <c:ptCount val="756"/>
                <c:pt idx="0">
                  <c:v>221.31</c:v>
                </c:pt>
                <c:pt idx="1">
                  <c:v>227.01</c:v>
                </c:pt>
                <c:pt idx="2">
                  <c:v>228.1</c:v>
                </c:pt>
                <c:pt idx="3">
                  <c:v>213.03</c:v>
                </c:pt>
                <c:pt idx="4">
                  <c:v>210.09</c:v>
                </c:pt>
                <c:pt idx="5">
                  <c:v>211.72</c:v>
                </c:pt>
                <c:pt idx="6">
                  <c:v>209.09</c:v>
                </c:pt>
                <c:pt idx="7">
                  <c:v>215.26</c:v>
                </c:pt>
                <c:pt idx="8">
                  <c:v>210.35</c:v>
                </c:pt>
                <c:pt idx="9">
                  <c:v>212.96</c:v>
                </c:pt>
                <c:pt idx="10">
                  <c:v>211.63</c:v>
                </c:pt>
                <c:pt idx="11">
                  <c:v>206.93</c:v>
                </c:pt>
                <c:pt idx="12">
                  <c:v>213.79</c:v>
                </c:pt>
                <c:pt idx="13">
                  <c:v>208.35</c:v>
                </c:pt>
                <c:pt idx="14">
                  <c:v>231.63</c:v>
                </c:pt>
                <c:pt idx="15">
                  <c:v>231.77</c:v>
                </c:pt>
                <c:pt idx="16">
                  <c:v>232.36</c:v>
                </c:pt>
                <c:pt idx="17">
                  <c:v>225.33</c:v>
                </c:pt>
                <c:pt idx="18">
                  <c:v>216.5</c:v>
                </c:pt>
                <c:pt idx="19">
                  <c:v>219.08</c:v>
                </c:pt>
                <c:pt idx="20">
                  <c:v>212.94</c:v>
                </c:pt>
                <c:pt idx="21">
                  <c:v>207.19</c:v>
                </c:pt>
                <c:pt idx="22">
                  <c:v>214.31</c:v>
                </c:pt>
                <c:pt idx="23">
                  <c:v>214</c:v>
                </c:pt>
                <c:pt idx="24">
                  <c:v>221.07</c:v>
                </c:pt>
                <c:pt idx="25">
                  <c:v>221.8</c:v>
                </c:pt>
                <c:pt idx="26">
                  <c:v>220.01</c:v>
                </c:pt>
                <c:pt idx="27">
                  <c:v>217.75</c:v>
                </c:pt>
                <c:pt idx="28">
                  <c:v>218.25</c:v>
                </c:pt>
                <c:pt idx="29">
                  <c:v>229.64</c:v>
                </c:pt>
                <c:pt idx="30">
                  <c:v>231.61</c:v>
                </c:pt>
                <c:pt idx="31">
                  <c:v>230.26</c:v>
                </c:pt>
                <c:pt idx="32">
                  <c:v>237.19</c:v>
                </c:pt>
                <c:pt idx="33">
                  <c:v>231.99</c:v>
                </c:pt>
                <c:pt idx="34">
                  <c:v>232.71</c:v>
                </c:pt>
                <c:pt idx="35">
                  <c:v>230.38</c:v>
                </c:pt>
                <c:pt idx="36">
                  <c:v>231.13</c:v>
                </c:pt>
                <c:pt idx="37">
                  <c:v>226.72</c:v>
                </c:pt>
                <c:pt idx="38">
                  <c:v>224.52</c:v>
                </c:pt>
                <c:pt idx="39">
                  <c:v>227.07</c:v>
                </c:pt>
                <c:pt idx="40">
                  <c:v>217.02</c:v>
                </c:pt>
                <c:pt idx="41">
                  <c:v>218.58</c:v>
                </c:pt>
                <c:pt idx="42">
                  <c:v>221.09</c:v>
                </c:pt>
                <c:pt idx="43">
                  <c:v>234.51</c:v>
                </c:pt>
                <c:pt idx="44">
                  <c:v>233.39</c:v>
                </c:pt>
                <c:pt idx="45">
                  <c:v>230.46</c:v>
                </c:pt>
                <c:pt idx="46">
                  <c:v>232.56</c:v>
                </c:pt>
                <c:pt idx="47">
                  <c:v>229.95</c:v>
                </c:pt>
                <c:pt idx="48">
                  <c:v>229.7</c:v>
                </c:pt>
                <c:pt idx="49">
                  <c:v>230.57</c:v>
                </c:pt>
                <c:pt idx="50">
                  <c:v>228.95</c:v>
                </c:pt>
                <c:pt idx="51">
                  <c:v>237.19</c:v>
                </c:pt>
                <c:pt idx="52">
                  <c:v>238.09</c:v>
                </c:pt>
                <c:pt idx="53">
                  <c:v>240.01</c:v>
                </c:pt>
                <c:pt idx="54">
                  <c:v>223.41</c:v>
                </c:pt>
                <c:pt idx="55">
                  <c:v>223.43</c:v>
                </c:pt>
                <c:pt idx="56">
                  <c:v>219.04</c:v>
                </c:pt>
                <c:pt idx="57">
                  <c:v>215.65</c:v>
                </c:pt>
                <c:pt idx="58">
                  <c:v>211</c:v>
                </c:pt>
                <c:pt idx="59">
                  <c:v>207.85</c:v>
                </c:pt>
                <c:pt idx="60">
                  <c:v>209.97</c:v>
                </c:pt>
                <c:pt idx="61">
                  <c:v>200.31</c:v>
                </c:pt>
                <c:pt idx="62">
                  <c:v>206.18</c:v>
                </c:pt>
                <c:pt idx="63">
                  <c:v>204.99</c:v>
                </c:pt>
                <c:pt idx="64">
                  <c:v>204.72</c:v>
                </c:pt>
                <c:pt idx="65">
                  <c:v>198.7</c:v>
                </c:pt>
                <c:pt idx="66">
                  <c:v>199.97</c:v>
                </c:pt>
                <c:pt idx="67">
                  <c:v>202.55</c:v>
                </c:pt>
                <c:pt idx="68">
                  <c:v>196.38</c:v>
                </c:pt>
                <c:pt idx="69">
                  <c:v>193.56</c:v>
                </c:pt>
                <c:pt idx="70">
                  <c:v>188.07</c:v>
                </c:pt>
                <c:pt idx="71">
                  <c:v>189.7</c:v>
                </c:pt>
                <c:pt idx="72">
                  <c:v>191.2</c:v>
                </c:pt>
                <c:pt idx="73">
                  <c:v>196.94</c:v>
                </c:pt>
                <c:pt idx="74">
                  <c:v>182.78</c:v>
                </c:pt>
                <c:pt idx="75">
                  <c:v>173.48</c:v>
                </c:pt>
                <c:pt idx="76">
                  <c:v>175.33</c:v>
                </c:pt>
                <c:pt idx="77">
                  <c:v>162.6</c:v>
                </c:pt>
                <c:pt idx="78">
                  <c:v>147.99</c:v>
                </c:pt>
                <c:pt idx="79">
                  <c:v>148.25</c:v>
                </c:pt>
                <c:pt idx="80">
                  <c:v>143.66999999999999</c:v>
                </c:pt>
                <c:pt idx="81">
                  <c:v>150.47</c:v>
                </c:pt>
                <c:pt idx="82">
                  <c:v>151.04</c:v>
                </c:pt>
                <c:pt idx="83">
                  <c:v>155.16999999999999</c:v>
                </c:pt>
                <c:pt idx="84">
                  <c:v>168.68</c:v>
                </c:pt>
                <c:pt idx="85">
                  <c:v>166.77</c:v>
                </c:pt>
                <c:pt idx="86">
                  <c:v>166.58</c:v>
                </c:pt>
                <c:pt idx="87">
                  <c:v>177.74</c:v>
                </c:pt>
                <c:pt idx="88">
                  <c:v>177.21</c:v>
                </c:pt>
                <c:pt idx="89">
                  <c:v>179</c:v>
                </c:pt>
                <c:pt idx="90">
                  <c:v>187.43</c:v>
                </c:pt>
                <c:pt idx="91">
                  <c:v>190.34</c:v>
                </c:pt>
                <c:pt idx="92">
                  <c:v>191.93</c:v>
                </c:pt>
                <c:pt idx="93">
                  <c:v>186.35</c:v>
                </c:pt>
                <c:pt idx="94">
                  <c:v>188.34</c:v>
                </c:pt>
                <c:pt idx="95">
                  <c:v>195.74</c:v>
                </c:pt>
                <c:pt idx="96">
                  <c:v>201.04</c:v>
                </c:pt>
                <c:pt idx="97">
                  <c:v>205.29</c:v>
                </c:pt>
                <c:pt idx="98">
                  <c:v>202.6</c:v>
                </c:pt>
                <c:pt idx="99">
                  <c:v>208.72</c:v>
                </c:pt>
                <c:pt idx="100">
                  <c:v>205.18</c:v>
                </c:pt>
                <c:pt idx="101">
                  <c:v>207.5</c:v>
                </c:pt>
                <c:pt idx="102">
                  <c:v>215.15</c:v>
                </c:pt>
                <c:pt idx="103">
                  <c:v>218.34</c:v>
                </c:pt>
                <c:pt idx="104">
                  <c:v>221.93</c:v>
                </c:pt>
                <c:pt idx="105">
                  <c:v>226.38</c:v>
                </c:pt>
                <c:pt idx="106">
                  <c:v>232.74</c:v>
                </c:pt>
                <c:pt idx="107">
                  <c:v>238.32</c:v>
                </c:pt>
                <c:pt idx="108">
                  <c:v>234.24</c:v>
                </c:pt>
                <c:pt idx="109">
                  <c:v>222.58</c:v>
                </c:pt>
                <c:pt idx="110">
                  <c:v>227.75</c:v>
                </c:pt>
                <c:pt idx="111">
                  <c:v>230.26</c:v>
                </c:pt>
                <c:pt idx="112">
                  <c:v>230.13</c:v>
                </c:pt>
                <c:pt idx="113">
                  <c:v>226.89</c:v>
                </c:pt>
                <c:pt idx="114">
                  <c:v>229.77</c:v>
                </c:pt>
                <c:pt idx="115">
                  <c:v>237.59</c:v>
                </c:pt>
                <c:pt idx="116">
                  <c:v>246.99</c:v>
                </c:pt>
                <c:pt idx="117">
                  <c:v>255.47</c:v>
                </c:pt>
                <c:pt idx="118">
                  <c:v>265.42</c:v>
                </c:pt>
                <c:pt idx="119">
                  <c:v>257.2</c:v>
                </c:pt>
                <c:pt idx="120">
                  <c:v>250.07</c:v>
                </c:pt>
                <c:pt idx="121">
                  <c:v>249.92</c:v>
                </c:pt>
                <c:pt idx="122">
                  <c:v>247.82</c:v>
                </c:pt>
                <c:pt idx="123">
                  <c:v>254.53</c:v>
                </c:pt>
                <c:pt idx="124">
                  <c:v>251.86</c:v>
                </c:pt>
                <c:pt idx="125">
                  <c:v>254.51</c:v>
                </c:pt>
                <c:pt idx="126">
                  <c:v>253.88</c:v>
                </c:pt>
                <c:pt idx="127">
                  <c:v>247.37</c:v>
                </c:pt>
                <c:pt idx="128">
                  <c:v>249.97</c:v>
                </c:pt>
                <c:pt idx="129">
                  <c:v>248.29</c:v>
                </c:pt>
                <c:pt idx="130">
                  <c:v>253.75</c:v>
                </c:pt>
                <c:pt idx="131">
                  <c:v>251.82</c:v>
                </c:pt>
                <c:pt idx="132">
                  <c:v>253.74</c:v>
                </c:pt>
                <c:pt idx="133">
                  <c:v>251.47</c:v>
                </c:pt>
                <c:pt idx="134">
                  <c:v>247.71</c:v>
                </c:pt>
                <c:pt idx="135">
                  <c:v>240.76</c:v>
                </c:pt>
                <c:pt idx="136">
                  <c:v>241.8</c:v>
                </c:pt>
                <c:pt idx="137">
                  <c:v>232.32</c:v>
                </c:pt>
                <c:pt idx="138">
                  <c:v>222.56</c:v>
                </c:pt>
                <c:pt idx="139">
                  <c:v>211.53</c:v>
                </c:pt>
                <c:pt idx="140">
                  <c:v>214.93</c:v>
                </c:pt>
                <c:pt idx="141">
                  <c:v>208.92</c:v>
                </c:pt>
                <c:pt idx="142">
                  <c:v>208.69</c:v>
                </c:pt>
                <c:pt idx="143">
                  <c:v>208.96</c:v>
                </c:pt>
                <c:pt idx="144">
                  <c:v>207.28</c:v>
                </c:pt>
                <c:pt idx="145">
                  <c:v>207.61</c:v>
                </c:pt>
                <c:pt idx="146">
                  <c:v>208.29</c:v>
                </c:pt>
                <c:pt idx="147">
                  <c:v>204.66</c:v>
                </c:pt>
                <c:pt idx="148">
                  <c:v>211.17</c:v>
                </c:pt>
                <c:pt idx="149">
                  <c:v>215.21</c:v>
                </c:pt>
                <c:pt idx="150">
                  <c:v>220.28</c:v>
                </c:pt>
                <c:pt idx="151">
                  <c:v>216.22</c:v>
                </c:pt>
                <c:pt idx="152">
                  <c:v>217.91</c:v>
                </c:pt>
                <c:pt idx="153">
                  <c:v>219.58</c:v>
                </c:pt>
                <c:pt idx="154">
                  <c:v>225.12</c:v>
                </c:pt>
                <c:pt idx="155">
                  <c:v>223.04</c:v>
                </c:pt>
                <c:pt idx="156">
                  <c:v>223.23</c:v>
                </c:pt>
                <c:pt idx="157">
                  <c:v>219.56</c:v>
                </c:pt>
                <c:pt idx="158">
                  <c:v>218.96</c:v>
                </c:pt>
                <c:pt idx="159">
                  <c:v>218.99</c:v>
                </c:pt>
                <c:pt idx="160">
                  <c:v>220.68</c:v>
                </c:pt>
                <c:pt idx="161">
                  <c:v>232.34</c:v>
                </c:pt>
                <c:pt idx="162">
                  <c:v>235.52</c:v>
                </c:pt>
                <c:pt idx="163">
                  <c:v>229.36</c:v>
                </c:pt>
                <c:pt idx="164">
                  <c:v>218.79</c:v>
                </c:pt>
                <c:pt idx="165">
                  <c:v>217.87</c:v>
                </c:pt>
                <c:pt idx="166">
                  <c:v>214.96</c:v>
                </c:pt>
                <c:pt idx="167">
                  <c:v>217.7</c:v>
                </c:pt>
                <c:pt idx="168">
                  <c:v>217.93</c:v>
                </c:pt>
                <c:pt idx="169">
                  <c:v>215.47</c:v>
                </c:pt>
                <c:pt idx="170">
                  <c:v>219.7</c:v>
                </c:pt>
                <c:pt idx="171">
                  <c:v>219.61</c:v>
                </c:pt>
                <c:pt idx="172">
                  <c:v>196.66</c:v>
                </c:pt>
                <c:pt idx="173">
                  <c:v>196.4</c:v>
                </c:pt>
                <c:pt idx="174">
                  <c:v>193.15</c:v>
                </c:pt>
                <c:pt idx="175">
                  <c:v>198.55</c:v>
                </c:pt>
                <c:pt idx="176">
                  <c:v>201.79</c:v>
                </c:pt>
                <c:pt idx="177">
                  <c:v>210.19</c:v>
                </c:pt>
                <c:pt idx="178">
                  <c:v>212.28</c:v>
                </c:pt>
                <c:pt idx="179">
                  <c:v>216.5</c:v>
                </c:pt>
                <c:pt idx="180">
                  <c:v>213.98</c:v>
                </c:pt>
                <c:pt idx="181">
                  <c:v>214.44</c:v>
                </c:pt>
                <c:pt idx="182">
                  <c:v>215.94</c:v>
                </c:pt>
                <c:pt idx="183">
                  <c:v>216.78</c:v>
                </c:pt>
                <c:pt idx="184">
                  <c:v>224.78</c:v>
                </c:pt>
                <c:pt idx="185">
                  <c:v>224.65</c:v>
                </c:pt>
                <c:pt idx="186">
                  <c:v>222.53</c:v>
                </c:pt>
                <c:pt idx="187">
                  <c:v>221.53</c:v>
                </c:pt>
                <c:pt idx="188">
                  <c:v>220.4</c:v>
                </c:pt>
                <c:pt idx="189">
                  <c:v>226.25</c:v>
                </c:pt>
                <c:pt idx="190">
                  <c:v>225.26</c:v>
                </c:pt>
                <c:pt idx="191">
                  <c:v>228.36</c:v>
                </c:pt>
                <c:pt idx="192">
                  <c:v>220.5</c:v>
                </c:pt>
                <c:pt idx="193">
                  <c:v>222.27</c:v>
                </c:pt>
                <c:pt idx="194">
                  <c:v>230.01</c:v>
                </c:pt>
                <c:pt idx="195">
                  <c:v>229.51</c:v>
                </c:pt>
                <c:pt idx="196">
                  <c:v>228.49</c:v>
                </c:pt>
                <c:pt idx="197">
                  <c:v>230.61</c:v>
                </c:pt>
                <c:pt idx="198">
                  <c:v>234.79</c:v>
                </c:pt>
                <c:pt idx="199">
                  <c:v>230.01</c:v>
                </c:pt>
                <c:pt idx="200">
                  <c:v>227.2</c:v>
                </c:pt>
                <c:pt idx="201">
                  <c:v>225.79</c:v>
                </c:pt>
                <c:pt idx="202">
                  <c:v>230.61</c:v>
                </c:pt>
                <c:pt idx="203">
                  <c:v>230.03</c:v>
                </c:pt>
                <c:pt idx="204">
                  <c:v>226.16</c:v>
                </c:pt>
                <c:pt idx="205">
                  <c:v>229.08</c:v>
                </c:pt>
                <c:pt idx="206">
                  <c:v>225.65</c:v>
                </c:pt>
                <c:pt idx="207">
                  <c:v>224.91</c:v>
                </c:pt>
                <c:pt idx="208">
                  <c:v>225.61</c:v>
                </c:pt>
                <c:pt idx="209">
                  <c:v>225.59</c:v>
                </c:pt>
                <c:pt idx="210">
                  <c:v>223.61</c:v>
                </c:pt>
                <c:pt idx="211">
                  <c:v>223.24</c:v>
                </c:pt>
                <c:pt idx="212">
                  <c:v>223.51</c:v>
                </c:pt>
                <c:pt idx="213">
                  <c:v>225</c:v>
                </c:pt>
                <c:pt idx="214">
                  <c:v>222.93</c:v>
                </c:pt>
                <c:pt idx="215">
                  <c:v>224.84</c:v>
                </c:pt>
                <c:pt idx="216">
                  <c:v>222.62</c:v>
                </c:pt>
                <c:pt idx="217">
                  <c:v>220.96</c:v>
                </c:pt>
                <c:pt idx="218">
                  <c:v>219.99</c:v>
                </c:pt>
                <c:pt idx="219">
                  <c:v>215.2</c:v>
                </c:pt>
                <c:pt idx="220">
                  <c:v>211.34</c:v>
                </c:pt>
                <c:pt idx="221">
                  <c:v>212.01</c:v>
                </c:pt>
                <c:pt idx="222">
                  <c:v>200.77</c:v>
                </c:pt>
                <c:pt idx="223">
                  <c:v>197.78</c:v>
                </c:pt>
                <c:pt idx="224">
                  <c:v>202.83</c:v>
                </c:pt>
                <c:pt idx="225">
                  <c:v>201.71</c:v>
                </c:pt>
                <c:pt idx="226">
                  <c:v>197.36</c:v>
                </c:pt>
                <c:pt idx="227">
                  <c:v>194.47</c:v>
                </c:pt>
                <c:pt idx="228">
                  <c:v>198.3</c:v>
                </c:pt>
                <c:pt idx="229">
                  <c:v>196.05</c:v>
                </c:pt>
                <c:pt idx="230">
                  <c:v>196.41</c:v>
                </c:pt>
                <c:pt idx="231">
                  <c:v>200.42</c:v>
                </c:pt>
                <c:pt idx="232">
                  <c:v>205.4</c:v>
                </c:pt>
                <c:pt idx="233">
                  <c:v>206.34</c:v>
                </c:pt>
                <c:pt idx="234">
                  <c:v>204.64</c:v>
                </c:pt>
                <c:pt idx="235">
                  <c:v>205.22</c:v>
                </c:pt>
                <c:pt idx="236">
                  <c:v>206.43</c:v>
                </c:pt>
                <c:pt idx="237">
                  <c:v>207.45</c:v>
                </c:pt>
                <c:pt idx="238">
                  <c:v>208.99</c:v>
                </c:pt>
                <c:pt idx="239">
                  <c:v>205.81</c:v>
                </c:pt>
                <c:pt idx="240">
                  <c:v>206.27</c:v>
                </c:pt>
                <c:pt idx="241">
                  <c:v>200.7</c:v>
                </c:pt>
                <c:pt idx="242">
                  <c:v>204.03</c:v>
                </c:pt>
                <c:pt idx="243">
                  <c:v>213.7</c:v>
                </c:pt>
                <c:pt idx="244">
                  <c:v>211.41</c:v>
                </c:pt>
                <c:pt idx="245">
                  <c:v>208.46</c:v>
                </c:pt>
                <c:pt idx="246">
                  <c:v>201</c:v>
                </c:pt>
                <c:pt idx="247">
                  <c:v>196.61</c:v>
                </c:pt>
                <c:pt idx="248">
                  <c:v>200.95</c:v>
                </c:pt>
                <c:pt idx="249">
                  <c:v>200.1</c:v>
                </c:pt>
                <c:pt idx="250">
                  <c:v>201.51</c:v>
                </c:pt>
                <c:pt idx="251">
                  <c:v>200.24</c:v>
                </c:pt>
                <c:pt idx="252">
                  <c:v>196.51</c:v>
                </c:pt>
                <c:pt idx="253">
                  <c:v>193.96</c:v>
                </c:pt>
                <c:pt idx="254">
                  <c:v>199.1</c:v>
                </c:pt>
                <c:pt idx="255">
                  <c:v>203.56</c:v>
                </c:pt>
                <c:pt idx="256">
                  <c:v>199.1</c:v>
                </c:pt>
                <c:pt idx="257">
                  <c:v>200.09</c:v>
                </c:pt>
                <c:pt idx="258">
                  <c:v>202.76</c:v>
                </c:pt>
                <c:pt idx="259">
                  <c:v>202.34</c:v>
                </c:pt>
                <c:pt idx="260">
                  <c:v>202.24</c:v>
                </c:pt>
                <c:pt idx="261">
                  <c:v>204.01</c:v>
                </c:pt>
                <c:pt idx="262">
                  <c:v>199.97</c:v>
                </c:pt>
                <c:pt idx="263">
                  <c:v>197.73</c:v>
                </c:pt>
                <c:pt idx="264">
                  <c:v>190.79</c:v>
                </c:pt>
                <c:pt idx="265">
                  <c:v>188.02</c:v>
                </c:pt>
                <c:pt idx="266">
                  <c:v>187.42</c:v>
                </c:pt>
                <c:pt idx="267">
                  <c:v>190.56</c:v>
                </c:pt>
                <c:pt idx="268">
                  <c:v>193.21</c:v>
                </c:pt>
                <c:pt idx="269">
                  <c:v>194.94</c:v>
                </c:pt>
                <c:pt idx="270">
                  <c:v>190.06</c:v>
                </c:pt>
                <c:pt idx="271">
                  <c:v>185.35</c:v>
                </c:pt>
                <c:pt idx="272">
                  <c:v>188.56</c:v>
                </c:pt>
                <c:pt idx="273">
                  <c:v>181.45</c:v>
                </c:pt>
                <c:pt idx="274">
                  <c:v>183.77</c:v>
                </c:pt>
                <c:pt idx="275">
                  <c:v>183.93</c:v>
                </c:pt>
                <c:pt idx="276">
                  <c:v>188.66</c:v>
                </c:pt>
                <c:pt idx="277">
                  <c:v>185.02</c:v>
                </c:pt>
                <c:pt idx="278">
                  <c:v>184.52</c:v>
                </c:pt>
                <c:pt idx="279">
                  <c:v>191.17</c:v>
                </c:pt>
                <c:pt idx="280">
                  <c:v>193.14</c:v>
                </c:pt>
                <c:pt idx="281">
                  <c:v>196.65</c:v>
                </c:pt>
                <c:pt idx="282">
                  <c:v>196.12</c:v>
                </c:pt>
                <c:pt idx="283">
                  <c:v>189.57</c:v>
                </c:pt>
                <c:pt idx="284">
                  <c:v>189.4</c:v>
                </c:pt>
                <c:pt idx="285">
                  <c:v>181.88</c:v>
                </c:pt>
                <c:pt idx="286">
                  <c:v>181.47</c:v>
                </c:pt>
                <c:pt idx="287">
                  <c:v>186.8</c:v>
                </c:pt>
                <c:pt idx="288">
                  <c:v>185.85</c:v>
                </c:pt>
                <c:pt idx="289">
                  <c:v>193.15</c:v>
                </c:pt>
                <c:pt idx="290">
                  <c:v>192.29</c:v>
                </c:pt>
                <c:pt idx="291">
                  <c:v>192.18</c:v>
                </c:pt>
                <c:pt idx="292">
                  <c:v>192.43</c:v>
                </c:pt>
                <c:pt idx="293">
                  <c:v>198.15</c:v>
                </c:pt>
                <c:pt idx="294">
                  <c:v>198.69</c:v>
                </c:pt>
                <c:pt idx="295">
                  <c:v>197.58</c:v>
                </c:pt>
                <c:pt idx="296">
                  <c:v>202.49</c:v>
                </c:pt>
                <c:pt idx="297">
                  <c:v>202.73</c:v>
                </c:pt>
                <c:pt idx="298">
                  <c:v>208.79</c:v>
                </c:pt>
                <c:pt idx="299">
                  <c:v>207.7</c:v>
                </c:pt>
                <c:pt idx="300">
                  <c:v>208.45</c:v>
                </c:pt>
                <c:pt idx="301">
                  <c:v>213.34</c:v>
                </c:pt>
                <c:pt idx="302">
                  <c:v>219.53</c:v>
                </c:pt>
                <c:pt idx="303">
                  <c:v>219.74</c:v>
                </c:pt>
                <c:pt idx="304">
                  <c:v>214.68</c:v>
                </c:pt>
                <c:pt idx="305">
                  <c:v>213.69</c:v>
                </c:pt>
                <c:pt idx="306">
                  <c:v>216.99</c:v>
                </c:pt>
                <c:pt idx="307">
                  <c:v>226.99</c:v>
                </c:pt>
                <c:pt idx="308">
                  <c:v>226.75</c:v>
                </c:pt>
                <c:pt idx="309">
                  <c:v>229.01</c:v>
                </c:pt>
                <c:pt idx="310">
                  <c:v>231.28</c:v>
                </c:pt>
                <c:pt idx="311">
                  <c:v>229.87</c:v>
                </c:pt>
                <c:pt idx="312">
                  <c:v>229.73</c:v>
                </c:pt>
                <c:pt idx="313">
                  <c:v>229.59</c:v>
                </c:pt>
                <c:pt idx="314">
                  <c:v>237.75</c:v>
                </c:pt>
                <c:pt idx="315">
                  <c:v>235.58</c:v>
                </c:pt>
                <c:pt idx="316">
                  <c:v>238.36</c:v>
                </c:pt>
                <c:pt idx="317">
                  <c:v>243.76</c:v>
                </c:pt>
                <c:pt idx="318">
                  <c:v>244.73</c:v>
                </c:pt>
                <c:pt idx="319">
                  <c:v>248.92</c:v>
                </c:pt>
                <c:pt idx="320">
                  <c:v>254.61</c:v>
                </c:pt>
                <c:pt idx="321">
                  <c:v>254.47</c:v>
                </c:pt>
                <c:pt idx="322">
                  <c:v>252.51</c:v>
                </c:pt>
                <c:pt idx="323">
                  <c:v>252.95</c:v>
                </c:pt>
                <c:pt idx="324">
                  <c:v>250.63</c:v>
                </c:pt>
                <c:pt idx="325">
                  <c:v>251.93</c:v>
                </c:pt>
                <c:pt idx="326">
                  <c:v>249.24</c:v>
                </c:pt>
                <c:pt idx="327">
                  <c:v>251.55</c:v>
                </c:pt>
                <c:pt idx="328">
                  <c:v>251.33</c:v>
                </c:pt>
                <c:pt idx="329">
                  <c:v>257.77</c:v>
                </c:pt>
                <c:pt idx="330">
                  <c:v>257.48</c:v>
                </c:pt>
                <c:pt idx="331">
                  <c:v>262.08</c:v>
                </c:pt>
                <c:pt idx="332">
                  <c:v>269.2</c:v>
                </c:pt>
                <c:pt idx="333">
                  <c:v>269.23</c:v>
                </c:pt>
                <c:pt idx="334">
                  <c:v>280.60000000000002</c:v>
                </c:pt>
                <c:pt idx="335">
                  <c:v>280.98</c:v>
                </c:pt>
                <c:pt idx="336">
                  <c:v>279.76</c:v>
                </c:pt>
                <c:pt idx="337">
                  <c:v>268.95</c:v>
                </c:pt>
                <c:pt idx="338">
                  <c:v>272.23</c:v>
                </c:pt>
                <c:pt idx="339">
                  <c:v>277.39</c:v>
                </c:pt>
                <c:pt idx="340">
                  <c:v>273.51</c:v>
                </c:pt>
                <c:pt idx="341">
                  <c:v>255.99</c:v>
                </c:pt>
                <c:pt idx="342">
                  <c:v>257</c:v>
                </c:pt>
                <c:pt idx="343">
                  <c:v>246.23</c:v>
                </c:pt>
                <c:pt idx="344">
                  <c:v>249.99</c:v>
                </c:pt>
                <c:pt idx="345">
                  <c:v>250.02</c:v>
                </c:pt>
                <c:pt idx="346">
                  <c:v>250.48</c:v>
                </c:pt>
                <c:pt idx="347">
                  <c:v>251.57</c:v>
                </c:pt>
                <c:pt idx="348">
                  <c:v>251.21</c:v>
                </c:pt>
                <c:pt idx="349">
                  <c:v>248.59</c:v>
                </c:pt>
                <c:pt idx="350">
                  <c:v>246.87</c:v>
                </c:pt>
                <c:pt idx="351">
                  <c:v>244.9</c:v>
                </c:pt>
                <c:pt idx="352">
                  <c:v>243.69</c:v>
                </c:pt>
                <c:pt idx="353">
                  <c:v>246.17</c:v>
                </c:pt>
                <c:pt idx="354">
                  <c:v>258</c:v>
                </c:pt>
                <c:pt idx="355">
                  <c:v>255.73</c:v>
                </c:pt>
                <c:pt idx="356">
                  <c:v>262.05</c:v>
                </c:pt>
                <c:pt idx="357">
                  <c:v>261.5</c:v>
                </c:pt>
                <c:pt idx="358">
                  <c:v>261.92</c:v>
                </c:pt>
                <c:pt idx="359">
                  <c:v>250.68</c:v>
                </c:pt>
                <c:pt idx="360">
                  <c:v>255.01</c:v>
                </c:pt>
                <c:pt idx="361">
                  <c:v>254.78</c:v>
                </c:pt>
                <c:pt idx="362">
                  <c:v>263.16000000000003</c:v>
                </c:pt>
                <c:pt idx="363">
                  <c:v>270.22000000000003</c:v>
                </c:pt>
                <c:pt idx="364">
                  <c:v>277.45</c:v>
                </c:pt>
                <c:pt idx="365">
                  <c:v>277.38</c:v>
                </c:pt>
                <c:pt idx="366">
                  <c:v>277.92</c:v>
                </c:pt>
                <c:pt idx="367">
                  <c:v>278.3</c:v>
                </c:pt>
                <c:pt idx="368">
                  <c:v>298.52</c:v>
                </c:pt>
                <c:pt idx="369">
                  <c:v>303.7</c:v>
                </c:pt>
                <c:pt idx="370">
                  <c:v>295</c:v>
                </c:pt>
                <c:pt idx="371">
                  <c:v>298.7</c:v>
                </c:pt>
                <c:pt idx="372">
                  <c:v>302.54000000000002</c:v>
                </c:pt>
                <c:pt idx="373">
                  <c:v>312.39</c:v>
                </c:pt>
                <c:pt idx="374">
                  <c:v>308.70999999999998</c:v>
                </c:pt>
                <c:pt idx="375">
                  <c:v>296.83999999999997</c:v>
                </c:pt>
                <c:pt idx="376">
                  <c:v>304</c:v>
                </c:pt>
                <c:pt idx="377">
                  <c:v>301.44</c:v>
                </c:pt>
                <c:pt idx="378">
                  <c:v>300.25</c:v>
                </c:pt>
                <c:pt idx="379">
                  <c:v>305.52</c:v>
                </c:pt>
                <c:pt idx="380">
                  <c:v>302.51</c:v>
                </c:pt>
                <c:pt idx="381">
                  <c:v>305.60000000000002</c:v>
                </c:pt>
                <c:pt idx="382">
                  <c:v>308.02999999999997</c:v>
                </c:pt>
                <c:pt idx="383">
                  <c:v>313.79000000000002</c:v>
                </c:pt>
                <c:pt idx="384">
                  <c:v>310.17</c:v>
                </c:pt>
                <c:pt idx="385">
                  <c:v>308.63</c:v>
                </c:pt>
                <c:pt idx="386">
                  <c:v>314.07</c:v>
                </c:pt>
                <c:pt idx="387">
                  <c:v>322.83</c:v>
                </c:pt>
                <c:pt idx="388">
                  <c:v>318.89</c:v>
                </c:pt>
                <c:pt idx="389">
                  <c:v>311.02</c:v>
                </c:pt>
                <c:pt idx="390">
                  <c:v>295.45999999999998</c:v>
                </c:pt>
                <c:pt idx="391">
                  <c:v>308.35000000000002</c:v>
                </c:pt>
                <c:pt idx="392">
                  <c:v>307.19</c:v>
                </c:pt>
                <c:pt idx="393">
                  <c:v>321.26</c:v>
                </c:pt>
                <c:pt idx="394">
                  <c:v>325.22000000000003</c:v>
                </c:pt>
                <c:pt idx="395">
                  <c:v>323.10000000000002</c:v>
                </c:pt>
                <c:pt idx="396">
                  <c:v>324.81</c:v>
                </c:pt>
                <c:pt idx="397">
                  <c:v>315.88</c:v>
                </c:pt>
                <c:pt idx="398">
                  <c:v>317.01</c:v>
                </c:pt>
                <c:pt idx="399">
                  <c:v>306.11</c:v>
                </c:pt>
                <c:pt idx="400">
                  <c:v>313.06</c:v>
                </c:pt>
                <c:pt idx="401">
                  <c:v>310.83</c:v>
                </c:pt>
                <c:pt idx="402">
                  <c:v>310.35000000000002</c:v>
                </c:pt>
                <c:pt idx="403">
                  <c:v>303.86</c:v>
                </c:pt>
                <c:pt idx="404">
                  <c:v>310.22000000000003</c:v>
                </c:pt>
                <c:pt idx="405">
                  <c:v>316.83</c:v>
                </c:pt>
                <c:pt idx="406">
                  <c:v>325.14</c:v>
                </c:pt>
                <c:pt idx="407">
                  <c:v>335.1</c:v>
                </c:pt>
                <c:pt idx="408">
                  <c:v>341.01</c:v>
                </c:pt>
                <c:pt idx="409">
                  <c:v>340.37</c:v>
                </c:pt>
                <c:pt idx="410">
                  <c:v>339.85</c:v>
                </c:pt>
                <c:pt idx="411">
                  <c:v>347.32</c:v>
                </c:pt>
                <c:pt idx="412">
                  <c:v>352.85</c:v>
                </c:pt>
                <c:pt idx="413">
                  <c:v>359.65</c:v>
                </c:pt>
                <c:pt idx="414">
                  <c:v>370</c:v>
                </c:pt>
                <c:pt idx="415">
                  <c:v>357.32</c:v>
                </c:pt>
                <c:pt idx="416">
                  <c:v>359.01</c:v>
                </c:pt>
                <c:pt idx="417">
                  <c:v>375.95</c:v>
                </c:pt>
                <c:pt idx="418">
                  <c:v>380.66</c:v>
                </c:pt>
                <c:pt idx="419">
                  <c:v>375.34</c:v>
                </c:pt>
                <c:pt idx="420">
                  <c:v>371.4</c:v>
                </c:pt>
                <c:pt idx="421">
                  <c:v>369.8</c:v>
                </c:pt>
                <c:pt idx="422">
                  <c:v>372.24</c:v>
                </c:pt>
                <c:pt idx="423">
                  <c:v>376.4</c:v>
                </c:pt>
                <c:pt idx="424">
                  <c:v>382.61</c:v>
                </c:pt>
                <c:pt idx="425">
                  <c:v>383.45</c:v>
                </c:pt>
                <c:pt idx="426">
                  <c:v>377.49</c:v>
                </c:pt>
                <c:pt idx="427">
                  <c:v>362.37</c:v>
                </c:pt>
                <c:pt idx="428">
                  <c:v>371.24</c:v>
                </c:pt>
                <c:pt idx="429">
                  <c:v>360.75</c:v>
                </c:pt>
                <c:pt idx="430">
                  <c:v>361.61</c:v>
                </c:pt>
                <c:pt idx="431">
                  <c:v>352.62</c:v>
                </c:pt>
                <c:pt idx="432">
                  <c:v>327.08999999999997</c:v>
                </c:pt>
                <c:pt idx="433">
                  <c:v>308.83</c:v>
                </c:pt>
                <c:pt idx="434">
                  <c:v>313.22000000000003</c:v>
                </c:pt>
                <c:pt idx="435">
                  <c:v>316.05</c:v>
                </c:pt>
                <c:pt idx="436">
                  <c:v>327.22000000000003</c:v>
                </c:pt>
                <c:pt idx="437">
                  <c:v>329.52</c:v>
                </c:pt>
                <c:pt idx="438">
                  <c:v>323.41000000000003</c:v>
                </c:pt>
                <c:pt idx="439">
                  <c:v>327.78</c:v>
                </c:pt>
                <c:pt idx="440">
                  <c:v>319.57</c:v>
                </c:pt>
                <c:pt idx="441">
                  <c:v>328.24</c:v>
                </c:pt>
                <c:pt idx="442">
                  <c:v>325.26</c:v>
                </c:pt>
                <c:pt idx="443">
                  <c:v>329.92</c:v>
                </c:pt>
                <c:pt idx="444">
                  <c:v>328.4</c:v>
                </c:pt>
                <c:pt idx="445">
                  <c:v>342.52</c:v>
                </c:pt>
                <c:pt idx="446">
                  <c:v>339.6</c:v>
                </c:pt>
                <c:pt idx="447">
                  <c:v>343.85</c:v>
                </c:pt>
                <c:pt idx="448">
                  <c:v>334.46</c:v>
                </c:pt>
                <c:pt idx="449">
                  <c:v>335.07</c:v>
                </c:pt>
                <c:pt idx="450">
                  <c:v>323.47000000000003</c:v>
                </c:pt>
                <c:pt idx="451">
                  <c:v>319.57</c:v>
                </c:pt>
                <c:pt idx="452">
                  <c:v>325.89</c:v>
                </c:pt>
                <c:pt idx="453">
                  <c:v>347.09</c:v>
                </c:pt>
                <c:pt idx="454">
                  <c:v>356.91</c:v>
                </c:pt>
                <c:pt idx="455">
                  <c:v>355.17</c:v>
                </c:pt>
                <c:pt idx="456">
                  <c:v>365.22</c:v>
                </c:pt>
                <c:pt idx="457">
                  <c:v>363.53</c:v>
                </c:pt>
                <c:pt idx="458">
                  <c:v>355.4</c:v>
                </c:pt>
                <c:pt idx="459">
                  <c:v>357.87</c:v>
                </c:pt>
                <c:pt idx="460">
                  <c:v>363.8</c:v>
                </c:pt>
                <c:pt idx="461">
                  <c:v>362.33</c:v>
                </c:pt>
                <c:pt idx="462">
                  <c:v>362.91</c:v>
                </c:pt>
                <c:pt idx="463">
                  <c:v>351.92</c:v>
                </c:pt>
                <c:pt idx="464">
                  <c:v>347.46</c:v>
                </c:pt>
                <c:pt idx="465">
                  <c:v>337.86</c:v>
                </c:pt>
                <c:pt idx="466">
                  <c:v>341.35</c:v>
                </c:pt>
                <c:pt idx="467">
                  <c:v>352.77</c:v>
                </c:pt>
                <c:pt idx="468">
                  <c:v>352.93</c:v>
                </c:pt>
                <c:pt idx="469">
                  <c:v>348.05</c:v>
                </c:pt>
                <c:pt idx="470">
                  <c:v>345.66</c:v>
                </c:pt>
                <c:pt idx="471">
                  <c:v>347.36</c:v>
                </c:pt>
                <c:pt idx="472">
                  <c:v>353.18</c:v>
                </c:pt>
                <c:pt idx="473">
                  <c:v>355.9</c:v>
                </c:pt>
                <c:pt idx="474">
                  <c:v>355.4</c:v>
                </c:pt>
                <c:pt idx="475">
                  <c:v>349.59</c:v>
                </c:pt>
                <c:pt idx="476">
                  <c:v>344.53</c:v>
                </c:pt>
                <c:pt idx="477">
                  <c:v>350.61</c:v>
                </c:pt>
                <c:pt idx="478">
                  <c:v>343.4</c:v>
                </c:pt>
                <c:pt idx="479">
                  <c:v>363.69</c:v>
                </c:pt>
                <c:pt idx="480">
                  <c:v>362.75</c:v>
                </c:pt>
                <c:pt idx="481">
                  <c:v>366.23</c:v>
                </c:pt>
                <c:pt idx="482">
                  <c:v>377.64</c:v>
                </c:pt>
                <c:pt idx="483">
                  <c:v>379.81</c:v>
                </c:pt>
                <c:pt idx="484">
                  <c:v>385</c:v>
                </c:pt>
                <c:pt idx="485">
                  <c:v>375.1</c:v>
                </c:pt>
                <c:pt idx="486">
                  <c:v>373.91</c:v>
                </c:pt>
                <c:pt idx="487">
                  <c:v>366.48</c:v>
                </c:pt>
                <c:pt idx="488">
                  <c:v>351.09</c:v>
                </c:pt>
                <c:pt idx="489">
                  <c:v>344.99</c:v>
                </c:pt>
                <c:pt idx="490">
                  <c:v>345.25</c:v>
                </c:pt>
                <c:pt idx="491">
                  <c:v>340.97</c:v>
                </c:pt>
                <c:pt idx="492">
                  <c:v>339.6</c:v>
                </c:pt>
                <c:pt idx="493">
                  <c:v>341.1</c:v>
                </c:pt>
                <c:pt idx="494">
                  <c:v>341.53</c:v>
                </c:pt>
                <c:pt idx="495">
                  <c:v>348.14</c:v>
                </c:pt>
                <c:pt idx="496">
                  <c:v>355.01</c:v>
                </c:pt>
                <c:pt idx="497">
                  <c:v>355.33</c:v>
                </c:pt>
                <c:pt idx="498">
                  <c:v>356.88</c:v>
                </c:pt>
                <c:pt idx="499">
                  <c:v>342.94</c:v>
                </c:pt>
                <c:pt idx="500">
                  <c:v>355.59</c:v>
                </c:pt>
                <c:pt idx="501">
                  <c:v>354.6</c:v>
                </c:pt>
                <c:pt idx="502">
                  <c:v>355.68</c:v>
                </c:pt>
                <c:pt idx="503">
                  <c:v>355.57</c:v>
                </c:pt>
                <c:pt idx="504">
                  <c:v>350.6</c:v>
                </c:pt>
                <c:pt idx="505">
                  <c:v>355.75</c:v>
                </c:pt>
                <c:pt idx="506">
                  <c:v>359.65</c:v>
                </c:pt>
                <c:pt idx="507">
                  <c:v>351.81</c:v>
                </c:pt>
                <c:pt idx="508">
                  <c:v>345.1</c:v>
                </c:pt>
                <c:pt idx="509">
                  <c:v>337.02</c:v>
                </c:pt>
                <c:pt idx="510">
                  <c:v>337.34</c:v>
                </c:pt>
                <c:pt idx="511">
                  <c:v>325.83999999999997</c:v>
                </c:pt>
                <c:pt idx="512">
                  <c:v>326.17</c:v>
                </c:pt>
                <c:pt idx="513">
                  <c:v>320.87</c:v>
                </c:pt>
                <c:pt idx="514">
                  <c:v>320.08</c:v>
                </c:pt>
                <c:pt idx="515">
                  <c:v>331.53</c:v>
                </c:pt>
                <c:pt idx="516">
                  <c:v>321.08</c:v>
                </c:pt>
                <c:pt idx="517">
                  <c:v>299.26</c:v>
                </c:pt>
                <c:pt idx="518">
                  <c:v>306.08999999999997</c:v>
                </c:pt>
                <c:pt idx="519">
                  <c:v>302.77999999999997</c:v>
                </c:pt>
                <c:pt idx="520">
                  <c:v>306.05</c:v>
                </c:pt>
                <c:pt idx="521">
                  <c:v>304.39</c:v>
                </c:pt>
                <c:pt idx="522">
                  <c:v>302.99</c:v>
                </c:pt>
                <c:pt idx="523">
                  <c:v>302.99</c:v>
                </c:pt>
                <c:pt idx="524">
                  <c:v>315.39999999999998</c:v>
                </c:pt>
                <c:pt idx="525">
                  <c:v>308.7</c:v>
                </c:pt>
                <c:pt idx="526">
                  <c:v>311.3</c:v>
                </c:pt>
                <c:pt idx="527">
                  <c:v>312.5</c:v>
                </c:pt>
                <c:pt idx="528">
                  <c:v>315.05</c:v>
                </c:pt>
                <c:pt idx="529">
                  <c:v>308.74</c:v>
                </c:pt>
                <c:pt idx="530">
                  <c:v>317.81</c:v>
                </c:pt>
                <c:pt idx="531">
                  <c:v>312.60000000000002</c:v>
                </c:pt>
                <c:pt idx="532">
                  <c:v>315.55</c:v>
                </c:pt>
                <c:pt idx="533">
                  <c:v>316.81</c:v>
                </c:pt>
                <c:pt idx="534">
                  <c:v>317.55</c:v>
                </c:pt>
                <c:pt idx="535">
                  <c:v>307.54000000000002</c:v>
                </c:pt>
                <c:pt idx="536">
                  <c:v>308.85000000000002</c:v>
                </c:pt>
                <c:pt idx="537">
                  <c:v>306.52999999999997</c:v>
                </c:pt>
                <c:pt idx="538">
                  <c:v>305.2</c:v>
                </c:pt>
                <c:pt idx="539">
                  <c:v>303.7</c:v>
                </c:pt>
                <c:pt idx="540">
                  <c:v>313.26</c:v>
                </c:pt>
                <c:pt idx="541">
                  <c:v>311.24</c:v>
                </c:pt>
                <c:pt idx="542">
                  <c:v>315.13</c:v>
                </c:pt>
                <c:pt idx="543">
                  <c:v>328.91</c:v>
                </c:pt>
                <c:pt idx="544">
                  <c:v>341.03</c:v>
                </c:pt>
                <c:pt idx="545">
                  <c:v>339.03</c:v>
                </c:pt>
                <c:pt idx="546">
                  <c:v>337.89</c:v>
                </c:pt>
                <c:pt idx="547">
                  <c:v>343.45</c:v>
                </c:pt>
                <c:pt idx="548">
                  <c:v>338.87</c:v>
                </c:pt>
                <c:pt idx="549">
                  <c:v>331.1</c:v>
                </c:pt>
                <c:pt idx="550">
                  <c:v>328.98</c:v>
                </c:pt>
                <c:pt idx="551">
                  <c:v>331.66</c:v>
                </c:pt>
                <c:pt idx="552">
                  <c:v>325.2</c:v>
                </c:pt>
                <c:pt idx="553">
                  <c:v>317.29000000000002</c:v>
                </c:pt>
                <c:pt idx="554">
                  <c:v>311.64</c:v>
                </c:pt>
                <c:pt idx="555">
                  <c:v>315.36</c:v>
                </c:pt>
                <c:pt idx="556">
                  <c:v>311.35000000000002</c:v>
                </c:pt>
                <c:pt idx="557">
                  <c:v>320.52999999999997</c:v>
                </c:pt>
                <c:pt idx="558">
                  <c:v>317.25</c:v>
                </c:pt>
                <c:pt idx="559">
                  <c:v>314.62</c:v>
                </c:pt>
                <c:pt idx="560">
                  <c:v>316.58</c:v>
                </c:pt>
                <c:pt idx="561">
                  <c:v>336.41</c:v>
                </c:pt>
                <c:pt idx="562">
                  <c:v>333.69</c:v>
                </c:pt>
                <c:pt idx="563">
                  <c:v>334.8</c:v>
                </c:pt>
                <c:pt idx="564">
                  <c:v>337.95</c:v>
                </c:pt>
                <c:pt idx="565">
                  <c:v>336.22</c:v>
                </c:pt>
                <c:pt idx="566">
                  <c:v>340.06</c:v>
                </c:pt>
                <c:pt idx="567">
                  <c:v>347.16</c:v>
                </c:pt>
                <c:pt idx="568">
                  <c:v>344.57</c:v>
                </c:pt>
                <c:pt idx="569">
                  <c:v>350.02</c:v>
                </c:pt>
                <c:pt idx="570">
                  <c:v>351.56</c:v>
                </c:pt>
                <c:pt idx="571">
                  <c:v>352.79</c:v>
                </c:pt>
                <c:pt idx="572">
                  <c:v>345.89</c:v>
                </c:pt>
                <c:pt idx="573">
                  <c:v>337.64</c:v>
                </c:pt>
                <c:pt idx="574">
                  <c:v>342.85</c:v>
                </c:pt>
                <c:pt idx="575">
                  <c:v>349.53</c:v>
                </c:pt>
                <c:pt idx="576">
                  <c:v>345.82</c:v>
                </c:pt>
                <c:pt idx="577">
                  <c:v>354.31</c:v>
                </c:pt>
                <c:pt idx="578">
                  <c:v>349.25</c:v>
                </c:pt>
                <c:pt idx="579">
                  <c:v>343.75</c:v>
                </c:pt>
                <c:pt idx="580">
                  <c:v>333.13</c:v>
                </c:pt>
                <c:pt idx="581">
                  <c:v>333.97</c:v>
                </c:pt>
                <c:pt idx="582">
                  <c:v>345</c:v>
                </c:pt>
                <c:pt idx="583">
                  <c:v>315.23</c:v>
                </c:pt>
                <c:pt idx="584">
                  <c:v>310.42</c:v>
                </c:pt>
                <c:pt idx="585">
                  <c:v>315.73</c:v>
                </c:pt>
                <c:pt idx="586">
                  <c:v>323.66000000000003</c:v>
                </c:pt>
                <c:pt idx="587">
                  <c:v>322.31</c:v>
                </c:pt>
                <c:pt idx="588">
                  <c:v>334.065</c:v>
                </c:pt>
                <c:pt idx="589">
                  <c:v>335.49</c:v>
                </c:pt>
                <c:pt idx="590">
                  <c:v>334.77</c:v>
                </c:pt>
                <c:pt idx="591">
                  <c:v>333.3</c:v>
                </c:pt>
                <c:pt idx="592">
                  <c:v>346.17</c:v>
                </c:pt>
                <c:pt idx="593">
                  <c:v>352.05</c:v>
                </c:pt>
                <c:pt idx="594">
                  <c:v>357.42</c:v>
                </c:pt>
                <c:pt idx="595">
                  <c:v>350.99</c:v>
                </c:pt>
                <c:pt idx="596">
                  <c:v>343.06</c:v>
                </c:pt>
                <c:pt idx="597">
                  <c:v>330.93</c:v>
                </c:pt>
                <c:pt idx="598">
                  <c:v>335.12</c:v>
                </c:pt>
                <c:pt idx="599">
                  <c:v>333.35</c:v>
                </c:pt>
                <c:pt idx="600">
                  <c:v>328.2</c:v>
                </c:pt>
                <c:pt idx="601">
                  <c:v>332.3</c:v>
                </c:pt>
                <c:pt idx="602">
                  <c:v>329.1</c:v>
                </c:pt>
                <c:pt idx="603">
                  <c:v>327.17</c:v>
                </c:pt>
                <c:pt idx="604">
                  <c:v>345.51</c:v>
                </c:pt>
                <c:pt idx="605">
                  <c:v>341.84</c:v>
                </c:pt>
                <c:pt idx="606">
                  <c:v>326.63</c:v>
                </c:pt>
                <c:pt idx="607">
                  <c:v>325.60000000000002</c:v>
                </c:pt>
                <c:pt idx="608">
                  <c:v>321.35000000000002</c:v>
                </c:pt>
                <c:pt idx="609">
                  <c:v>313.56</c:v>
                </c:pt>
                <c:pt idx="610">
                  <c:v>310.55</c:v>
                </c:pt>
                <c:pt idx="611">
                  <c:v>316.52999999999997</c:v>
                </c:pt>
                <c:pt idx="612">
                  <c:v>309.10000000000002</c:v>
                </c:pt>
                <c:pt idx="613">
                  <c:v>301.54000000000002</c:v>
                </c:pt>
                <c:pt idx="614">
                  <c:v>304.18</c:v>
                </c:pt>
                <c:pt idx="615">
                  <c:v>279.18</c:v>
                </c:pt>
                <c:pt idx="616">
                  <c:v>257.77999999999997</c:v>
                </c:pt>
                <c:pt idx="617">
                  <c:v>266.13</c:v>
                </c:pt>
                <c:pt idx="618">
                  <c:v>252.48</c:v>
                </c:pt>
                <c:pt idx="619">
                  <c:v>267.52999999999997</c:v>
                </c:pt>
                <c:pt idx="620">
                  <c:v>286.94</c:v>
                </c:pt>
                <c:pt idx="621">
                  <c:v>305.72000000000003</c:v>
                </c:pt>
                <c:pt idx="622">
                  <c:v>299.3</c:v>
                </c:pt>
                <c:pt idx="623">
                  <c:v>289.66000000000003</c:v>
                </c:pt>
                <c:pt idx="624">
                  <c:v>304.7</c:v>
                </c:pt>
                <c:pt idx="625">
                  <c:v>300.93</c:v>
                </c:pt>
                <c:pt idx="626">
                  <c:v>294.08</c:v>
                </c:pt>
                <c:pt idx="627">
                  <c:v>300.33999999999997</c:v>
                </c:pt>
                <c:pt idx="628">
                  <c:v>291.20999999999998</c:v>
                </c:pt>
                <c:pt idx="629">
                  <c:v>287.69</c:v>
                </c:pt>
                <c:pt idx="630">
                  <c:v>293.35000000000002</c:v>
                </c:pt>
                <c:pt idx="631">
                  <c:v>300.08</c:v>
                </c:pt>
                <c:pt idx="632">
                  <c:v>290.24</c:v>
                </c:pt>
                <c:pt idx="633">
                  <c:v>283.37</c:v>
                </c:pt>
                <c:pt idx="634">
                  <c:v>283.45999999999998</c:v>
                </c:pt>
                <c:pt idx="635">
                  <c:v>280.69</c:v>
                </c:pt>
                <c:pt idx="636">
                  <c:v>285.48</c:v>
                </c:pt>
                <c:pt idx="637">
                  <c:v>294.07499999999999</c:v>
                </c:pt>
                <c:pt idx="638">
                  <c:v>293.89999999999998</c:v>
                </c:pt>
                <c:pt idx="639">
                  <c:v>299.92</c:v>
                </c:pt>
                <c:pt idx="640">
                  <c:v>301.14999999999998</c:v>
                </c:pt>
                <c:pt idx="641">
                  <c:v>284.45</c:v>
                </c:pt>
                <c:pt idx="642">
                  <c:v>294.08999999999997</c:v>
                </c:pt>
                <c:pt idx="643">
                  <c:v>302.77</c:v>
                </c:pt>
                <c:pt idx="644">
                  <c:v>301.97000000000003</c:v>
                </c:pt>
                <c:pt idx="645">
                  <c:v>306.85000000000002</c:v>
                </c:pt>
                <c:pt idx="646">
                  <c:v>305.02</c:v>
                </c:pt>
                <c:pt idx="647">
                  <c:v>301.06</c:v>
                </c:pt>
                <c:pt idx="648">
                  <c:v>291.97000000000003</c:v>
                </c:pt>
                <c:pt idx="649">
                  <c:v>284.18</c:v>
                </c:pt>
                <c:pt idx="650">
                  <c:v>286.48</c:v>
                </c:pt>
                <c:pt idx="651">
                  <c:v>284.54000000000002</c:v>
                </c:pt>
                <c:pt idx="652">
                  <c:v>276.82</c:v>
                </c:pt>
                <c:pt idx="653">
                  <c:v>284.49</c:v>
                </c:pt>
                <c:pt idx="654">
                  <c:v>275.01</c:v>
                </c:pt>
                <c:pt idx="655">
                  <c:v>279.07</c:v>
                </c:pt>
                <c:pt idx="656">
                  <c:v>277.85000000000002</c:v>
                </c:pt>
                <c:pt idx="657">
                  <c:v>278.85000000000002</c:v>
                </c:pt>
                <c:pt idx="658">
                  <c:v>283.76</c:v>
                </c:pt>
                <c:pt idx="659">
                  <c:v>291.72000000000003</c:v>
                </c:pt>
                <c:pt idx="660">
                  <c:v>284.73</c:v>
                </c:pt>
                <c:pt idx="661">
                  <c:v>291.82</c:v>
                </c:pt>
                <c:pt idx="662">
                  <c:v>296.74</c:v>
                </c:pt>
                <c:pt idx="663">
                  <c:v>291.13</c:v>
                </c:pt>
                <c:pt idx="664">
                  <c:v>319.5</c:v>
                </c:pt>
                <c:pt idx="665">
                  <c:v>316.08999999999997</c:v>
                </c:pt>
                <c:pt idx="666">
                  <c:v>317.66000000000003</c:v>
                </c:pt>
                <c:pt idx="667">
                  <c:v>332.1</c:v>
                </c:pt>
                <c:pt idx="668">
                  <c:v>342.77</c:v>
                </c:pt>
                <c:pt idx="669">
                  <c:v>344.78</c:v>
                </c:pt>
                <c:pt idx="670">
                  <c:v>357.72</c:v>
                </c:pt>
                <c:pt idx="671">
                  <c:v>358.17</c:v>
                </c:pt>
                <c:pt idx="672">
                  <c:v>370.83</c:v>
                </c:pt>
                <c:pt idx="673">
                  <c:v>352.55</c:v>
                </c:pt>
                <c:pt idx="674">
                  <c:v>362.22</c:v>
                </c:pt>
                <c:pt idx="675">
                  <c:v>347.51</c:v>
                </c:pt>
                <c:pt idx="676">
                  <c:v>333.63</c:v>
                </c:pt>
                <c:pt idx="677">
                  <c:v>333.01</c:v>
                </c:pt>
                <c:pt idx="678">
                  <c:v>342</c:v>
                </c:pt>
                <c:pt idx="679">
                  <c:v>344.5</c:v>
                </c:pt>
                <c:pt idx="680">
                  <c:v>349.93</c:v>
                </c:pt>
                <c:pt idx="681">
                  <c:v>342.95</c:v>
                </c:pt>
                <c:pt idx="682">
                  <c:v>335.07</c:v>
                </c:pt>
                <c:pt idx="683">
                  <c:v>310.86</c:v>
                </c:pt>
                <c:pt idx="684">
                  <c:v>309.16000000000003</c:v>
                </c:pt>
                <c:pt idx="685">
                  <c:v>308.89999999999998</c:v>
                </c:pt>
                <c:pt idx="686">
                  <c:v>318.51</c:v>
                </c:pt>
                <c:pt idx="687">
                  <c:v>322.47000000000003</c:v>
                </c:pt>
                <c:pt idx="688">
                  <c:v>318.95999999999998</c:v>
                </c:pt>
                <c:pt idx="689">
                  <c:v>316.70999999999998</c:v>
                </c:pt>
                <c:pt idx="690">
                  <c:v>318.87</c:v>
                </c:pt>
                <c:pt idx="691">
                  <c:v>310.10000000000002</c:v>
                </c:pt>
                <c:pt idx="692">
                  <c:v>322.69</c:v>
                </c:pt>
                <c:pt idx="693">
                  <c:v>323.85000000000002</c:v>
                </c:pt>
                <c:pt idx="694">
                  <c:v>320.23</c:v>
                </c:pt>
                <c:pt idx="695">
                  <c:v>313.58</c:v>
                </c:pt>
                <c:pt idx="696">
                  <c:v>303.2</c:v>
                </c:pt>
                <c:pt idx="697">
                  <c:v>297.43</c:v>
                </c:pt>
                <c:pt idx="698">
                  <c:v>308.74</c:v>
                </c:pt>
                <c:pt idx="699">
                  <c:v>306.64999999999998</c:v>
                </c:pt>
                <c:pt idx="700">
                  <c:v>297.18</c:v>
                </c:pt>
                <c:pt idx="701">
                  <c:v>290.17</c:v>
                </c:pt>
                <c:pt idx="702">
                  <c:v>298.14</c:v>
                </c:pt>
                <c:pt idx="703">
                  <c:v>300.83999999999997</c:v>
                </c:pt>
                <c:pt idx="704">
                  <c:v>349.54</c:v>
                </c:pt>
                <c:pt idx="705">
                  <c:v>348.17</c:v>
                </c:pt>
                <c:pt idx="706">
                  <c:v>341.99</c:v>
                </c:pt>
                <c:pt idx="707">
                  <c:v>379.57</c:v>
                </c:pt>
                <c:pt idx="708">
                  <c:v>370.34</c:v>
                </c:pt>
                <c:pt idx="709">
                  <c:v>352.45</c:v>
                </c:pt>
                <c:pt idx="710">
                  <c:v>355.49</c:v>
                </c:pt>
                <c:pt idx="711">
                  <c:v>356.41</c:v>
                </c:pt>
                <c:pt idx="712">
                  <c:v>347.64</c:v>
                </c:pt>
                <c:pt idx="713">
                  <c:v>338.69</c:v>
                </c:pt>
                <c:pt idx="714">
                  <c:v>335.45</c:v>
                </c:pt>
                <c:pt idx="715">
                  <c:v>305.5</c:v>
                </c:pt>
                <c:pt idx="716">
                  <c:v>308.44</c:v>
                </c:pt>
                <c:pt idx="717">
                  <c:v>321.89999999999998</c:v>
                </c:pt>
                <c:pt idx="718">
                  <c:v>321.64</c:v>
                </c:pt>
                <c:pt idx="719">
                  <c:v>320.10000000000002</c:v>
                </c:pt>
                <c:pt idx="720">
                  <c:v>322.82</c:v>
                </c:pt>
                <c:pt idx="721">
                  <c:v>319.27</c:v>
                </c:pt>
                <c:pt idx="722">
                  <c:v>311.86</c:v>
                </c:pt>
                <c:pt idx="723">
                  <c:v>305.01</c:v>
                </c:pt>
                <c:pt idx="724">
                  <c:v>303.14999999999998</c:v>
                </c:pt>
                <c:pt idx="725">
                  <c:v>301.66000000000003</c:v>
                </c:pt>
                <c:pt idx="726">
                  <c:v>288.95</c:v>
                </c:pt>
                <c:pt idx="727">
                  <c:v>280.74</c:v>
                </c:pt>
                <c:pt idx="728">
                  <c:v>280.95</c:v>
                </c:pt>
                <c:pt idx="729">
                  <c:v>263.24</c:v>
                </c:pt>
                <c:pt idx="730">
                  <c:v>285.5</c:v>
                </c:pt>
                <c:pt idx="731">
                  <c:v>279.44</c:v>
                </c:pt>
                <c:pt idx="732">
                  <c:v>290.54000000000002</c:v>
                </c:pt>
                <c:pt idx="733">
                  <c:v>289.45999999999998</c:v>
                </c:pt>
                <c:pt idx="734">
                  <c:v>295.2</c:v>
                </c:pt>
                <c:pt idx="735">
                  <c:v>294.83999999999997</c:v>
                </c:pt>
                <c:pt idx="736">
                  <c:v>284.95999999999998</c:v>
                </c:pt>
                <c:pt idx="737">
                  <c:v>299.02</c:v>
                </c:pt>
                <c:pt idx="738">
                  <c:v>298.33</c:v>
                </c:pt>
                <c:pt idx="739">
                  <c:v>299.10000000000002</c:v>
                </c:pt>
                <c:pt idx="740">
                  <c:v>299.68</c:v>
                </c:pt>
                <c:pt idx="741">
                  <c:v>300.99</c:v>
                </c:pt>
                <c:pt idx="742">
                  <c:v>309.58</c:v>
                </c:pt>
                <c:pt idx="743">
                  <c:v>307.52</c:v>
                </c:pt>
                <c:pt idx="744">
                  <c:v>264.77</c:v>
                </c:pt>
                <c:pt idx="745">
                  <c:v>310.7</c:v>
                </c:pt>
                <c:pt idx="746">
                  <c:v>301.02</c:v>
                </c:pt>
                <c:pt idx="747">
                  <c:v>294.8</c:v>
                </c:pt>
                <c:pt idx="748">
                  <c:v>281.83</c:v>
                </c:pt>
                <c:pt idx="749">
                  <c:v>261.95</c:v>
                </c:pt>
                <c:pt idx="750">
                  <c:v>250.56</c:v>
                </c:pt>
                <c:pt idx="751">
                  <c:v>262.8</c:v>
                </c:pt>
                <c:pt idx="752">
                  <c:v>256.88</c:v>
                </c:pt>
                <c:pt idx="753">
                  <c:v>252.23</c:v>
                </c:pt>
                <c:pt idx="754">
                  <c:v>258.77999999999997</c:v>
                </c:pt>
                <c:pt idx="755">
                  <c:v>259.58999999999997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C-423E-B6C7-B707920F95F7}"/>
            </c:ext>
          </c:extLst>
        </c:ser>
        <c:ser>
          <c:idx val="1"/>
          <c:order val="1"/>
          <c:tx>
            <c:v>20-average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'tesla-stock-price (2)'!$A$21:$A$758</c:f>
              <c:numCache>
                <c:formatCode>General</c:formatCode>
                <c:ptCount val="738"/>
                <c:pt idx="0">
                  <c:v>42318</c:v>
                </c:pt>
                <c:pt idx="1">
                  <c:v>42319</c:v>
                </c:pt>
                <c:pt idx="2">
                  <c:v>42320</c:v>
                </c:pt>
                <c:pt idx="3">
                  <c:v>42321</c:v>
                </c:pt>
                <c:pt idx="4">
                  <c:v>42324</c:v>
                </c:pt>
                <c:pt idx="5">
                  <c:v>42325</c:v>
                </c:pt>
                <c:pt idx="6">
                  <c:v>42326</c:v>
                </c:pt>
                <c:pt idx="7">
                  <c:v>42327</c:v>
                </c:pt>
                <c:pt idx="8">
                  <c:v>42328</c:v>
                </c:pt>
                <c:pt idx="9">
                  <c:v>42331</c:v>
                </c:pt>
                <c:pt idx="10">
                  <c:v>42332</c:v>
                </c:pt>
                <c:pt idx="11">
                  <c:v>42333</c:v>
                </c:pt>
                <c:pt idx="12">
                  <c:v>42335</c:v>
                </c:pt>
                <c:pt idx="13">
                  <c:v>42338</c:v>
                </c:pt>
                <c:pt idx="14">
                  <c:v>42339</c:v>
                </c:pt>
                <c:pt idx="15">
                  <c:v>42340</c:v>
                </c:pt>
                <c:pt idx="16">
                  <c:v>42341</c:v>
                </c:pt>
                <c:pt idx="17">
                  <c:v>42342</c:v>
                </c:pt>
                <c:pt idx="18">
                  <c:v>42345</c:v>
                </c:pt>
                <c:pt idx="19">
                  <c:v>42346</c:v>
                </c:pt>
                <c:pt idx="20">
                  <c:v>42347</c:v>
                </c:pt>
                <c:pt idx="21">
                  <c:v>42348</c:v>
                </c:pt>
                <c:pt idx="22">
                  <c:v>42349</c:v>
                </c:pt>
                <c:pt idx="23">
                  <c:v>42352</c:v>
                </c:pt>
                <c:pt idx="24">
                  <c:v>42353</c:v>
                </c:pt>
                <c:pt idx="25">
                  <c:v>42354</c:v>
                </c:pt>
                <c:pt idx="26">
                  <c:v>42355</c:v>
                </c:pt>
                <c:pt idx="27">
                  <c:v>42356</c:v>
                </c:pt>
                <c:pt idx="28">
                  <c:v>42359</c:v>
                </c:pt>
                <c:pt idx="29">
                  <c:v>42360</c:v>
                </c:pt>
                <c:pt idx="30">
                  <c:v>42361</c:v>
                </c:pt>
                <c:pt idx="31">
                  <c:v>42362</c:v>
                </c:pt>
                <c:pt idx="32">
                  <c:v>42366</c:v>
                </c:pt>
                <c:pt idx="33">
                  <c:v>42367</c:v>
                </c:pt>
                <c:pt idx="34">
                  <c:v>42368</c:v>
                </c:pt>
                <c:pt idx="35">
                  <c:v>42369</c:v>
                </c:pt>
                <c:pt idx="36">
                  <c:v>42373</c:v>
                </c:pt>
                <c:pt idx="37">
                  <c:v>42374</c:v>
                </c:pt>
                <c:pt idx="38">
                  <c:v>42375</c:v>
                </c:pt>
                <c:pt idx="39">
                  <c:v>42376</c:v>
                </c:pt>
                <c:pt idx="40">
                  <c:v>42377</c:v>
                </c:pt>
                <c:pt idx="41">
                  <c:v>42380</c:v>
                </c:pt>
                <c:pt idx="42">
                  <c:v>42381</c:v>
                </c:pt>
                <c:pt idx="43">
                  <c:v>42382</c:v>
                </c:pt>
                <c:pt idx="44">
                  <c:v>42383</c:v>
                </c:pt>
                <c:pt idx="45">
                  <c:v>42384</c:v>
                </c:pt>
                <c:pt idx="46">
                  <c:v>42388</c:v>
                </c:pt>
                <c:pt idx="47">
                  <c:v>42389</c:v>
                </c:pt>
                <c:pt idx="48">
                  <c:v>42390</c:v>
                </c:pt>
                <c:pt idx="49">
                  <c:v>42391</c:v>
                </c:pt>
                <c:pt idx="50">
                  <c:v>42394</c:v>
                </c:pt>
                <c:pt idx="51">
                  <c:v>42395</c:v>
                </c:pt>
                <c:pt idx="52">
                  <c:v>42396</c:v>
                </c:pt>
                <c:pt idx="53">
                  <c:v>42397</c:v>
                </c:pt>
                <c:pt idx="54">
                  <c:v>42398</c:v>
                </c:pt>
                <c:pt idx="55">
                  <c:v>42401</c:v>
                </c:pt>
                <c:pt idx="56">
                  <c:v>42402</c:v>
                </c:pt>
                <c:pt idx="57">
                  <c:v>42403</c:v>
                </c:pt>
                <c:pt idx="58">
                  <c:v>42404</c:v>
                </c:pt>
                <c:pt idx="59">
                  <c:v>42405</c:v>
                </c:pt>
                <c:pt idx="60">
                  <c:v>42408</c:v>
                </c:pt>
                <c:pt idx="61">
                  <c:v>42409</c:v>
                </c:pt>
                <c:pt idx="62">
                  <c:v>42410</c:v>
                </c:pt>
                <c:pt idx="63">
                  <c:v>42411</c:v>
                </c:pt>
                <c:pt idx="64">
                  <c:v>42412</c:v>
                </c:pt>
                <c:pt idx="65">
                  <c:v>42416</c:v>
                </c:pt>
                <c:pt idx="66">
                  <c:v>42417</c:v>
                </c:pt>
                <c:pt idx="67">
                  <c:v>42418</c:v>
                </c:pt>
                <c:pt idx="68">
                  <c:v>42419</c:v>
                </c:pt>
                <c:pt idx="69">
                  <c:v>42422</c:v>
                </c:pt>
                <c:pt idx="70">
                  <c:v>42423</c:v>
                </c:pt>
                <c:pt idx="71">
                  <c:v>42424</c:v>
                </c:pt>
                <c:pt idx="72">
                  <c:v>42425</c:v>
                </c:pt>
                <c:pt idx="73">
                  <c:v>42426</c:v>
                </c:pt>
                <c:pt idx="74">
                  <c:v>42429</c:v>
                </c:pt>
                <c:pt idx="75">
                  <c:v>42430</c:v>
                </c:pt>
                <c:pt idx="76">
                  <c:v>42431</c:v>
                </c:pt>
                <c:pt idx="77">
                  <c:v>42432</c:v>
                </c:pt>
                <c:pt idx="78">
                  <c:v>42433</c:v>
                </c:pt>
                <c:pt idx="79">
                  <c:v>42436</c:v>
                </c:pt>
                <c:pt idx="80">
                  <c:v>42437</c:v>
                </c:pt>
                <c:pt idx="81">
                  <c:v>42438</c:v>
                </c:pt>
                <c:pt idx="82">
                  <c:v>42439</c:v>
                </c:pt>
                <c:pt idx="83">
                  <c:v>42440</c:v>
                </c:pt>
                <c:pt idx="84">
                  <c:v>42443</c:v>
                </c:pt>
                <c:pt idx="85">
                  <c:v>42444</c:v>
                </c:pt>
                <c:pt idx="86">
                  <c:v>42445</c:v>
                </c:pt>
                <c:pt idx="87">
                  <c:v>42446</c:v>
                </c:pt>
                <c:pt idx="88">
                  <c:v>42447</c:v>
                </c:pt>
                <c:pt idx="89">
                  <c:v>42450</c:v>
                </c:pt>
                <c:pt idx="90">
                  <c:v>42451</c:v>
                </c:pt>
                <c:pt idx="91">
                  <c:v>42452</c:v>
                </c:pt>
                <c:pt idx="92">
                  <c:v>42453</c:v>
                </c:pt>
                <c:pt idx="93">
                  <c:v>42457</c:v>
                </c:pt>
                <c:pt idx="94">
                  <c:v>42458</c:v>
                </c:pt>
                <c:pt idx="95">
                  <c:v>42459</c:v>
                </c:pt>
                <c:pt idx="96">
                  <c:v>42460</c:v>
                </c:pt>
                <c:pt idx="97">
                  <c:v>42461</c:v>
                </c:pt>
                <c:pt idx="98">
                  <c:v>42464</c:v>
                </c:pt>
                <c:pt idx="99">
                  <c:v>42465</c:v>
                </c:pt>
                <c:pt idx="100">
                  <c:v>42466</c:v>
                </c:pt>
                <c:pt idx="101">
                  <c:v>42467</c:v>
                </c:pt>
                <c:pt idx="102">
                  <c:v>42468</c:v>
                </c:pt>
                <c:pt idx="103">
                  <c:v>42471</c:v>
                </c:pt>
                <c:pt idx="104">
                  <c:v>42472</c:v>
                </c:pt>
                <c:pt idx="105">
                  <c:v>42473</c:v>
                </c:pt>
                <c:pt idx="106">
                  <c:v>42474</c:v>
                </c:pt>
                <c:pt idx="107">
                  <c:v>42475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42485</c:v>
                </c:pt>
                <c:pt idx="114">
                  <c:v>42486</c:v>
                </c:pt>
                <c:pt idx="115">
                  <c:v>42487</c:v>
                </c:pt>
                <c:pt idx="116">
                  <c:v>42488</c:v>
                </c:pt>
                <c:pt idx="117">
                  <c:v>42489</c:v>
                </c:pt>
                <c:pt idx="118">
                  <c:v>42492</c:v>
                </c:pt>
                <c:pt idx="119">
                  <c:v>42493</c:v>
                </c:pt>
                <c:pt idx="120">
                  <c:v>42494</c:v>
                </c:pt>
                <c:pt idx="121">
                  <c:v>42495</c:v>
                </c:pt>
                <c:pt idx="122">
                  <c:v>42496</c:v>
                </c:pt>
                <c:pt idx="123">
                  <c:v>42499</c:v>
                </c:pt>
                <c:pt idx="124">
                  <c:v>42500</c:v>
                </c:pt>
                <c:pt idx="125">
                  <c:v>42501</c:v>
                </c:pt>
                <c:pt idx="126">
                  <c:v>42502</c:v>
                </c:pt>
                <c:pt idx="127">
                  <c:v>42503</c:v>
                </c:pt>
                <c:pt idx="128">
                  <c:v>42506</c:v>
                </c:pt>
                <c:pt idx="129">
                  <c:v>42507</c:v>
                </c:pt>
                <c:pt idx="130">
                  <c:v>42508</c:v>
                </c:pt>
                <c:pt idx="131">
                  <c:v>42509</c:v>
                </c:pt>
                <c:pt idx="132">
                  <c:v>42510</c:v>
                </c:pt>
                <c:pt idx="133">
                  <c:v>42513</c:v>
                </c:pt>
                <c:pt idx="134">
                  <c:v>42514</c:v>
                </c:pt>
                <c:pt idx="135">
                  <c:v>42515</c:v>
                </c:pt>
                <c:pt idx="136">
                  <c:v>42516</c:v>
                </c:pt>
                <c:pt idx="137">
                  <c:v>42517</c:v>
                </c:pt>
                <c:pt idx="138">
                  <c:v>42521</c:v>
                </c:pt>
                <c:pt idx="139">
                  <c:v>42522</c:v>
                </c:pt>
                <c:pt idx="140">
                  <c:v>42523</c:v>
                </c:pt>
                <c:pt idx="141">
                  <c:v>42524</c:v>
                </c:pt>
                <c:pt idx="142">
                  <c:v>42527</c:v>
                </c:pt>
                <c:pt idx="143">
                  <c:v>42528</c:v>
                </c:pt>
                <c:pt idx="144">
                  <c:v>42529</c:v>
                </c:pt>
                <c:pt idx="145">
                  <c:v>42530</c:v>
                </c:pt>
                <c:pt idx="146">
                  <c:v>42531</c:v>
                </c:pt>
                <c:pt idx="147">
                  <c:v>42534</c:v>
                </c:pt>
                <c:pt idx="148">
                  <c:v>42535</c:v>
                </c:pt>
                <c:pt idx="149">
                  <c:v>42536</c:v>
                </c:pt>
                <c:pt idx="150">
                  <c:v>42537</c:v>
                </c:pt>
                <c:pt idx="151">
                  <c:v>42538</c:v>
                </c:pt>
                <c:pt idx="152">
                  <c:v>42541</c:v>
                </c:pt>
                <c:pt idx="153">
                  <c:v>42542</c:v>
                </c:pt>
                <c:pt idx="154">
                  <c:v>42543</c:v>
                </c:pt>
                <c:pt idx="155">
                  <c:v>42544</c:v>
                </c:pt>
                <c:pt idx="156">
                  <c:v>42545</c:v>
                </c:pt>
                <c:pt idx="157">
                  <c:v>42548</c:v>
                </c:pt>
                <c:pt idx="158">
                  <c:v>42549</c:v>
                </c:pt>
                <c:pt idx="159">
                  <c:v>42550</c:v>
                </c:pt>
                <c:pt idx="160">
                  <c:v>42551</c:v>
                </c:pt>
                <c:pt idx="161">
                  <c:v>42552</c:v>
                </c:pt>
                <c:pt idx="162">
                  <c:v>42556</c:v>
                </c:pt>
                <c:pt idx="163">
                  <c:v>42557</c:v>
                </c:pt>
                <c:pt idx="164">
                  <c:v>42558</c:v>
                </c:pt>
                <c:pt idx="165">
                  <c:v>42559</c:v>
                </c:pt>
                <c:pt idx="166">
                  <c:v>42562</c:v>
                </c:pt>
                <c:pt idx="167">
                  <c:v>42563</c:v>
                </c:pt>
                <c:pt idx="168">
                  <c:v>42564</c:v>
                </c:pt>
                <c:pt idx="169">
                  <c:v>42565</c:v>
                </c:pt>
                <c:pt idx="170">
                  <c:v>42566</c:v>
                </c:pt>
                <c:pt idx="171">
                  <c:v>42569</c:v>
                </c:pt>
                <c:pt idx="172">
                  <c:v>42570</c:v>
                </c:pt>
                <c:pt idx="173">
                  <c:v>42571</c:v>
                </c:pt>
                <c:pt idx="174">
                  <c:v>42572</c:v>
                </c:pt>
                <c:pt idx="175">
                  <c:v>42573</c:v>
                </c:pt>
                <c:pt idx="176">
                  <c:v>42576</c:v>
                </c:pt>
                <c:pt idx="177">
                  <c:v>42577</c:v>
                </c:pt>
                <c:pt idx="178">
                  <c:v>42578</c:v>
                </c:pt>
                <c:pt idx="179">
                  <c:v>42579</c:v>
                </c:pt>
                <c:pt idx="180">
                  <c:v>42580</c:v>
                </c:pt>
                <c:pt idx="181">
                  <c:v>42583</c:v>
                </c:pt>
                <c:pt idx="182">
                  <c:v>42584</c:v>
                </c:pt>
                <c:pt idx="183">
                  <c:v>42585</c:v>
                </c:pt>
                <c:pt idx="184">
                  <c:v>42586</c:v>
                </c:pt>
                <c:pt idx="185">
                  <c:v>42587</c:v>
                </c:pt>
                <c:pt idx="186">
                  <c:v>42590</c:v>
                </c:pt>
                <c:pt idx="187">
                  <c:v>42591</c:v>
                </c:pt>
                <c:pt idx="188">
                  <c:v>42592</c:v>
                </c:pt>
                <c:pt idx="189">
                  <c:v>42593</c:v>
                </c:pt>
                <c:pt idx="190">
                  <c:v>42594</c:v>
                </c:pt>
                <c:pt idx="191">
                  <c:v>42597</c:v>
                </c:pt>
                <c:pt idx="192">
                  <c:v>42598</c:v>
                </c:pt>
                <c:pt idx="193">
                  <c:v>42599</c:v>
                </c:pt>
                <c:pt idx="194">
                  <c:v>42600</c:v>
                </c:pt>
                <c:pt idx="195">
                  <c:v>42601</c:v>
                </c:pt>
                <c:pt idx="196">
                  <c:v>42604</c:v>
                </c:pt>
                <c:pt idx="197">
                  <c:v>42605</c:v>
                </c:pt>
                <c:pt idx="198">
                  <c:v>42606</c:v>
                </c:pt>
                <c:pt idx="199">
                  <c:v>42607</c:v>
                </c:pt>
                <c:pt idx="200">
                  <c:v>42608</c:v>
                </c:pt>
                <c:pt idx="201">
                  <c:v>42611</c:v>
                </c:pt>
                <c:pt idx="202">
                  <c:v>42612</c:v>
                </c:pt>
                <c:pt idx="203">
                  <c:v>42613</c:v>
                </c:pt>
                <c:pt idx="204">
                  <c:v>42614</c:v>
                </c:pt>
                <c:pt idx="205">
                  <c:v>42615</c:v>
                </c:pt>
                <c:pt idx="206">
                  <c:v>42619</c:v>
                </c:pt>
                <c:pt idx="207">
                  <c:v>42620</c:v>
                </c:pt>
                <c:pt idx="208">
                  <c:v>42621</c:v>
                </c:pt>
                <c:pt idx="209">
                  <c:v>42622</c:v>
                </c:pt>
                <c:pt idx="210">
                  <c:v>42625</c:v>
                </c:pt>
                <c:pt idx="211">
                  <c:v>42626</c:v>
                </c:pt>
                <c:pt idx="212">
                  <c:v>42627</c:v>
                </c:pt>
                <c:pt idx="213">
                  <c:v>42628</c:v>
                </c:pt>
                <c:pt idx="214">
                  <c:v>42629</c:v>
                </c:pt>
                <c:pt idx="215">
                  <c:v>42632</c:v>
                </c:pt>
                <c:pt idx="216">
                  <c:v>42633</c:v>
                </c:pt>
                <c:pt idx="217">
                  <c:v>42634</c:v>
                </c:pt>
                <c:pt idx="218">
                  <c:v>42635</c:v>
                </c:pt>
                <c:pt idx="219">
                  <c:v>42636</c:v>
                </c:pt>
                <c:pt idx="220">
                  <c:v>42639</c:v>
                </c:pt>
                <c:pt idx="221">
                  <c:v>42640</c:v>
                </c:pt>
                <c:pt idx="222">
                  <c:v>42641</c:v>
                </c:pt>
                <c:pt idx="223">
                  <c:v>42642</c:v>
                </c:pt>
                <c:pt idx="224">
                  <c:v>42643</c:v>
                </c:pt>
                <c:pt idx="225">
                  <c:v>42646</c:v>
                </c:pt>
                <c:pt idx="226">
                  <c:v>42647</c:v>
                </c:pt>
                <c:pt idx="227">
                  <c:v>42648</c:v>
                </c:pt>
                <c:pt idx="228">
                  <c:v>42649</c:v>
                </c:pt>
                <c:pt idx="229">
                  <c:v>42650</c:v>
                </c:pt>
                <c:pt idx="230">
                  <c:v>42653</c:v>
                </c:pt>
                <c:pt idx="231">
                  <c:v>42654</c:v>
                </c:pt>
                <c:pt idx="232">
                  <c:v>42655</c:v>
                </c:pt>
                <c:pt idx="233">
                  <c:v>42656</c:v>
                </c:pt>
                <c:pt idx="234">
                  <c:v>42657</c:v>
                </c:pt>
                <c:pt idx="235">
                  <c:v>42660</c:v>
                </c:pt>
                <c:pt idx="236">
                  <c:v>42661</c:v>
                </c:pt>
                <c:pt idx="237">
                  <c:v>42662</c:v>
                </c:pt>
                <c:pt idx="238">
                  <c:v>42663</c:v>
                </c:pt>
                <c:pt idx="239">
                  <c:v>42664</c:v>
                </c:pt>
                <c:pt idx="240">
                  <c:v>42667</c:v>
                </c:pt>
                <c:pt idx="241">
                  <c:v>42668</c:v>
                </c:pt>
                <c:pt idx="242">
                  <c:v>42669</c:v>
                </c:pt>
                <c:pt idx="243">
                  <c:v>42670</c:v>
                </c:pt>
                <c:pt idx="244">
                  <c:v>42671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42681</c:v>
                </c:pt>
                <c:pt idx="251">
                  <c:v>42682</c:v>
                </c:pt>
                <c:pt idx="252">
                  <c:v>42683</c:v>
                </c:pt>
                <c:pt idx="253">
                  <c:v>42684</c:v>
                </c:pt>
                <c:pt idx="254">
                  <c:v>42685</c:v>
                </c:pt>
                <c:pt idx="255">
                  <c:v>42688</c:v>
                </c:pt>
                <c:pt idx="256">
                  <c:v>42689</c:v>
                </c:pt>
                <c:pt idx="257">
                  <c:v>42690</c:v>
                </c:pt>
                <c:pt idx="258">
                  <c:v>42691</c:v>
                </c:pt>
                <c:pt idx="259">
                  <c:v>42692</c:v>
                </c:pt>
                <c:pt idx="260">
                  <c:v>42695</c:v>
                </c:pt>
                <c:pt idx="261">
                  <c:v>42696</c:v>
                </c:pt>
                <c:pt idx="262">
                  <c:v>42697</c:v>
                </c:pt>
                <c:pt idx="263">
                  <c:v>42699</c:v>
                </c:pt>
                <c:pt idx="264">
                  <c:v>42702</c:v>
                </c:pt>
                <c:pt idx="265">
                  <c:v>42703</c:v>
                </c:pt>
                <c:pt idx="266">
                  <c:v>42704</c:v>
                </c:pt>
                <c:pt idx="267">
                  <c:v>42705</c:v>
                </c:pt>
                <c:pt idx="268">
                  <c:v>42706</c:v>
                </c:pt>
                <c:pt idx="269">
                  <c:v>42709</c:v>
                </c:pt>
                <c:pt idx="270">
                  <c:v>42710</c:v>
                </c:pt>
                <c:pt idx="271">
                  <c:v>42711</c:v>
                </c:pt>
                <c:pt idx="272">
                  <c:v>42712</c:v>
                </c:pt>
                <c:pt idx="273">
                  <c:v>42713</c:v>
                </c:pt>
                <c:pt idx="274">
                  <c:v>42716</c:v>
                </c:pt>
                <c:pt idx="275">
                  <c:v>42717</c:v>
                </c:pt>
                <c:pt idx="276">
                  <c:v>42718</c:v>
                </c:pt>
                <c:pt idx="277">
                  <c:v>42719</c:v>
                </c:pt>
                <c:pt idx="278">
                  <c:v>42720</c:v>
                </c:pt>
                <c:pt idx="279">
                  <c:v>42723</c:v>
                </c:pt>
                <c:pt idx="280">
                  <c:v>42724</c:v>
                </c:pt>
                <c:pt idx="281">
                  <c:v>42725</c:v>
                </c:pt>
                <c:pt idx="282">
                  <c:v>42726</c:v>
                </c:pt>
                <c:pt idx="283">
                  <c:v>42727</c:v>
                </c:pt>
                <c:pt idx="284">
                  <c:v>42731</c:v>
                </c:pt>
                <c:pt idx="285">
                  <c:v>42732</c:v>
                </c:pt>
                <c:pt idx="286">
                  <c:v>42733</c:v>
                </c:pt>
                <c:pt idx="287">
                  <c:v>42734</c:v>
                </c:pt>
                <c:pt idx="288">
                  <c:v>42738</c:v>
                </c:pt>
                <c:pt idx="289">
                  <c:v>42739</c:v>
                </c:pt>
                <c:pt idx="290">
                  <c:v>42740</c:v>
                </c:pt>
                <c:pt idx="291">
                  <c:v>42741</c:v>
                </c:pt>
                <c:pt idx="292">
                  <c:v>42744</c:v>
                </c:pt>
                <c:pt idx="293">
                  <c:v>42745</c:v>
                </c:pt>
                <c:pt idx="294">
                  <c:v>42746</c:v>
                </c:pt>
                <c:pt idx="295">
                  <c:v>42747</c:v>
                </c:pt>
                <c:pt idx="296">
                  <c:v>42748</c:v>
                </c:pt>
                <c:pt idx="297">
                  <c:v>42752</c:v>
                </c:pt>
                <c:pt idx="298">
                  <c:v>42753</c:v>
                </c:pt>
                <c:pt idx="299">
                  <c:v>42754</c:v>
                </c:pt>
                <c:pt idx="300">
                  <c:v>42755</c:v>
                </c:pt>
                <c:pt idx="301">
                  <c:v>42758</c:v>
                </c:pt>
                <c:pt idx="302">
                  <c:v>42759</c:v>
                </c:pt>
                <c:pt idx="303">
                  <c:v>42760</c:v>
                </c:pt>
                <c:pt idx="304">
                  <c:v>42761</c:v>
                </c:pt>
                <c:pt idx="305">
                  <c:v>42762</c:v>
                </c:pt>
                <c:pt idx="306">
                  <c:v>42765</c:v>
                </c:pt>
                <c:pt idx="307">
                  <c:v>42766</c:v>
                </c:pt>
                <c:pt idx="308">
                  <c:v>42767</c:v>
                </c:pt>
                <c:pt idx="309">
                  <c:v>42768</c:v>
                </c:pt>
                <c:pt idx="310">
                  <c:v>42769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42779</c:v>
                </c:pt>
                <c:pt idx="317">
                  <c:v>42780</c:v>
                </c:pt>
                <c:pt idx="318">
                  <c:v>42781</c:v>
                </c:pt>
                <c:pt idx="319">
                  <c:v>42782</c:v>
                </c:pt>
                <c:pt idx="320">
                  <c:v>42783</c:v>
                </c:pt>
                <c:pt idx="321">
                  <c:v>42787</c:v>
                </c:pt>
                <c:pt idx="322">
                  <c:v>42788</c:v>
                </c:pt>
                <c:pt idx="323">
                  <c:v>42789</c:v>
                </c:pt>
                <c:pt idx="324">
                  <c:v>42790</c:v>
                </c:pt>
                <c:pt idx="325">
                  <c:v>42793</c:v>
                </c:pt>
                <c:pt idx="326">
                  <c:v>42794</c:v>
                </c:pt>
                <c:pt idx="327">
                  <c:v>42795</c:v>
                </c:pt>
                <c:pt idx="328">
                  <c:v>42796</c:v>
                </c:pt>
                <c:pt idx="329">
                  <c:v>42797</c:v>
                </c:pt>
                <c:pt idx="330">
                  <c:v>42800</c:v>
                </c:pt>
                <c:pt idx="331">
                  <c:v>42801</c:v>
                </c:pt>
                <c:pt idx="332">
                  <c:v>42802</c:v>
                </c:pt>
                <c:pt idx="333">
                  <c:v>42803</c:v>
                </c:pt>
                <c:pt idx="334">
                  <c:v>42804</c:v>
                </c:pt>
                <c:pt idx="335">
                  <c:v>42807</c:v>
                </c:pt>
                <c:pt idx="336">
                  <c:v>42808</c:v>
                </c:pt>
                <c:pt idx="337">
                  <c:v>42809</c:v>
                </c:pt>
                <c:pt idx="338">
                  <c:v>42810</c:v>
                </c:pt>
                <c:pt idx="339">
                  <c:v>42811</c:v>
                </c:pt>
                <c:pt idx="340">
                  <c:v>42814</c:v>
                </c:pt>
                <c:pt idx="341">
                  <c:v>42815</c:v>
                </c:pt>
                <c:pt idx="342">
                  <c:v>42816</c:v>
                </c:pt>
                <c:pt idx="343">
                  <c:v>42817</c:v>
                </c:pt>
                <c:pt idx="344">
                  <c:v>42818</c:v>
                </c:pt>
                <c:pt idx="345">
                  <c:v>42821</c:v>
                </c:pt>
                <c:pt idx="346">
                  <c:v>42822</c:v>
                </c:pt>
                <c:pt idx="347">
                  <c:v>42823</c:v>
                </c:pt>
                <c:pt idx="348">
                  <c:v>42824</c:v>
                </c:pt>
                <c:pt idx="349">
                  <c:v>42825</c:v>
                </c:pt>
                <c:pt idx="350">
                  <c:v>42828</c:v>
                </c:pt>
                <c:pt idx="351">
                  <c:v>42829</c:v>
                </c:pt>
                <c:pt idx="352">
                  <c:v>42830</c:v>
                </c:pt>
                <c:pt idx="353">
                  <c:v>42831</c:v>
                </c:pt>
                <c:pt idx="354">
                  <c:v>42832</c:v>
                </c:pt>
                <c:pt idx="355">
                  <c:v>42835</c:v>
                </c:pt>
                <c:pt idx="356">
                  <c:v>42836</c:v>
                </c:pt>
                <c:pt idx="357">
                  <c:v>42837</c:v>
                </c:pt>
                <c:pt idx="358">
                  <c:v>42838</c:v>
                </c:pt>
                <c:pt idx="359">
                  <c:v>42842</c:v>
                </c:pt>
                <c:pt idx="360">
                  <c:v>42843</c:v>
                </c:pt>
                <c:pt idx="361">
                  <c:v>42844</c:v>
                </c:pt>
                <c:pt idx="362">
                  <c:v>42845</c:v>
                </c:pt>
                <c:pt idx="363">
                  <c:v>42846</c:v>
                </c:pt>
                <c:pt idx="364">
                  <c:v>42849</c:v>
                </c:pt>
                <c:pt idx="365">
                  <c:v>42850</c:v>
                </c:pt>
                <c:pt idx="366">
                  <c:v>42851</c:v>
                </c:pt>
                <c:pt idx="367">
                  <c:v>42852</c:v>
                </c:pt>
                <c:pt idx="368">
                  <c:v>42853</c:v>
                </c:pt>
                <c:pt idx="369">
                  <c:v>42856</c:v>
                </c:pt>
                <c:pt idx="370">
                  <c:v>42857</c:v>
                </c:pt>
                <c:pt idx="371">
                  <c:v>42858</c:v>
                </c:pt>
                <c:pt idx="372">
                  <c:v>42859</c:v>
                </c:pt>
                <c:pt idx="373">
                  <c:v>42860</c:v>
                </c:pt>
                <c:pt idx="374">
                  <c:v>42863</c:v>
                </c:pt>
                <c:pt idx="375">
                  <c:v>42864</c:v>
                </c:pt>
                <c:pt idx="376">
                  <c:v>42865</c:v>
                </c:pt>
                <c:pt idx="377">
                  <c:v>42866</c:v>
                </c:pt>
                <c:pt idx="378">
                  <c:v>42867</c:v>
                </c:pt>
                <c:pt idx="379">
                  <c:v>42870</c:v>
                </c:pt>
                <c:pt idx="380">
                  <c:v>42871</c:v>
                </c:pt>
                <c:pt idx="381">
                  <c:v>42872</c:v>
                </c:pt>
                <c:pt idx="382">
                  <c:v>42873</c:v>
                </c:pt>
                <c:pt idx="383">
                  <c:v>42874</c:v>
                </c:pt>
                <c:pt idx="384">
                  <c:v>42877</c:v>
                </c:pt>
                <c:pt idx="385">
                  <c:v>42878</c:v>
                </c:pt>
                <c:pt idx="386">
                  <c:v>42879</c:v>
                </c:pt>
                <c:pt idx="387">
                  <c:v>42880</c:v>
                </c:pt>
                <c:pt idx="388">
                  <c:v>42881</c:v>
                </c:pt>
                <c:pt idx="389">
                  <c:v>42885</c:v>
                </c:pt>
                <c:pt idx="390">
                  <c:v>42886</c:v>
                </c:pt>
                <c:pt idx="391">
                  <c:v>42887</c:v>
                </c:pt>
                <c:pt idx="392">
                  <c:v>42888</c:v>
                </c:pt>
                <c:pt idx="393">
                  <c:v>42891</c:v>
                </c:pt>
                <c:pt idx="394">
                  <c:v>42892</c:v>
                </c:pt>
                <c:pt idx="395">
                  <c:v>42893</c:v>
                </c:pt>
                <c:pt idx="396">
                  <c:v>42894</c:v>
                </c:pt>
                <c:pt idx="397">
                  <c:v>42895</c:v>
                </c:pt>
                <c:pt idx="398">
                  <c:v>42898</c:v>
                </c:pt>
                <c:pt idx="399">
                  <c:v>42899</c:v>
                </c:pt>
                <c:pt idx="400">
                  <c:v>42900</c:v>
                </c:pt>
                <c:pt idx="401">
                  <c:v>42901</c:v>
                </c:pt>
                <c:pt idx="402">
                  <c:v>42902</c:v>
                </c:pt>
                <c:pt idx="403">
                  <c:v>42905</c:v>
                </c:pt>
                <c:pt idx="404">
                  <c:v>42906</c:v>
                </c:pt>
                <c:pt idx="405">
                  <c:v>42907</c:v>
                </c:pt>
                <c:pt idx="406">
                  <c:v>42908</c:v>
                </c:pt>
                <c:pt idx="407">
                  <c:v>42909</c:v>
                </c:pt>
                <c:pt idx="408">
                  <c:v>42912</c:v>
                </c:pt>
                <c:pt idx="409">
                  <c:v>42913</c:v>
                </c:pt>
                <c:pt idx="410">
                  <c:v>42914</c:v>
                </c:pt>
                <c:pt idx="411">
                  <c:v>42915</c:v>
                </c:pt>
                <c:pt idx="412">
                  <c:v>42916</c:v>
                </c:pt>
                <c:pt idx="413">
                  <c:v>42919</c:v>
                </c:pt>
                <c:pt idx="414">
                  <c:v>42921</c:v>
                </c:pt>
                <c:pt idx="415">
                  <c:v>42922</c:v>
                </c:pt>
                <c:pt idx="416">
                  <c:v>42923</c:v>
                </c:pt>
                <c:pt idx="417">
                  <c:v>42926</c:v>
                </c:pt>
                <c:pt idx="418">
                  <c:v>42927</c:v>
                </c:pt>
                <c:pt idx="419">
                  <c:v>42928</c:v>
                </c:pt>
                <c:pt idx="420">
                  <c:v>42929</c:v>
                </c:pt>
                <c:pt idx="421">
                  <c:v>42930</c:v>
                </c:pt>
                <c:pt idx="422">
                  <c:v>42933</c:v>
                </c:pt>
                <c:pt idx="423">
                  <c:v>42934</c:v>
                </c:pt>
                <c:pt idx="424">
                  <c:v>42935</c:v>
                </c:pt>
                <c:pt idx="425">
                  <c:v>42936</c:v>
                </c:pt>
                <c:pt idx="426">
                  <c:v>42937</c:v>
                </c:pt>
                <c:pt idx="427">
                  <c:v>42940</c:v>
                </c:pt>
                <c:pt idx="428">
                  <c:v>42941</c:v>
                </c:pt>
                <c:pt idx="429">
                  <c:v>42942</c:v>
                </c:pt>
                <c:pt idx="430">
                  <c:v>42943</c:v>
                </c:pt>
                <c:pt idx="431">
                  <c:v>42944</c:v>
                </c:pt>
                <c:pt idx="432">
                  <c:v>42947</c:v>
                </c:pt>
                <c:pt idx="433">
                  <c:v>42948</c:v>
                </c:pt>
                <c:pt idx="434">
                  <c:v>42949</c:v>
                </c:pt>
                <c:pt idx="435">
                  <c:v>42950</c:v>
                </c:pt>
                <c:pt idx="436">
                  <c:v>42951</c:v>
                </c:pt>
                <c:pt idx="437">
                  <c:v>42954</c:v>
                </c:pt>
                <c:pt idx="438">
                  <c:v>42955</c:v>
                </c:pt>
                <c:pt idx="439">
                  <c:v>42956</c:v>
                </c:pt>
                <c:pt idx="440">
                  <c:v>42957</c:v>
                </c:pt>
                <c:pt idx="441">
                  <c:v>42958</c:v>
                </c:pt>
                <c:pt idx="442">
                  <c:v>42961</c:v>
                </c:pt>
                <c:pt idx="443">
                  <c:v>42962</c:v>
                </c:pt>
                <c:pt idx="444">
                  <c:v>42963</c:v>
                </c:pt>
                <c:pt idx="445">
                  <c:v>42964</c:v>
                </c:pt>
                <c:pt idx="446">
                  <c:v>42965</c:v>
                </c:pt>
                <c:pt idx="447">
                  <c:v>42968</c:v>
                </c:pt>
                <c:pt idx="448">
                  <c:v>42969</c:v>
                </c:pt>
                <c:pt idx="449">
                  <c:v>42970</c:v>
                </c:pt>
                <c:pt idx="450">
                  <c:v>42971</c:v>
                </c:pt>
                <c:pt idx="451">
                  <c:v>42972</c:v>
                </c:pt>
                <c:pt idx="452">
                  <c:v>42975</c:v>
                </c:pt>
                <c:pt idx="453">
                  <c:v>42976</c:v>
                </c:pt>
                <c:pt idx="454">
                  <c:v>42977</c:v>
                </c:pt>
                <c:pt idx="455">
                  <c:v>42978</c:v>
                </c:pt>
                <c:pt idx="456">
                  <c:v>42979</c:v>
                </c:pt>
                <c:pt idx="457">
                  <c:v>42983</c:v>
                </c:pt>
                <c:pt idx="458">
                  <c:v>42984</c:v>
                </c:pt>
                <c:pt idx="459">
                  <c:v>42985</c:v>
                </c:pt>
                <c:pt idx="460">
                  <c:v>42986</c:v>
                </c:pt>
                <c:pt idx="461">
                  <c:v>42989</c:v>
                </c:pt>
                <c:pt idx="462">
                  <c:v>42990</c:v>
                </c:pt>
                <c:pt idx="463">
                  <c:v>42991</c:v>
                </c:pt>
                <c:pt idx="464">
                  <c:v>42992</c:v>
                </c:pt>
                <c:pt idx="465">
                  <c:v>42993</c:v>
                </c:pt>
                <c:pt idx="466">
                  <c:v>42996</c:v>
                </c:pt>
                <c:pt idx="467">
                  <c:v>42997</c:v>
                </c:pt>
                <c:pt idx="468">
                  <c:v>42998</c:v>
                </c:pt>
                <c:pt idx="469">
                  <c:v>42999</c:v>
                </c:pt>
                <c:pt idx="470">
                  <c:v>43000</c:v>
                </c:pt>
                <c:pt idx="471">
                  <c:v>43003</c:v>
                </c:pt>
                <c:pt idx="472">
                  <c:v>43004</c:v>
                </c:pt>
                <c:pt idx="473">
                  <c:v>43005</c:v>
                </c:pt>
                <c:pt idx="474">
                  <c:v>43006</c:v>
                </c:pt>
                <c:pt idx="475">
                  <c:v>43007</c:v>
                </c:pt>
                <c:pt idx="476">
                  <c:v>43010</c:v>
                </c:pt>
                <c:pt idx="477">
                  <c:v>43011</c:v>
                </c:pt>
                <c:pt idx="478">
                  <c:v>43012</c:v>
                </c:pt>
                <c:pt idx="479">
                  <c:v>43013</c:v>
                </c:pt>
                <c:pt idx="480">
                  <c:v>43014</c:v>
                </c:pt>
                <c:pt idx="481">
                  <c:v>43017</c:v>
                </c:pt>
                <c:pt idx="482">
                  <c:v>43018</c:v>
                </c:pt>
                <c:pt idx="483">
                  <c:v>43019</c:v>
                </c:pt>
                <c:pt idx="484">
                  <c:v>43020</c:v>
                </c:pt>
                <c:pt idx="485">
                  <c:v>43021</c:v>
                </c:pt>
                <c:pt idx="486">
                  <c:v>43024</c:v>
                </c:pt>
                <c:pt idx="487">
                  <c:v>43025</c:v>
                </c:pt>
                <c:pt idx="488">
                  <c:v>43026</c:v>
                </c:pt>
                <c:pt idx="489">
                  <c:v>43027</c:v>
                </c:pt>
                <c:pt idx="490">
                  <c:v>43028</c:v>
                </c:pt>
                <c:pt idx="491">
                  <c:v>43031</c:v>
                </c:pt>
                <c:pt idx="492">
                  <c:v>43032</c:v>
                </c:pt>
                <c:pt idx="493">
                  <c:v>43033</c:v>
                </c:pt>
                <c:pt idx="494">
                  <c:v>43034</c:v>
                </c:pt>
                <c:pt idx="495">
                  <c:v>43035</c:v>
                </c:pt>
                <c:pt idx="496">
                  <c:v>43038</c:v>
                </c:pt>
                <c:pt idx="497">
                  <c:v>43039</c:v>
                </c:pt>
                <c:pt idx="498">
                  <c:v>43040</c:v>
                </c:pt>
                <c:pt idx="499">
                  <c:v>43041</c:v>
                </c:pt>
                <c:pt idx="500">
                  <c:v>43042</c:v>
                </c:pt>
                <c:pt idx="501">
                  <c:v>43045</c:v>
                </c:pt>
                <c:pt idx="502">
                  <c:v>43046</c:v>
                </c:pt>
                <c:pt idx="503">
                  <c:v>43047</c:v>
                </c:pt>
                <c:pt idx="504">
                  <c:v>43048</c:v>
                </c:pt>
                <c:pt idx="505">
                  <c:v>43049</c:v>
                </c:pt>
                <c:pt idx="506">
                  <c:v>43052</c:v>
                </c:pt>
                <c:pt idx="507">
                  <c:v>43053</c:v>
                </c:pt>
                <c:pt idx="508">
                  <c:v>43054</c:v>
                </c:pt>
                <c:pt idx="509">
                  <c:v>43055</c:v>
                </c:pt>
                <c:pt idx="510">
                  <c:v>43056</c:v>
                </c:pt>
                <c:pt idx="511">
                  <c:v>43059</c:v>
                </c:pt>
                <c:pt idx="512">
                  <c:v>43060</c:v>
                </c:pt>
                <c:pt idx="513">
                  <c:v>43061</c:v>
                </c:pt>
                <c:pt idx="514">
                  <c:v>43063</c:v>
                </c:pt>
                <c:pt idx="515">
                  <c:v>43066</c:v>
                </c:pt>
                <c:pt idx="516">
                  <c:v>43067</c:v>
                </c:pt>
                <c:pt idx="517">
                  <c:v>43068</c:v>
                </c:pt>
                <c:pt idx="518">
                  <c:v>43069</c:v>
                </c:pt>
                <c:pt idx="519">
                  <c:v>43070</c:v>
                </c:pt>
                <c:pt idx="520">
                  <c:v>43073</c:v>
                </c:pt>
                <c:pt idx="521">
                  <c:v>43074</c:v>
                </c:pt>
                <c:pt idx="522">
                  <c:v>43075</c:v>
                </c:pt>
                <c:pt idx="523">
                  <c:v>43076</c:v>
                </c:pt>
                <c:pt idx="524">
                  <c:v>43077</c:v>
                </c:pt>
                <c:pt idx="525">
                  <c:v>43080</c:v>
                </c:pt>
                <c:pt idx="526">
                  <c:v>43081</c:v>
                </c:pt>
                <c:pt idx="527">
                  <c:v>43082</c:v>
                </c:pt>
                <c:pt idx="528">
                  <c:v>43083</c:v>
                </c:pt>
                <c:pt idx="529">
                  <c:v>43084</c:v>
                </c:pt>
                <c:pt idx="530">
                  <c:v>43087</c:v>
                </c:pt>
                <c:pt idx="531">
                  <c:v>43088</c:v>
                </c:pt>
                <c:pt idx="532">
                  <c:v>43089</c:v>
                </c:pt>
                <c:pt idx="533">
                  <c:v>43090</c:v>
                </c:pt>
                <c:pt idx="534">
                  <c:v>43091</c:v>
                </c:pt>
                <c:pt idx="535">
                  <c:v>43095</c:v>
                </c:pt>
                <c:pt idx="536">
                  <c:v>43096</c:v>
                </c:pt>
                <c:pt idx="537">
                  <c:v>43097</c:v>
                </c:pt>
                <c:pt idx="538">
                  <c:v>43098</c:v>
                </c:pt>
                <c:pt idx="539">
                  <c:v>43102</c:v>
                </c:pt>
                <c:pt idx="540">
                  <c:v>43103</c:v>
                </c:pt>
                <c:pt idx="541">
                  <c:v>43104</c:v>
                </c:pt>
                <c:pt idx="542">
                  <c:v>43105</c:v>
                </c:pt>
                <c:pt idx="543">
                  <c:v>43108</c:v>
                </c:pt>
                <c:pt idx="544">
                  <c:v>43109</c:v>
                </c:pt>
                <c:pt idx="545">
                  <c:v>43110</c:v>
                </c:pt>
                <c:pt idx="546">
                  <c:v>43111</c:v>
                </c:pt>
                <c:pt idx="547">
                  <c:v>43112</c:v>
                </c:pt>
                <c:pt idx="548">
                  <c:v>43116</c:v>
                </c:pt>
                <c:pt idx="549">
                  <c:v>43117</c:v>
                </c:pt>
                <c:pt idx="550">
                  <c:v>43118</c:v>
                </c:pt>
                <c:pt idx="551">
                  <c:v>43119</c:v>
                </c:pt>
                <c:pt idx="552">
                  <c:v>43122</c:v>
                </c:pt>
                <c:pt idx="553">
                  <c:v>43123</c:v>
                </c:pt>
                <c:pt idx="554">
                  <c:v>43124</c:v>
                </c:pt>
                <c:pt idx="555">
                  <c:v>43125</c:v>
                </c:pt>
                <c:pt idx="556">
                  <c:v>43126</c:v>
                </c:pt>
                <c:pt idx="557">
                  <c:v>43129</c:v>
                </c:pt>
                <c:pt idx="558">
                  <c:v>43130</c:v>
                </c:pt>
                <c:pt idx="559">
                  <c:v>43131</c:v>
                </c:pt>
                <c:pt idx="560">
                  <c:v>43132</c:v>
                </c:pt>
                <c:pt idx="561">
                  <c:v>43133</c:v>
                </c:pt>
                <c:pt idx="562">
                  <c:v>43136</c:v>
                </c:pt>
                <c:pt idx="563">
                  <c:v>43137</c:v>
                </c:pt>
                <c:pt idx="564">
                  <c:v>43138</c:v>
                </c:pt>
                <c:pt idx="565">
                  <c:v>43139</c:v>
                </c:pt>
                <c:pt idx="566">
                  <c:v>43140</c:v>
                </c:pt>
                <c:pt idx="567">
                  <c:v>43143</c:v>
                </c:pt>
                <c:pt idx="568">
                  <c:v>43144</c:v>
                </c:pt>
                <c:pt idx="569">
                  <c:v>43145</c:v>
                </c:pt>
                <c:pt idx="570">
                  <c:v>43146</c:v>
                </c:pt>
                <c:pt idx="571">
                  <c:v>43147</c:v>
                </c:pt>
                <c:pt idx="572">
                  <c:v>43151</c:v>
                </c:pt>
                <c:pt idx="573">
                  <c:v>43152</c:v>
                </c:pt>
                <c:pt idx="574">
                  <c:v>43153</c:v>
                </c:pt>
                <c:pt idx="575">
                  <c:v>43154</c:v>
                </c:pt>
                <c:pt idx="576">
                  <c:v>43157</c:v>
                </c:pt>
                <c:pt idx="577">
                  <c:v>43158</c:v>
                </c:pt>
                <c:pt idx="578">
                  <c:v>43159</c:v>
                </c:pt>
                <c:pt idx="579">
                  <c:v>43160</c:v>
                </c:pt>
                <c:pt idx="580">
                  <c:v>43161</c:v>
                </c:pt>
                <c:pt idx="581">
                  <c:v>43164</c:v>
                </c:pt>
                <c:pt idx="582">
                  <c:v>43165</c:v>
                </c:pt>
                <c:pt idx="583">
                  <c:v>43166</c:v>
                </c:pt>
                <c:pt idx="584">
                  <c:v>43167</c:v>
                </c:pt>
                <c:pt idx="585">
                  <c:v>43168</c:v>
                </c:pt>
                <c:pt idx="586">
                  <c:v>43171</c:v>
                </c:pt>
                <c:pt idx="587">
                  <c:v>43172</c:v>
                </c:pt>
                <c:pt idx="588">
                  <c:v>43173</c:v>
                </c:pt>
                <c:pt idx="589">
                  <c:v>43174</c:v>
                </c:pt>
                <c:pt idx="590">
                  <c:v>43175</c:v>
                </c:pt>
                <c:pt idx="591">
                  <c:v>43178</c:v>
                </c:pt>
                <c:pt idx="592">
                  <c:v>43179</c:v>
                </c:pt>
                <c:pt idx="593">
                  <c:v>43180</c:v>
                </c:pt>
                <c:pt idx="594">
                  <c:v>43181</c:v>
                </c:pt>
                <c:pt idx="595">
                  <c:v>43182</c:v>
                </c:pt>
                <c:pt idx="596">
                  <c:v>43185</c:v>
                </c:pt>
                <c:pt idx="597">
                  <c:v>43186</c:v>
                </c:pt>
                <c:pt idx="598">
                  <c:v>43187</c:v>
                </c:pt>
                <c:pt idx="599">
                  <c:v>43188</c:v>
                </c:pt>
                <c:pt idx="600">
                  <c:v>43192</c:v>
                </c:pt>
                <c:pt idx="601">
                  <c:v>43193</c:v>
                </c:pt>
                <c:pt idx="602">
                  <c:v>43194</c:v>
                </c:pt>
                <c:pt idx="603">
                  <c:v>43195</c:v>
                </c:pt>
                <c:pt idx="604">
                  <c:v>43196</c:v>
                </c:pt>
                <c:pt idx="605">
                  <c:v>43199</c:v>
                </c:pt>
                <c:pt idx="606">
                  <c:v>43200</c:v>
                </c:pt>
                <c:pt idx="607">
                  <c:v>43201</c:v>
                </c:pt>
                <c:pt idx="608">
                  <c:v>43202</c:v>
                </c:pt>
                <c:pt idx="609">
                  <c:v>43203</c:v>
                </c:pt>
                <c:pt idx="610">
                  <c:v>43206</c:v>
                </c:pt>
                <c:pt idx="611">
                  <c:v>43207</c:v>
                </c:pt>
                <c:pt idx="612">
                  <c:v>43208</c:v>
                </c:pt>
                <c:pt idx="613">
                  <c:v>43209</c:v>
                </c:pt>
                <c:pt idx="614">
                  <c:v>43210</c:v>
                </c:pt>
                <c:pt idx="615">
                  <c:v>43213</c:v>
                </c:pt>
                <c:pt idx="616">
                  <c:v>43214</c:v>
                </c:pt>
                <c:pt idx="617">
                  <c:v>43215</c:v>
                </c:pt>
                <c:pt idx="618">
                  <c:v>43216</c:v>
                </c:pt>
                <c:pt idx="619">
                  <c:v>43217</c:v>
                </c:pt>
                <c:pt idx="620">
                  <c:v>43220</c:v>
                </c:pt>
                <c:pt idx="621">
                  <c:v>43221</c:v>
                </c:pt>
                <c:pt idx="622">
                  <c:v>43222</c:v>
                </c:pt>
                <c:pt idx="623">
                  <c:v>43223</c:v>
                </c:pt>
                <c:pt idx="624">
                  <c:v>43224</c:v>
                </c:pt>
                <c:pt idx="625">
                  <c:v>43227</c:v>
                </c:pt>
                <c:pt idx="626">
                  <c:v>43228</c:v>
                </c:pt>
                <c:pt idx="627">
                  <c:v>43229</c:v>
                </c:pt>
                <c:pt idx="628">
                  <c:v>43230</c:v>
                </c:pt>
                <c:pt idx="629">
                  <c:v>43231</c:v>
                </c:pt>
                <c:pt idx="630">
                  <c:v>43234</c:v>
                </c:pt>
                <c:pt idx="631">
                  <c:v>43235</c:v>
                </c:pt>
                <c:pt idx="632">
                  <c:v>43236</c:v>
                </c:pt>
                <c:pt idx="633">
                  <c:v>43237</c:v>
                </c:pt>
                <c:pt idx="634">
                  <c:v>43238</c:v>
                </c:pt>
                <c:pt idx="635">
                  <c:v>43241</c:v>
                </c:pt>
                <c:pt idx="636">
                  <c:v>43242</c:v>
                </c:pt>
                <c:pt idx="637">
                  <c:v>43243</c:v>
                </c:pt>
                <c:pt idx="638">
                  <c:v>43244</c:v>
                </c:pt>
                <c:pt idx="639">
                  <c:v>43245</c:v>
                </c:pt>
                <c:pt idx="640">
                  <c:v>43249</c:v>
                </c:pt>
                <c:pt idx="641">
                  <c:v>43250</c:v>
                </c:pt>
                <c:pt idx="642">
                  <c:v>43251</c:v>
                </c:pt>
                <c:pt idx="643">
                  <c:v>43252</c:v>
                </c:pt>
                <c:pt idx="644">
                  <c:v>43255</c:v>
                </c:pt>
                <c:pt idx="645">
                  <c:v>43256</c:v>
                </c:pt>
                <c:pt idx="646">
                  <c:v>43257</c:v>
                </c:pt>
                <c:pt idx="647">
                  <c:v>43258</c:v>
                </c:pt>
                <c:pt idx="648">
                  <c:v>43259</c:v>
                </c:pt>
                <c:pt idx="649">
                  <c:v>43262</c:v>
                </c:pt>
                <c:pt idx="650">
                  <c:v>43263</c:v>
                </c:pt>
                <c:pt idx="651">
                  <c:v>43264</c:v>
                </c:pt>
                <c:pt idx="652">
                  <c:v>43265</c:v>
                </c:pt>
                <c:pt idx="653">
                  <c:v>43266</c:v>
                </c:pt>
                <c:pt idx="654">
                  <c:v>43269</c:v>
                </c:pt>
                <c:pt idx="655">
                  <c:v>43270</c:v>
                </c:pt>
                <c:pt idx="656">
                  <c:v>43271</c:v>
                </c:pt>
                <c:pt idx="657">
                  <c:v>43272</c:v>
                </c:pt>
                <c:pt idx="658">
                  <c:v>43273</c:v>
                </c:pt>
                <c:pt idx="659">
                  <c:v>43276</c:v>
                </c:pt>
                <c:pt idx="660">
                  <c:v>43277</c:v>
                </c:pt>
                <c:pt idx="661">
                  <c:v>43278</c:v>
                </c:pt>
                <c:pt idx="662">
                  <c:v>43279</c:v>
                </c:pt>
                <c:pt idx="663">
                  <c:v>43280</c:v>
                </c:pt>
                <c:pt idx="664">
                  <c:v>43283</c:v>
                </c:pt>
                <c:pt idx="665">
                  <c:v>43284</c:v>
                </c:pt>
                <c:pt idx="666">
                  <c:v>43286</c:v>
                </c:pt>
                <c:pt idx="667">
                  <c:v>43287</c:v>
                </c:pt>
                <c:pt idx="668">
                  <c:v>43290</c:v>
                </c:pt>
                <c:pt idx="669">
                  <c:v>43291</c:v>
                </c:pt>
                <c:pt idx="670">
                  <c:v>43292</c:v>
                </c:pt>
                <c:pt idx="671">
                  <c:v>43293</c:v>
                </c:pt>
                <c:pt idx="672">
                  <c:v>43294</c:v>
                </c:pt>
                <c:pt idx="673">
                  <c:v>43297</c:v>
                </c:pt>
                <c:pt idx="674">
                  <c:v>43298</c:v>
                </c:pt>
                <c:pt idx="675">
                  <c:v>43299</c:v>
                </c:pt>
                <c:pt idx="676">
                  <c:v>43300</c:v>
                </c:pt>
                <c:pt idx="677">
                  <c:v>43301</c:v>
                </c:pt>
                <c:pt idx="678">
                  <c:v>43304</c:v>
                </c:pt>
                <c:pt idx="679">
                  <c:v>43305</c:v>
                </c:pt>
                <c:pt idx="680">
                  <c:v>43306</c:v>
                </c:pt>
                <c:pt idx="681">
                  <c:v>43307</c:v>
                </c:pt>
                <c:pt idx="682">
                  <c:v>43308</c:v>
                </c:pt>
                <c:pt idx="683">
                  <c:v>43311</c:v>
                </c:pt>
                <c:pt idx="684">
                  <c:v>43312</c:v>
                </c:pt>
                <c:pt idx="685">
                  <c:v>43313</c:v>
                </c:pt>
                <c:pt idx="686">
                  <c:v>43314</c:v>
                </c:pt>
                <c:pt idx="687">
                  <c:v>43315</c:v>
                </c:pt>
                <c:pt idx="688">
                  <c:v>43318</c:v>
                </c:pt>
                <c:pt idx="689">
                  <c:v>43319</c:v>
                </c:pt>
                <c:pt idx="690">
                  <c:v>43320</c:v>
                </c:pt>
                <c:pt idx="691">
                  <c:v>43321</c:v>
                </c:pt>
                <c:pt idx="692">
                  <c:v>43322</c:v>
                </c:pt>
                <c:pt idx="693">
                  <c:v>43325</c:v>
                </c:pt>
                <c:pt idx="694">
                  <c:v>43326</c:v>
                </c:pt>
                <c:pt idx="695">
                  <c:v>43327</c:v>
                </c:pt>
                <c:pt idx="696">
                  <c:v>43328</c:v>
                </c:pt>
                <c:pt idx="697">
                  <c:v>43329</c:v>
                </c:pt>
                <c:pt idx="698">
                  <c:v>43332</c:v>
                </c:pt>
                <c:pt idx="699">
                  <c:v>43333</c:v>
                </c:pt>
                <c:pt idx="700">
                  <c:v>43334</c:v>
                </c:pt>
                <c:pt idx="701">
                  <c:v>43335</c:v>
                </c:pt>
                <c:pt idx="702">
                  <c:v>43336</c:v>
                </c:pt>
                <c:pt idx="703">
                  <c:v>43339</c:v>
                </c:pt>
                <c:pt idx="704">
                  <c:v>43340</c:v>
                </c:pt>
                <c:pt idx="705">
                  <c:v>43341</c:v>
                </c:pt>
                <c:pt idx="706">
                  <c:v>43342</c:v>
                </c:pt>
                <c:pt idx="707">
                  <c:v>43343</c:v>
                </c:pt>
                <c:pt idx="708">
                  <c:v>43347</c:v>
                </c:pt>
                <c:pt idx="709">
                  <c:v>43348</c:v>
                </c:pt>
                <c:pt idx="710">
                  <c:v>43349</c:v>
                </c:pt>
                <c:pt idx="711">
                  <c:v>43350</c:v>
                </c:pt>
                <c:pt idx="712">
                  <c:v>43353</c:v>
                </c:pt>
                <c:pt idx="713">
                  <c:v>43354</c:v>
                </c:pt>
                <c:pt idx="714">
                  <c:v>43355</c:v>
                </c:pt>
                <c:pt idx="715">
                  <c:v>43356</c:v>
                </c:pt>
                <c:pt idx="716">
                  <c:v>43357</c:v>
                </c:pt>
                <c:pt idx="717">
                  <c:v>43360</c:v>
                </c:pt>
                <c:pt idx="718">
                  <c:v>43361</c:v>
                </c:pt>
                <c:pt idx="719">
                  <c:v>43362</c:v>
                </c:pt>
                <c:pt idx="720">
                  <c:v>43363</c:v>
                </c:pt>
                <c:pt idx="721">
                  <c:v>43364</c:v>
                </c:pt>
                <c:pt idx="722">
                  <c:v>43367</c:v>
                </c:pt>
                <c:pt idx="723">
                  <c:v>43368</c:v>
                </c:pt>
                <c:pt idx="724">
                  <c:v>43369</c:v>
                </c:pt>
                <c:pt idx="725">
                  <c:v>43370</c:v>
                </c:pt>
                <c:pt idx="726">
                  <c:v>43371</c:v>
                </c:pt>
                <c:pt idx="727">
                  <c:v>43374</c:v>
                </c:pt>
                <c:pt idx="728">
                  <c:v>43375</c:v>
                </c:pt>
                <c:pt idx="729">
                  <c:v>43376</c:v>
                </c:pt>
                <c:pt idx="730">
                  <c:v>43377</c:v>
                </c:pt>
                <c:pt idx="731">
                  <c:v>43378</c:v>
                </c:pt>
                <c:pt idx="732">
                  <c:v>43381</c:v>
                </c:pt>
                <c:pt idx="733">
                  <c:v>43382</c:v>
                </c:pt>
                <c:pt idx="734">
                  <c:v>43383</c:v>
                </c:pt>
                <c:pt idx="735">
                  <c:v>43384</c:v>
                </c:pt>
                <c:pt idx="736">
                  <c:v>43385</c:v>
                </c:pt>
                <c:pt idx="737">
                  <c:v>43388</c:v>
                </c:pt>
              </c:numCache>
            </c:numRef>
          </c:xVal>
          <c:yVal>
            <c:numRef>
              <c:f>'tesla-stock-price (2)'!$C$21:$C$758</c:f>
              <c:numCache>
                <c:formatCode>General</c:formatCode>
                <c:ptCount val="738"/>
                <c:pt idx="0">
                  <c:v>0.59000000000000341</c:v>
                </c:pt>
                <c:pt idx="1">
                  <c:v>-7.0300000000000011</c:v>
                </c:pt>
                <c:pt idx="2">
                  <c:v>-8.8300000000000125</c:v>
                </c:pt>
                <c:pt idx="3">
                  <c:v>2.5800000000000125</c:v>
                </c:pt>
                <c:pt idx="4">
                  <c:v>-6.1400000000000148</c:v>
                </c:pt>
                <c:pt idx="5">
                  <c:v>-5.75</c:v>
                </c:pt>
                <c:pt idx="6">
                  <c:v>7.1200000000000045</c:v>
                </c:pt>
                <c:pt idx="7">
                  <c:v>-0.31000000000000227</c:v>
                </c:pt>
                <c:pt idx="8">
                  <c:v>7.0699999999999932</c:v>
                </c:pt>
                <c:pt idx="9">
                  <c:v>0.73000000000001819</c:v>
                </c:pt>
                <c:pt idx="10">
                  <c:v>-1.7900000000000205</c:v>
                </c:pt>
                <c:pt idx="11">
                  <c:v>-2.2599999999999909</c:v>
                </c:pt>
                <c:pt idx="12">
                  <c:v>0.5</c:v>
                </c:pt>
                <c:pt idx="13">
                  <c:v>11.389999999999986</c:v>
                </c:pt>
                <c:pt idx="14">
                  <c:v>1.9700000000000273</c:v>
                </c:pt>
                <c:pt idx="15">
                  <c:v>-1.3500000000000227</c:v>
                </c:pt>
                <c:pt idx="16">
                  <c:v>6.9300000000000068</c:v>
                </c:pt>
                <c:pt idx="17">
                  <c:v>-5.1999999999999886</c:v>
                </c:pt>
                <c:pt idx="18">
                  <c:v>0.71999999999999886</c:v>
                </c:pt>
                <c:pt idx="19">
                  <c:v>-2.3300000000000125</c:v>
                </c:pt>
                <c:pt idx="20">
                  <c:v>0.75</c:v>
                </c:pt>
                <c:pt idx="21">
                  <c:v>-4.4099999999999966</c:v>
                </c:pt>
                <c:pt idx="22">
                  <c:v>-2.1999999999999886</c:v>
                </c:pt>
                <c:pt idx="23">
                  <c:v>2.5499999999999829</c:v>
                </c:pt>
                <c:pt idx="24">
                  <c:v>-10.049999999999983</c:v>
                </c:pt>
                <c:pt idx="25">
                  <c:v>1.5600000000000023</c:v>
                </c:pt>
                <c:pt idx="26">
                  <c:v>2.5099999999999909</c:v>
                </c:pt>
                <c:pt idx="27">
                  <c:v>13.419999999999987</c:v>
                </c:pt>
                <c:pt idx="28">
                  <c:v>-1.1200000000000045</c:v>
                </c:pt>
                <c:pt idx="29">
                  <c:v>-2.9299999999999784</c:v>
                </c:pt>
                <c:pt idx="30">
                  <c:v>2.0999999999999943</c:v>
                </c:pt>
                <c:pt idx="31">
                  <c:v>-2.6100000000000136</c:v>
                </c:pt>
                <c:pt idx="32">
                  <c:v>-0.25</c:v>
                </c:pt>
                <c:pt idx="33">
                  <c:v>0.87000000000000455</c:v>
                </c:pt>
                <c:pt idx="34">
                  <c:v>-1.6200000000000045</c:v>
                </c:pt>
                <c:pt idx="35">
                  <c:v>8.2400000000000091</c:v>
                </c:pt>
                <c:pt idx="36">
                  <c:v>0.90000000000000568</c:v>
                </c:pt>
                <c:pt idx="37">
                  <c:v>1.9199999999999875</c:v>
                </c:pt>
                <c:pt idx="38">
                  <c:v>-16.599999999999994</c:v>
                </c:pt>
                <c:pt idx="39">
                  <c:v>2.0000000000010232E-2</c:v>
                </c:pt>
                <c:pt idx="40">
                  <c:v>-4.3900000000000148</c:v>
                </c:pt>
                <c:pt idx="41">
                  <c:v>-3.3899999999999864</c:v>
                </c:pt>
                <c:pt idx="42">
                  <c:v>-4.6500000000000057</c:v>
                </c:pt>
                <c:pt idx="43">
                  <c:v>-3.1500000000000057</c:v>
                </c:pt>
                <c:pt idx="44">
                  <c:v>2.1200000000000045</c:v>
                </c:pt>
                <c:pt idx="45">
                  <c:v>-9.6599999999999966</c:v>
                </c:pt>
                <c:pt idx="46">
                  <c:v>5.8700000000000045</c:v>
                </c:pt>
                <c:pt idx="47">
                  <c:v>-1.1899999999999977</c:v>
                </c:pt>
                <c:pt idx="48">
                  <c:v>-0.27000000000001023</c:v>
                </c:pt>
                <c:pt idx="49">
                  <c:v>-6.0200000000000102</c:v>
                </c:pt>
                <c:pt idx="50">
                  <c:v>1.2700000000000102</c:v>
                </c:pt>
                <c:pt idx="51">
                  <c:v>2.5800000000000125</c:v>
                </c:pt>
                <c:pt idx="52">
                  <c:v>-6.1700000000000159</c:v>
                </c:pt>
                <c:pt idx="53">
                  <c:v>-2.8199999999999932</c:v>
                </c:pt>
                <c:pt idx="54">
                  <c:v>-5.4900000000000091</c:v>
                </c:pt>
                <c:pt idx="55">
                  <c:v>1.6299999999999955</c:v>
                </c:pt>
                <c:pt idx="56">
                  <c:v>1.5</c:v>
                </c:pt>
                <c:pt idx="57">
                  <c:v>5.7400000000000091</c:v>
                </c:pt>
                <c:pt idx="58">
                  <c:v>-14.159999999999997</c:v>
                </c:pt>
                <c:pt idx="59">
                  <c:v>-9.3000000000000114</c:v>
                </c:pt>
                <c:pt idx="60">
                  <c:v>1.8500000000000227</c:v>
                </c:pt>
                <c:pt idx="61">
                  <c:v>-12.730000000000018</c:v>
                </c:pt>
                <c:pt idx="62">
                  <c:v>-14.609999999999985</c:v>
                </c:pt>
                <c:pt idx="63">
                  <c:v>0.25999999999999091</c:v>
                </c:pt>
                <c:pt idx="64">
                  <c:v>-4.5800000000000125</c:v>
                </c:pt>
                <c:pt idx="65">
                  <c:v>6.8000000000000114</c:v>
                </c:pt>
                <c:pt idx="66">
                  <c:v>0.56999999999999318</c:v>
                </c:pt>
                <c:pt idx="67">
                  <c:v>4.1299999999999955</c:v>
                </c:pt>
                <c:pt idx="68">
                  <c:v>13.510000000000019</c:v>
                </c:pt>
                <c:pt idx="69">
                  <c:v>-1.9099999999999966</c:v>
                </c:pt>
                <c:pt idx="70">
                  <c:v>-0.18999999999999773</c:v>
                </c:pt>
                <c:pt idx="71">
                  <c:v>11.159999999999997</c:v>
                </c:pt>
                <c:pt idx="72">
                  <c:v>-0.53000000000000114</c:v>
                </c:pt>
                <c:pt idx="73">
                  <c:v>1.789999999999992</c:v>
                </c:pt>
                <c:pt idx="74">
                  <c:v>8.4300000000000068</c:v>
                </c:pt>
                <c:pt idx="75">
                  <c:v>2.9099999999999966</c:v>
                </c:pt>
                <c:pt idx="76">
                  <c:v>1.5900000000000034</c:v>
                </c:pt>
                <c:pt idx="77">
                  <c:v>-5.5800000000000125</c:v>
                </c:pt>
                <c:pt idx="78">
                  <c:v>1.9900000000000091</c:v>
                </c:pt>
                <c:pt idx="79">
                  <c:v>7.4000000000000057</c:v>
                </c:pt>
                <c:pt idx="80">
                  <c:v>5.2999999999999829</c:v>
                </c:pt>
                <c:pt idx="81">
                  <c:v>4.25</c:v>
                </c:pt>
                <c:pt idx="82">
                  <c:v>-2.6899999999999977</c:v>
                </c:pt>
                <c:pt idx="83">
                  <c:v>6.1200000000000045</c:v>
                </c:pt>
                <c:pt idx="84">
                  <c:v>-3.539999999999992</c:v>
                </c:pt>
                <c:pt idx="85">
                  <c:v>2.3199999999999932</c:v>
                </c:pt>
                <c:pt idx="86">
                  <c:v>7.6500000000000057</c:v>
                </c:pt>
                <c:pt idx="87">
                  <c:v>3.1899999999999977</c:v>
                </c:pt>
                <c:pt idx="88">
                  <c:v>3.5900000000000034</c:v>
                </c:pt>
                <c:pt idx="89">
                  <c:v>4.4499999999999886</c:v>
                </c:pt>
                <c:pt idx="90">
                  <c:v>6.3600000000000136</c:v>
                </c:pt>
                <c:pt idx="91">
                  <c:v>5.5799999999999841</c:v>
                </c:pt>
                <c:pt idx="92">
                  <c:v>-4.0799999999999841</c:v>
                </c:pt>
                <c:pt idx="93">
                  <c:v>-11.659999999999997</c:v>
                </c:pt>
                <c:pt idx="94">
                  <c:v>5.1699999999999875</c:v>
                </c:pt>
                <c:pt idx="95">
                  <c:v>2.5099999999999909</c:v>
                </c:pt>
                <c:pt idx="96">
                  <c:v>-0.12999999999999545</c:v>
                </c:pt>
                <c:pt idx="97">
                  <c:v>-3.2400000000000091</c:v>
                </c:pt>
                <c:pt idx="98">
                  <c:v>2.8800000000000239</c:v>
                </c:pt>
                <c:pt idx="99">
                  <c:v>7.8199999999999932</c:v>
                </c:pt>
                <c:pt idx="100">
                  <c:v>9.4000000000000057</c:v>
                </c:pt>
                <c:pt idx="101">
                  <c:v>8.4799999999999898</c:v>
                </c:pt>
                <c:pt idx="102">
                  <c:v>9.9500000000000171</c:v>
                </c:pt>
                <c:pt idx="103">
                  <c:v>-8.2200000000000273</c:v>
                </c:pt>
                <c:pt idx="104">
                  <c:v>-7.1299999999999955</c:v>
                </c:pt>
                <c:pt idx="105">
                  <c:v>-0.15000000000000568</c:v>
                </c:pt>
                <c:pt idx="106">
                  <c:v>-2.0999999999999943</c:v>
                </c:pt>
                <c:pt idx="107">
                  <c:v>6.710000000000008</c:v>
                </c:pt>
                <c:pt idx="108">
                  <c:v>-2.6699999999999875</c:v>
                </c:pt>
                <c:pt idx="109">
                  <c:v>2.6499999999999773</c:v>
                </c:pt>
                <c:pt idx="110">
                  <c:v>-0.62999999999999545</c:v>
                </c:pt>
                <c:pt idx="111">
                  <c:v>-6.5099999999999909</c:v>
                </c:pt>
                <c:pt idx="112">
                  <c:v>2.5999999999999943</c:v>
                </c:pt>
                <c:pt idx="113">
                  <c:v>-1.6800000000000068</c:v>
                </c:pt>
                <c:pt idx="114">
                  <c:v>5.460000000000008</c:v>
                </c:pt>
                <c:pt idx="115">
                  <c:v>-1.9300000000000068</c:v>
                </c:pt>
                <c:pt idx="116">
                  <c:v>1.9200000000000159</c:v>
                </c:pt>
                <c:pt idx="117">
                  <c:v>-2.2700000000000102</c:v>
                </c:pt>
                <c:pt idx="118">
                  <c:v>-3.7599999999999909</c:v>
                </c:pt>
                <c:pt idx="119">
                  <c:v>-6.9500000000000171</c:v>
                </c:pt>
                <c:pt idx="120">
                  <c:v>1.0400000000000205</c:v>
                </c:pt>
                <c:pt idx="121">
                  <c:v>-9.4800000000000182</c:v>
                </c:pt>
                <c:pt idx="122">
                  <c:v>-9.7599999999999909</c:v>
                </c:pt>
                <c:pt idx="123">
                  <c:v>-11.030000000000001</c:v>
                </c:pt>
                <c:pt idx="124">
                  <c:v>3.4000000000000057</c:v>
                </c:pt>
                <c:pt idx="125">
                  <c:v>-6.0100000000000193</c:v>
                </c:pt>
                <c:pt idx="126">
                  <c:v>-0.22999999999998977</c:v>
                </c:pt>
                <c:pt idx="127">
                  <c:v>0.27000000000001023</c:v>
                </c:pt>
                <c:pt idx="128">
                  <c:v>-1.6800000000000068</c:v>
                </c:pt>
                <c:pt idx="129">
                  <c:v>0.33000000000001251</c:v>
                </c:pt>
                <c:pt idx="130">
                  <c:v>0.6799999999999784</c:v>
                </c:pt>
                <c:pt idx="131">
                  <c:v>-3.6299999999999955</c:v>
                </c:pt>
                <c:pt idx="132">
                  <c:v>6.5099999999999909</c:v>
                </c:pt>
                <c:pt idx="133">
                  <c:v>4.0400000000000205</c:v>
                </c:pt>
                <c:pt idx="134">
                  <c:v>5.0699999999999932</c:v>
                </c:pt>
                <c:pt idx="135">
                  <c:v>-4.0600000000000023</c:v>
                </c:pt>
                <c:pt idx="136">
                  <c:v>1.6899999999999977</c:v>
                </c:pt>
                <c:pt idx="137">
                  <c:v>1.6700000000000159</c:v>
                </c:pt>
                <c:pt idx="138">
                  <c:v>5.539999999999992</c:v>
                </c:pt>
                <c:pt idx="139">
                  <c:v>-2.0800000000000125</c:v>
                </c:pt>
                <c:pt idx="140">
                  <c:v>0.18999999999999773</c:v>
                </c:pt>
                <c:pt idx="141">
                  <c:v>-3.6699999999999875</c:v>
                </c:pt>
                <c:pt idx="142">
                  <c:v>-0.59999999999999432</c:v>
                </c:pt>
                <c:pt idx="143">
                  <c:v>3.0000000000001137E-2</c:v>
                </c:pt>
                <c:pt idx="144">
                  <c:v>1.6899999999999977</c:v>
                </c:pt>
                <c:pt idx="145">
                  <c:v>11.659999999999997</c:v>
                </c:pt>
                <c:pt idx="146">
                  <c:v>3.1800000000000068</c:v>
                </c:pt>
                <c:pt idx="147">
                  <c:v>-6.1599999999999966</c:v>
                </c:pt>
                <c:pt idx="148">
                  <c:v>-10.570000000000022</c:v>
                </c:pt>
                <c:pt idx="149">
                  <c:v>-0.91999999999998749</c:v>
                </c:pt>
                <c:pt idx="150">
                  <c:v>-2.9099999999999966</c:v>
                </c:pt>
                <c:pt idx="151">
                  <c:v>2.7399999999999807</c:v>
                </c:pt>
                <c:pt idx="152">
                  <c:v>0.23000000000001819</c:v>
                </c:pt>
                <c:pt idx="153">
                  <c:v>-2.460000000000008</c:v>
                </c:pt>
                <c:pt idx="154">
                  <c:v>4.2299999999999898</c:v>
                </c:pt>
                <c:pt idx="155">
                  <c:v>-8.9999999999974989E-2</c:v>
                </c:pt>
                <c:pt idx="156">
                  <c:v>-22.950000000000017</c:v>
                </c:pt>
                <c:pt idx="157">
                  <c:v>-0.25999999999999091</c:v>
                </c:pt>
                <c:pt idx="158">
                  <c:v>-3.25</c:v>
                </c:pt>
                <c:pt idx="159">
                  <c:v>5.4000000000000057</c:v>
                </c:pt>
                <c:pt idx="160">
                  <c:v>3.2399999999999807</c:v>
                </c:pt>
                <c:pt idx="161">
                  <c:v>8.4000000000000057</c:v>
                </c:pt>
                <c:pt idx="162">
                  <c:v>2.0900000000000034</c:v>
                </c:pt>
                <c:pt idx="163">
                  <c:v>4.2199999999999989</c:v>
                </c:pt>
                <c:pt idx="164">
                  <c:v>-2.5200000000000102</c:v>
                </c:pt>
                <c:pt idx="165">
                  <c:v>0.46000000000000796</c:v>
                </c:pt>
                <c:pt idx="166">
                  <c:v>1.5</c:v>
                </c:pt>
                <c:pt idx="167">
                  <c:v>0.84000000000000341</c:v>
                </c:pt>
                <c:pt idx="168">
                  <c:v>8</c:v>
                </c:pt>
                <c:pt idx="169">
                  <c:v>-0.12999999999999545</c:v>
                </c:pt>
                <c:pt idx="170">
                  <c:v>-2.1200000000000045</c:v>
                </c:pt>
                <c:pt idx="171">
                  <c:v>-1</c:v>
                </c:pt>
                <c:pt idx="172">
                  <c:v>-1.1299999999999955</c:v>
                </c:pt>
                <c:pt idx="173">
                  <c:v>5.8499999999999943</c:v>
                </c:pt>
                <c:pt idx="174">
                  <c:v>-0.99000000000000909</c:v>
                </c:pt>
                <c:pt idx="175">
                  <c:v>3.1000000000000227</c:v>
                </c:pt>
                <c:pt idx="176">
                  <c:v>-7.8600000000000136</c:v>
                </c:pt>
                <c:pt idx="177">
                  <c:v>1.7700000000000102</c:v>
                </c:pt>
                <c:pt idx="178">
                  <c:v>7.7399999999999807</c:v>
                </c:pt>
                <c:pt idx="179">
                  <c:v>-0.5</c:v>
                </c:pt>
                <c:pt idx="180">
                  <c:v>-1.0199999999999818</c:v>
                </c:pt>
                <c:pt idx="181">
                  <c:v>2.1200000000000045</c:v>
                </c:pt>
                <c:pt idx="182">
                  <c:v>4.1799999999999784</c:v>
                </c:pt>
                <c:pt idx="183">
                  <c:v>-4.7800000000000011</c:v>
                </c:pt>
                <c:pt idx="184">
                  <c:v>-2.8100000000000023</c:v>
                </c:pt>
                <c:pt idx="185">
                  <c:v>-1.4099999999999966</c:v>
                </c:pt>
                <c:pt idx="186">
                  <c:v>4.8200000000000216</c:v>
                </c:pt>
                <c:pt idx="187">
                  <c:v>-0.58000000000001251</c:v>
                </c:pt>
                <c:pt idx="188">
                  <c:v>-3.8700000000000045</c:v>
                </c:pt>
                <c:pt idx="189">
                  <c:v>2.9200000000000159</c:v>
                </c:pt>
                <c:pt idx="190">
                  <c:v>-3.4300000000000068</c:v>
                </c:pt>
                <c:pt idx="191">
                  <c:v>-0.74000000000000909</c:v>
                </c:pt>
                <c:pt idx="192">
                  <c:v>0.70000000000001705</c:v>
                </c:pt>
                <c:pt idx="193">
                  <c:v>-2.0000000000010232E-2</c:v>
                </c:pt>
                <c:pt idx="194">
                  <c:v>-1.9799999999999898</c:v>
                </c:pt>
                <c:pt idx="195">
                  <c:v>-0.37000000000000455</c:v>
                </c:pt>
                <c:pt idx="196">
                  <c:v>0.26999999999998181</c:v>
                </c:pt>
                <c:pt idx="197">
                  <c:v>1.4900000000000091</c:v>
                </c:pt>
                <c:pt idx="198">
                  <c:v>-2.0699999999999932</c:v>
                </c:pt>
                <c:pt idx="199">
                  <c:v>1.9099999999999966</c:v>
                </c:pt>
                <c:pt idx="200">
                  <c:v>-2.2199999999999989</c:v>
                </c:pt>
                <c:pt idx="201">
                  <c:v>-1.6599999999999966</c:v>
                </c:pt>
                <c:pt idx="202">
                  <c:v>-0.96999999999999886</c:v>
                </c:pt>
                <c:pt idx="203">
                  <c:v>-4.7900000000000205</c:v>
                </c:pt>
                <c:pt idx="204">
                  <c:v>-3.8599999999999852</c:v>
                </c:pt>
                <c:pt idx="205">
                  <c:v>0.66999999999998749</c:v>
                </c:pt>
                <c:pt idx="206">
                  <c:v>-11.239999999999981</c:v>
                </c:pt>
                <c:pt idx="207">
                  <c:v>-2.9900000000000091</c:v>
                </c:pt>
                <c:pt idx="208">
                  <c:v>5.0500000000000114</c:v>
                </c:pt>
                <c:pt idx="209">
                  <c:v>-1.1200000000000045</c:v>
                </c:pt>
                <c:pt idx="210">
                  <c:v>-4.3499999999999943</c:v>
                </c:pt>
                <c:pt idx="211">
                  <c:v>-2.8900000000000148</c:v>
                </c:pt>
                <c:pt idx="212">
                  <c:v>3.8300000000000125</c:v>
                </c:pt>
                <c:pt idx="213">
                  <c:v>-2.25</c:v>
                </c:pt>
                <c:pt idx="214">
                  <c:v>0.35999999999998522</c:v>
                </c:pt>
                <c:pt idx="215">
                  <c:v>4.0099999999999909</c:v>
                </c:pt>
                <c:pt idx="216">
                  <c:v>4.9800000000000182</c:v>
                </c:pt>
                <c:pt idx="217">
                  <c:v>0.93999999999999773</c:v>
                </c:pt>
                <c:pt idx="218">
                  <c:v>-1.7000000000000171</c:v>
                </c:pt>
                <c:pt idx="219">
                  <c:v>0.58000000000001251</c:v>
                </c:pt>
                <c:pt idx="220">
                  <c:v>1.210000000000008</c:v>
                </c:pt>
                <c:pt idx="221">
                  <c:v>1.0199999999999818</c:v>
                </c:pt>
                <c:pt idx="222">
                  <c:v>1.5400000000000205</c:v>
                </c:pt>
                <c:pt idx="223">
                  <c:v>-3.1800000000000068</c:v>
                </c:pt>
                <c:pt idx="224">
                  <c:v>0.46000000000000796</c:v>
                </c:pt>
                <c:pt idx="225">
                  <c:v>-5.5700000000000216</c:v>
                </c:pt>
                <c:pt idx="226">
                  <c:v>3.3300000000000125</c:v>
                </c:pt>
                <c:pt idx="227">
                  <c:v>9.6699999999999875</c:v>
                </c:pt>
                <c:pt idx="228">
                  <c:v>-2.289999999999992</c:v>
                </c:pt>
                <c:pt idx="229">
                  <c:v>-2.9499999999999886</c:v>
                </c:pt>
                <c:pt idx="230">
                  <c:v>-7.460000000000008</c:v>
                </c:pt>
                <c:pt idx="231">
                  <c:v>-4.3899999999999864</c:v>
                </c:pt>
                <c:pt idx="232">
                  <c:v>4.339999999999975</c:v>
                </c:pt>
                <c:pt idx="233">
                  <c:v>-0.84999999999999432</c:v>
                </c:pt>
                <c:pt idx="234">
                  <c:v>1.4099999999999966</c:v>
                </c:pt>
                <c:pt idx="235">
                  <c:v>-1.2699999999999818</c:v>
                </c:pt>
                <c:pt idx="236">
                  <c:v>-3.7300000000000182</c:v>
                </c:pt>
                <c:pt idx="237">
                  <c:v>-2.5499999999999829</c:v>
                </c:pt>
                <c:pt idx="238">
                  <c:v>5.1399999999999864</c:v>
                </c:pt>
                <c:pt idx="239">
                  <c:v>4.460000000000008</c:v>
                </c:pt>
                <c:pt idx="240">
                  <c:v>-4.460000000000008</c:v>
                </c:pt>
                <c:pt idx="241">
                  <c:v>0.99000000000000909</c:v>
                </c:pt>
                <c:pt idx="242">
                  <c:v>2.6699999999999875</c:v>
                </c:pt>
                <c:pt idx="243">
                  <c:v>-0.41999999999998749</c:v>
                </c:pt>
                <c:pt idx="244">
                  <c:v>-9.9999999999994316E-2</c:v>
                </c:pt>
                <c:pt idx="245">
                  <c:v>1.7699999999999818</c:v>
                </c:pt>
                <c:pt idx="246">
                  <c:v>-4.039999999999992</c:v>
                </c:pt>
                <c:pt idx="247">
                  <c:v>-2.2400000000000091</c:v>
                </c:pt>
                <c:pt idx="248">
                  <c:v>-6.9399999999999977</c:v>
                </c:pt>
                <c:pt idx="249">
                  <c:v>-2.7699999999999818</c:v>
                </c:pt>
                <c:pt idx="250">
                  <c:v>-0.60000000000002274</c:v>
                </c:pt>
                <c:pt idx="251">
                  <c:v>3.1400000000000148</c:v>
                </c:pt>
                <c:pt idx="252">
                  <c:v>2.6500000000000057</c:v>
                </c:pt>
                <c:pt idx="253">
                  <c:v>1.7299999999999898</c:v>
                </c:pt>
                <c:pt idx="254">
                  <c:v>-4.8799999999999955</c:v>
                </c:pt>
                <c:pt idx="255">
                  <c:v>-4.710000000000008</c:v>
                </c:pt>
                <c:pt idx="256">
                  <c:v>3.210000000000008</c:v>
                </c:pt>
                <c:pt idx="257">
                  <c:v>-7.1100000000000136</c:v>
                </c:pt>
                <c:pt idx="258">
                  <c:v>2.3200000000000216</c:v>
                </c:pt>
                <c:pt idx="259">
                  <c:v>0.15999999999999659</c:v>
                </c:pt>
                <c:pt idx="260">
                  <c:v>4.7299999999999898</c:v>
                </c:pt>
                <c:pt idx="261">
                  <c:v>-3.6399999999999864</c:v>
                </c:pt>
                <c:pt idx="262">
                  <c:v>-0.5</c:v>
                </c:pt>
                <c:pt idx="263">
                  <c:v>6.6499999999999773</c:v>
                </c:pt>
                <c:pt idx="264">
                  <c:v>1.9699999999999989</c:v>
                </c:pt>
                <c:pt idx="265">
                  <c:v>3.5100000000000193</c:v>
                </c:pt>
                <c:pt idx="266">
                  <c:v>-0.53000000000000114</c:v>
                </c:pt>
                <c:pt idx="267">
                  <c:v>-6.5500000000000114</c:v>
                </c:pt>
                <c:pt idx="268">
                  <c:v>-0.16999999999998749</c:v>
                </c:pt>
                <c:pt idx="269">
                  <c:v>-7.5200000000000102</c:v>
                </c:pt>
                <c:pt idx="270">
                  <c:v>-0.40999999999999659</c:v>
                </c:pt>
                <c:pt idx="271">
                  <c:v>5.3300000000000125</c:v>
                </c:pt>
                <c:pt idx="272">
                  <c:v>-0.95000000000001705</c:v>
                </c:pt>
                <c:pt idx="273">
                  <c:v>7.3000000000000114</c:v>
                </c:pt>
                <c:pt idx="274">
                  <c:v>-0.86000000000001364</c:v>
                </c:pt>
                <c:pt idx="275">
                  <c:v>-0.10999999999998522</c:v>
                </c:pt>
                <c:pt idx="276">
                  <c:v>0.25</c:v>
                </c:pt>
                <c:pt idx="277">
                  <c:v>5.7199999999999989</c:v>
                </c:pt>
                <c:pt idx="278">
                  <c:v>0.53999999999999204</c:v>
                </c:pt>
                <c:pt idx="279">
                  <c:v>-1.1099999999999852</c:v>
                </c:pt>
                <c:pt idx="280">
                  <c:v>4.9099999999999966</c:v>
                </c:pt>
                <c:pt idx="281">
                  <c:v>0.23999999999998067</c:v>
                </c:pt>
                <c:pt idx="282">
                  <c:v>6.0600000000000023</c:v>
                </c:pt>
                <c:pt idx="283">
                  <c:v>-1.0900000000000034</c:v>
                </c:pt>
                <c:pt idx="284">
                  <c:v>0.75</c:v>
                </c:pt>
                <c:pt idx="285">
                  <c:v>4.8900000000000148</c:v>
                </c:pt>
                <c:pt idx="286">
                  <c:v>6.1899999999999977</c:v>
                </c:pt>
                <c:pt idx="287">
                  <c:v>0.21000000000000796</c:v>
                </c:pt>
                <c:pt idx="288">
                  <c:v>-5.0600000000000023</c:v>
                </c:pt>
                <c:pt idx="289">
                  <c:v>-0.99000000000000909</c:v>
                </c:pt>
                <c:pt idx="290">
                  <c:v>3.3000000000000114</c:v>
                </c:pt>
                <c:pt idx="291">
                  <c:v>10</c:v>
                </c:pt>
                <c:pt idx="292">
                  <c:v>-0.24000000000000909</c:v>
                </c:pt>
                <c:pt idx="293">
                  <c:v>2.2599999999999909</c:v>
                </c:pt>
                <c:pt idx="294">
                  <c:v>2.2700000000000102</c:v>
                </c:pt>
                <c:pt idx="295">
                  <c:v>-1.4099999999999966</c:v>
                </c:pt>
                <c:pt idx="296">
                  <c:v>-0.14000000000001478</c:v>
                </c:pt>
                <c:pt idx="297">
                  <c:v>-0.13999999999998636</c:v>
                </c:pt>
                <c:pt idx="298">
                  <c:v>8.1599999999999966</c:v>
                </c:pt>
                <c:pt idx="299">
                  <c:v>-2.1699999999999875</c:v>
                </c:pt>
                <c:pt idx="300">
                  <c:v>2.7800000000000011</c:v>
                </c:pt>
                <c:pt idx="301">
                  <c:v>5.3999999999999773</c:v>
                </c:pt>
                <c:pt idx="302">
                  <c:v>0.96999999999999886</c:v>
                </c:pt>
                <c:pt idx="303">
                  <c:v>4.1899999999999977</c:v>
                </c:pt>
                <c:pt idx="304">
                  <c:v>5.6900000000000261</c:v>
                </c:pt>
                <c:pt idx="305">
                  <c:v>-0.14000000000001478</c:v>
                </c:pt>
                <c:pt idx="306">
                  <c:v>-1.960000000000008</c:v>
                </c:pt>
                <c:pt idx="307">
                  <c:v>0.43999999999999773</c:v>
                </c:pt>
                <c:pt idx="308">
                  <c:v>-2.3199999999999932</c:v>
                </c:pt>
                <c:pt idx="309">
                  <c:v>1.3000000000000114</c:v>
                </c:pt>
                <c:pt idx="310">
                  <c:v>-2.6899999999999977</c:v>
                </c:pt>
                <c:pt idx="311">
                  <c:v>2.3100000000000023</c:v>
                </c:pt>
                <c:pt idx="312">
                  <c:v>-0.21999999999999886</c:v>
                </c:pt>
                <c:pt idx="313">
                  <c:v>6.4399999999999693</c:v>
                </c:pt>
                <c:pt idx="314">
                  <c:v>-0.28999999999996362</c:v>
                </c:pt>
                <c:pt idx="315">
                  <c:v>4.5999999999999659</c:v>
                </c:pt>
                <c:pt idx="316">
                  <c:v>7.1200000000000045</c:v>
                </c:pt>
                <c:pt idx="317">
                  <c:v>3.0000000000029559E-2</c:v>
                </c:pt>
                <c:pt idx="318">
                  <c:v>11.370000000000005</c:v>
                </c:pt>
                <c:pt idx="319">
                  <c:v>0.37999999999999545</c:v>
                </c:pt>
                <c:pt idx="320">
                  <c:v>-1.2200000000000273</c:v>
                </c:pt>
                <c:pt idx="321">
                  <c:v>-10.810000000000002</c:v>
                </c:pt>
                <c:pt idx="322">
                  <c:v>3.2800000000000296</c:v>
                </c:pt>
                <c:pt idx="323">
                  <c:v>5.1599999999999682</c:v>
                </c:pt>
                <c:pt idx="324">
                  <c:v>-3.8799999999999955</c:v>
                </c:pt>
                <c:pt idx="325">
                  <c:v>-17.519999999999982</c:v>
                </c:pt>
                <c:pt idx="326">
                  <c:v>1.0099999999999909</c:v>
                </c:pt>
                <c:pt idx="327">
                  <c:v>-10.77000000000001</c:v>
                </c:pt>
                <c:pt idx="328">
                  <c:v>3.7600000000000193</c:v>
                </c:pt>
                <c:pt idx="329">
                  <c:v>3.0000000000001137E-2</c:v>
                </c:pt>
                <c:pt idx="330">
                  <c:v>0.45999999999997954</c:v>
                </c:pt>
                <c:pt idx="331">
                  <c:v>1.0900000000000034</c:v>
                </c:pt>
                <c:pt idx="332">
                  <c:v>-0.35999999999998522</c:v>
                </c:pt>
                <c:pt idx="333">
                  <c:v>-2.6200000000000045</c:v>
                </c:pt>
                <c:pt idx="334">
                  <c:v>-1.7199999999999989</c:v>
                </c:pt>
                <c:pt idx="335">
                  <c:v>-1.9699999999999989</c:v>
                </c:pt>
                <c:pt idx="336">
                  <c:v>-1.210000000000008</c:v>
                </c:pt>
                <c:pt idx="337">
                  <c:v>2.4799999999999898</c:v>
                </c:pt>
                <c:pt idx="338">
                  <c:v>11.830000000000013</c:v>
                </c:pt>
                <c:pt idx="339">
                  <c:v>-2.2700000000000102</c:v>
                </c:pt>
                <c:pt idx="340">
                  <c:v>6.3200000000000216</c:v>
                </c:pt>
                <c:pt idx="341">
                  <c:v>-0.55000000000001137</c:v>
                </c:pt>
                <c:pt idx="342">
                  <c:v>0.42000000000001592</c:v>
                </c:pt>
                <c:pt idx="343">
                  <c:v>-11.240000000000009</c:v>
                </c:pt>
                <c:pt idx="344">
                  <c:v>4.3299999999999841</c:v>
                </c:pt>
                <c:pt idx="345">
                  <c:v>-0.22999999999998977</c:v>
                </c:pt>
                <c:pt idx="346">
                  <c:v>8.3800000000000239</c:v>
                </c:pt>
                <c:pt idx="347">
                  <c:v>7.0600000000000023</c:v>
                </c:pt>
                <c:pt idx="348">
                  <c:v>7.2299999999999613</c:v>
                </c:pt>
                <c:pt idx="349">
                  <c:v>-6.9999999999993179E-2</c:v>
                </c:pt>
                <c:pt idx="350">
                  <c:v>0.54000000000002046</c:v>
                </c:pt>
                <c:pt idx="351">
                  <c:v>0.37999999999999545</c:v>
                </c:pt>
                <c:pt idx="352">
                  <c:v>20.21999999999997</c:v>
                </c:pt>
                <c:pt idx="353">
                  <c:v>5.1800000000000068</c:v>
                </c:pt>
                <c:pt idx="354">
                  <c:v>-8.6999999999999886</c:v>
                </c:pt>
                <c:pt idx="355">
                  <c:v>3.6999999999999886</c:v>
                </c:pt>
                <c:pt idx="356">
                  <c:v>3.8400000000000318</c:v>
                </c:pt>
                <c:pt idx="357">
                  <c:v>9.8499999999999659</c:v>
                </c:pt>
                <c:pt idx="358">
                  <c:v>-3.6800000000000068</c:v>
                </c:pt>
                <c:pt idx="359">
                  <c:v>-11.870000000000005</c:v>
                </c:pt>
                <c:pt idx="360">
                  <c:v>7.160000000000025</c:v>
                </c:pt>
                <c:pt idx="361">
                  <c:v>-2.5600000000000023</c:v>
                </c:pt>
                <c:pt idx="362">
                  <c:v>-1.1899999999999977</c:v>
                </c:pt>
                <c:pt idx="363">
                  <c:v>5.2699999999999818</c:v>
                </c:pt>
                <c:pt idx="364">
                  <c:v>-3.0099999999999909</c:v>
                </c:pt>
                <c:pt idx="365">
                  <c:v>3.0900000000000318</c:v>
                </c:pt>
                <c:pt idx="366">
                  <c:v>2.42999999999995</c:v>
                </c:pt>
                <c:pt idx="367">
                  <c:v>5.7600000000000477</c:v>
                </c:pt>
                <c:pt idx="368">
                  <c:v>-3.6200000000000045</c:v>
                </c:pt>
                <c:pt idx="369">
                  <c:v>-1.5400000000000205</c:v>
                </c:pt>
                <c:pt idx="370">
                  <c:v>5.4399999999999977</c:v>
                </c:pt>
                <c:pt idx="371">
                  <c:v>8.7599999999999909</c:v>
                </c:pt>
                <c:pt idx="372">
                  <c:v>-3.9399999999999977</c:v>
                </c:pt>
                <c:pt idx="373">
                  <c:v>-7.8700000000000045</c:v>
                </c:pt>
                <c:pt idx="374">
                  <c:v>-15.560000000000002</c:v>
                </c:pt>
                <c:pt idx="375">
                  <c:v>12.890000000000043</c:v>
                </c:pt>
                <c:pt idx="376">
                  <c:v>-1.160000000000025</c:v>
                </c:pt>
                <c:pt idx="377">
                  <c:v>14.069999999999993</c:v>
                </c:pt>
                <c:pt idx="378">
                  <c:v>3.9600000000000364</c:v>
                </c:pt>
                <c:pt idx="379">
                  <c:v>-2.1200000000000045</c:v>
                </c:pt>
                <c:pt idx="380">
                  <c:v>1.7099999999999795</c:v>
                </c:pt>
                <c:pt idx="381">
                  <c:v>-8.9300000000000068</c:v>
                </c:pt>
                <c:pt idx="382">
                  <c:v>1.1299999999999955</c:v>
                </c:pt>
                <c:pt idx="383">
                  <c:v>-10.899999999999977</c:v>
                </c:pt>
                <c:pt idx="384">
                  <c:v>6.9499999999999886</c:v>
                </c:pt>
                <c:pt idx="385">
                  <c:v>-2.2300000000000182</c:v>
                </c:pt>
                <c:pt idx="386">
                  <c:v>-0.47999999999996135</c:v>
                </c:pt>
                <c:pt idx="387">
                  <c:v>-6.4900000000000091</c:v>
                </c:pt>
                <c:pt idx="388">
                  <c:v>6.3600000000000136</c:v>
                </c:pt>
                <c:pt idx="389">
                  <c:v>6.6099999999999568</c:v>
                </c:pt>
                <c:pt idx="390">
                  <c:v>8.3100000000000023</c:v>
                </c:pt>
                <c:pt idx="391">
                  <c:v>9.9600000000000364</c:v>
                </c:pt>
                <c:pt idx="392">
                  <c:v>5.9099999999999682</c:v>
                </c:pt>
                <c:pt idx="393">
                  <c:v>-0.63999999999998636</c:v>
                </c:pt>
                <c:pt idx="394">
                  <c:v>-0.51999999999998181</c:v>
                </c:pt>
                <c:pt idx="395">
                  <c:v>7.4699999999999704</c:v>
                </c:pt>
                <c:pt idx="396">
                  <c:v>5.5300000000000296</c:v>
                </c:pt>
                <c:pt idx="397">
                  <c:v>6.7999999999999545</c:v>
                </c:pt>
                <c:pt idx="398">
                  <c:v>10.350000000000023</c:v>
                </c:pt>
                <c:pt idx="399">
                  <c:v>-12.680000000000007</c:v>
                </c:pt>
                <c:pt idx="400">
                  <c:v>1.6899999999999977</c:v>
                </c:pt>
                <c:pt idx="401">
                  <c:v>16.939999999999998</c:v>
                </c:pt>
                <c:pt idx="402">
                  <c:v>4.7100000000000364</c:v>
                </c:pt>
                <c:pt idx="403">
                  <c:v>-5.32000000000005</c:v>
                </c:pt>
                <c:pt idx="404">
                  <c:v>-3.9399999999999977</c:v>
                </c:pt>
                <c:pt idx="405">
                  <c:v>-1.5999999999999659</c:v>
                </c:pt>
                <c:pt idx="406">
                  <c:v>2.4399999999999977</c:v>
                </c:pt>
                <c:pt idx="407">
                  <c:v>4.1599999999999682</c:v>
                </c:pt>
                <c:pt idx="408">
                  <c:v>6.2100000000000364</c:v>
                </c:pt>
                <c:pt idx="409">
                  <c:v>0.83999999999997499</c:v>
                </c:pt>
                <c:pt idx="410">
                  <c:v>-5.9599999999999795</c:v>
                </c:pt>
                <c:pt idx="411">
                  <c:v>-15.120000000000005</c:v>
                </c:pt>
                <c:pt idx="412">
                  <c:v>8.8700000000000045</c:v>
                </c:pt>
                <c:pt idx="413">
                  <c:v>-10.490000000000009</c:v>
                </c:pt>
                <c:pt idx="414">
                  <c:v>0.86000000000001364</c:v>
                </c:pt>
                <c:pt idx="415">
                  <c:v>-8.9900000000000091</c:v>
                </c:pt>
                <c:pt idx="416">
                  <c:v>-25.53000000000003</c:v>
                </c:pt>
                <c:pt idx="417">
                  <c:v>-18.259999999999991</c:v>
                </c:pt>
                <c:pt idx="418">
                  <c:v>4.3900000000000432</c:v>
                </c:pt>
                <c:pt idx="419">
                  <c:v>2.8299999999999841</c:v>
                </c:pt>
                <c:pt idx="420">
                  <c:v>11.170000000000016</c:v>
                </c:pt>
                <c:pt idx="421">
                  <c:v>2.2999999999999545</c:v>
                </c:pt>
                <c:pt idx="422">
                  <c:v>-6.1099999999999568</c:v>
                </c:pt>
                <c:pt idx="423">
                  <c:v>4.3699999999999477</c:v>
                </c:pt>
                <c:pt idx="424">
                  <c:v>-8.2099999999999795</c:v>
                </c:pt>
                <c:pt idx="425">
                  <c:v>8.6700000000000159</c:v>
                </c:pt>
                <c:pt idx="426">
                  <c:v>-2.9800000000000182</c:v>
                </c:pt>
                <c:pt idx="427">
                  <c:v>4.660000000000025</c:v>
                </c:pt>
                <c:pt idx="428">
                  <c:v>-1.5200000000000387</c:v>
                </c:pt>
                <c:pt idx="429">
                  <c:v>14.120000000000005</c:v>
                </c:pt>
                <c:pt idx="430">
                  <c:v>-2.9199999999999591</c:v>
                </c:pt>
                <c:pt idx="431">
                  <c:v>4.25</c:v>
                </c:pt>
                <c:pt idx="432">
                  <c:v>-9.3900000000000432</c:v>
                </c:pt>
                <c:pt idx="433">
                  <c:v>0.61000000000001364</c:v>
                </c:pt>
                <c:pt idx="434">
                  <c:v>-11.599999999999966</c:v>
                </c:pt>
                <c:pt idx="435">
                  <c:v>-3.9000000000000341</c:v>
                </c:pt>
                <c:pt idx="436">
                  <c:v>6.3199999999999932</c:v>
                </c:pt>
                <c:pt idx="437">
                  <c:v>21.199999999999989</c:v>
                </c:pt>
                <c:pt idx="438">
                  <c:v>9.82000000000005</c:v>
                </c:pt>
                <c:pt idx="439">
                  <c:v>-1.7400000000000091</c:v>
                </c:pt>
                <c:pt idx="440">
                  <c:v>10.050000000000011</c:v>
                </c:pt>
                <c:pt idx="441">
                  <c:v>-1.6900000000000546</c:v>
                </c:pt>
                <c:pt idx="442">
                  <c:v>-8.1299999999999955</c:v>
                </c:pt>
                <c:pt idx="443">
                  <c:v>2.4700000000000273</c:v>
                </c:pt>
                <c:pt idx="444">
                  <c:v>5.9300000000000068</c:v>
                </c:pt>
                <c:pt idx="445">
                  <c:v>-1.4700000000000273</c:v>
                </c:pt>
                <c:pt idx="446">
                  <c:v>0.58000000000004093</c:v>
                </c:pt>
                <c:pt idx="447">
                  <c:v>-10.990000000000009</c:v>
                </c:pt>
                <c:pt idx="448">
                  <c:v>-4.4600000000000364</c:v>
                </c:pt>
                <c:pt idx="449">
                  <c:v>-9.5999999999999659</c:v>
                </c:pt>
                <c:pt idx="450">
                  <c:v>3.4900000000000091</c:v>
                </c:pt>
                <c:pt idx="451">
                  <c:v>11.419999999999959</c:v>
                </c:pt>
                <c:pt idx="452">
                  <c:v>0.16000000000002501</c:v>
                </c:pt>
                <c:pt idx="453">
                  <c:v>-4.8799999999999955</c:v>
                </c:pt>
                <c:pt idx="454">
                  <c:v>-2.3899999999999864</c:v>
                </c:pt>
                <c:pt idx="455">
                  <c:v>1.6999999999999886</c:v>
                </c:pt>
                <c:pt idx="456">
                  <c:v>5.8199999999999932</c:v>
                </c:pt>
                <c:pt idx="457">
                  <c:v>2.7199999999999704</c:v>
                </c:pt>
                <c:pt idx="458">
                  <c:v>-0.5</c:v>
                </c:pt>
                <c:pt idx="459">
                  <c:v>-5.8100000000000023</c:v>
                </c:pt>
                <c:pt idx="460">
                  <c:v>-5.0600000000000023</c:v>
                </c:pt>
                <c:pt idx="461">
                  <c:v>6.0800000000000409</c:v>
                </c:pt>
                <c:pt idx="462">
                  <c:v>-7.2100000000000364</c:v>
                </c:pt>
                <c:pt idx="463">
                  <c:v>20.29000000000002</c:v>
                </c:pt>
                <c:pt idx="464">
                  <c:v>-0.93999999999999773</c:v>
                </c:pt>
                <c:pt idx="465">
                  <c:v>3.4800000000000182</c:v>
                </c:pt>
                <c:pt idx="466">
                  <c:v>11.409999999999968</c:v>
                </c:pt>
                <c:pt idx="467">
                  <c:v>2.1700000000000159</c:v>
                </c:pt>
                <c:pt idx="468">
                  <c:v>5.1899999999999977</c:v>
                </c:pt>
                <c:pt idx="469">
                  <c:v>-9.8999999999999773</c:v>
                </c:pt>
                <c:pt idx="470">
                  <c:v>-1.1899999999999977</c:v>
                </c:pt>
                <c:pt idx="471">
                  <c:v>-7.4300000000000068</c:v>
                </c:pt>
                <c:pt idx="472">
                  <c:v>-15.390000000000043</c:v>
                </c:pt>
                <c:pt idx="473">
                  <c:v>-6.0999999999999659</c:v>
                </c:pt>
                <c:pt idx="474">
                  <c:v>0.25999999999999091</c:v>
                </c:pt>
                <c:pt idx="475">
                  <c:v>-4.2799999999999727</c:v>
                </c:pt>
                <c:pt idx="476">
                  <c:v>-1.3700000000000045</c:v>
                </c:pt>
                <c:pt idx="477">
                  <c:v>1.5</c:v>
                </c:pt>
                <c:pt idx="478">
                  <c:v>0.42999999999994998</c:v>
                </c:pt>
                <c:pt idx="479">
                  <c:v>6.6100000000000136</c:v>
                </c:pt>
                <c:pt idx="480">
                  <c:v>6.8700000000000045</c:v>
                </c:pt>
                <c:pt idx="481">
                  <c:v>0.31999999999999318</c:v>
                </c:pt>
                <c:pt idx="482">
                  <c:v>1.5500000000000114</c:v>
                </c:pt>
                <c:pt idx="483">
                  <c:v>-13.939999999999998</c:v>
                </c:pt>
                <c:pt idx="484">
                  <c:v>12.649999999999977</c:v>
                </c:pt>
                <c:pt idx="485">
                  <c:v>-0.98999999999995225</c:v>
                </c:pt>
                <c:pt idx="486">
                  <c:v>1.0799999999999841</c:v>
                </c:pt>
                <c:pt idx="487">
                  <c:v>-0.11000000000001364</c:v>
                </c:pt>
                <c:pt idx="488">
                  <c:v>-4.9699999999999704</c:v>
                </c:pt>
                <c:pt idx="489">
                  <c:v>5.1499999999999773</c:v>
                </c:pt>
                <c:pt idx="490">
                  <c:v>3.8999999999999773</c:v>
                </c:pt>
                <c:pt idx="491">
                  <c:v>-7.839999999999975</c:v>
                </c:pt>
                <c:pt idx="492">
                  <c:v>-6.7099999999999795</c:v>
                </c:pt>
                <c:pt idx="493">
                  <c:v>-8.0800000000000409</c:v>
                </c:pt>
                <c:pt idx="494">
                  <c:v>0.31999999999999318</c:v>
                </c:pt>
                <c:pt idx="495">
                  <c:v>-11.5</c:v>
                </c:pt>
                <c:pt idx="496">
                  <c:v>0.33000000000004093</c:v>
                </c:pt>
                <c:pt idx="497">
                  <c:v>-5.3000000000000114</c:v>
                </c:pt>
                <c:pt idx="498">
                  <c:v>-0.79000000000002046</c:v>
                </c:pt>
                <c:pt idx="499">
                  <c:v>11.449999999999989</c:v>
                </c:pt>
                <c:pt idx="500">
                  <c:v>-10.449999999999989</c:v>
                </c:pt>
                <c:pt idx="501">
                  <c:v>-21.819999999999993</c:v>
                </c:pt>
                <c:pt idx="502">
                  <c:v>6.8299999999999841</c:v>
                </c:pt>
                <c:pt idx="503">
                  <c:v>-3.3100000000000023</c:v>
                </c:pt>
                <c:pt idx="504">
                  <c:v>3.2700000000000387</c:v>
                </c:pt>
                <c:pt idx="505">
                  <c:v>-1.660000000000025</c:v>
                </c:pt>
                <c:pt idx="506">
                  <c:v>-1.3999999999999773</c:v>
                </c:pt>
                <c:pt idx="507">
                  <c:v>0</c:v>
                </c:pt>
                <c:pt idx="508">
                  <c:v>12.409999999999968</c:v>
                </c:pt>
                <c:pt idx="509">
                  <c:v>-6.6999999999999886</c:v>
                </c:pt>
                <c:pt idx="510">
                  <c:v>2.6000000000000227</c:v>
                </c:pt>
                <c:pt idx="511">
                  <c:v>1.1999999999999886</c:v>
                </c:pt>
                <c:pt idx="512">
                  <c:v>2.5500000000000114</c:v>
                </c:pt>
                <c:pt idx="513">
                  <c:v>-6.3100000000000023</c:v>
                </c:pt>
                <c:pt idx="514">
                  <c:v>9.0699999999999932</c:v>
                </c:pt>
                <c:pt idx="515">
                  <c:v>-5.2099999999999795</c:v>
                </c:pt>
                <c:pt idx="516">
                  <c:v>2.9499999999999886</c:v>
                </c:pt>
                <c:pt idx="517">
                  <c:v>1.2599999999999909</c:v>
                </c:pt>
                <c:pt idx="518">
                  <c:v>0.74000000000000909</c:v>
                </c:pt>
                <c:pt idx="519">
                  <c:v>-10.009999999999991</c:v>
                </c:pt>
                <c:pt idx="520">
                  <c:v>1.3100000000000023</c:v>
                </c:pt>
                <c:pt idx="521">
                  <c:v>-2.32000000000005</c:v>
                </c:pt>
                <c:pt idx="522">
                  <c:v>-1.3299999999999841</c:v>
                </c:pt>
                <c:pt idx="523">
                  <c:v>-1.5</c:v>
                </c:pt>
                <c:pt idx="524">
                  <c:v>9.5600000000000023</c:v>
                </c:pt>
                <c:pt idx="525">
                  <c:v>-2.0199999999999818</c:v>
                </c:pt>
                <c:pt idx="526">
                  <c:v>3.8899999999999864</c:v>
                </c:pt>
                <c:pt idx="527">
                  <c:v>13.78000000000003</c:v>
                </c:pt>
                <c:pt idx="528">
                  <c:v>12.119999999999948</c:v>
                </c:pt>
                <c:pt idx="529">
                  <c:v>-2</c:v>
                </c:pt>
                <c:pt idx="530">
                  <c:v>-1.1399999999999864</c:v>
                </c:pt>
                <c:pt idx="531">
                  <c:v>5.5600000000000023</c:v>
                </c:pt>
                <c:pt idx="532">
                  <c:v>-4.5799999999999841</c:v>
                </c:pt>
                <c:pt idx="533">
                  <c:v>-7.7699999999999818</c:v>
                </c:pt>
                <c:pt idx="534">
                  <c:v>-2.1200000000000045</c:v>
                </c:pt>
                <c:pt idx="535">
                  <c:v>2.6800000000000068</c:v>
                </c:pt>
                <c:pt idx="536">
                  <c:v>-6.4600000000000364</c:v>
                </c:pt>
                <c:pt idx="537">
                  <c:v>-7.9099999999999682</c:v>
                </c:pt>
                <c:pt idx="538">
                  <c:v>-5.6500000000000341</c:v>
                </c:pt>
                <c:pt idx="539">
                  <c:v>3.7200000000000273</c:v>
                </c:pt>
                <c:pt idx="540">
                  <c:v>-4.0099999999999909</c:v>
                </c:pt>
                <c:pt idx="541">
                  <c:v>9.17999999999995</c:v>
                </c:pt>
                <c:pt idx="542">
                  <c:v>-3.2799999999999727</c:v>
                </c:pt>
                <c:pt idx="543">
                  <c:v>-2.6299999999999955</c:v>
                </c:pt>
                <c:pt idx="544">
                  <c:v>1.9599999999999795</c:v>
                </c:pt>
                <c:pt idx="545">
                  <c:v>19.830000000000041</c:v>
                </c:pt>
                <c:pt idx="546">
                  <c:v>-2.7200000000000273</c:v>
                </c:pt>
                <c:pt idx="547">
                  <c:v>1.1100000000000136</c:v>
                </c:pt>
                <c:pt idx="548">
                  <c:v>3.1499999999999773</c:v>
                </c:pt>
                <c:pt idx="549">
                  <c:v>-1.7299999999999613</c:v>
                </c:pt>
                <c:pt idx="550">
                  <c:v>3.839999999999975</c:v>
                </c:pt>
                <c:pt idx="551">
                  <c:v>7.1000000000000227</c:v>
                </c:pt>
                <c:pt idx="552">
                  <c:v>-2.5900000000000318</c:v>
                </c:pt>
                <c:pt idx="553">
                  <c:v>5.4499999999999886</c:v>
                </c:pt>
                <c:pt idx="554">
                  <c:v>1.5400000000000205</c:v>
                </c:pt>
                <c:pt idx="555">
                  <c:v>1.2300000000000182</c:v>
                </c:pt>
                <c:pt idx="556">
                  <c:v>-6.9000000000000341</c:v>
                </c:pt>
                <c:pt idx="557">
                  <c:v>-8.25</c:v>
                </c:pt>
                <c:pt idx="558">
                  <c:v>5.2100000000000364</c:v>
                </c:pt>
                <c:pt idx="559">
                  <c:v>6.67999999999995</c:v>
                </c:pt>
                <c:pt idx="560">
                  <c:v>-3.7099999999999795</c:v>
                </c:pt>
                <c:pt idx="561">
                  <c:v>8.4900000000000091</c:v>
                </c:pt>
                <c:pt idx="562">
                  <c:v>-5.0600000000000023</c:v>
                </c:pt>
                <c:pt idx="563">
                  <c:v>-5.5</c:v>
                </c:pt>
                <c:pt idx="564">
                  <c:v>-10.620000000000005</c:v>
                </c:pt>
                <c:pt idx="565">
                  <c:v>0.84000000000003183</c:v>
                </c:pt>
                <c:pt idx="566">
                  <c:v>11.029999999999973</c:v>
                </c:pt>
                <c:pt idx="567">
                  <c:v>-29.769999999999982</c:v>
                </c:pt>
                <c:pt idx="568">
                  <c:v>-4.8100000000000023</c:v>
                </c:pt>
                <c:pt idx="569">
                  <c:v>5.3100000000000023</c:v>
                </c:pt>
                <c:pt idx="570">
                  <c:v>7.9300000000000068</c:v>
                </c:pt>
                <c:pt idx="571">
                  <c:v>-1.3500000000000227</c:v>
                </c:pt>
                <c:pt idx="572">
                  <c:v>11.754999999999995</c:v>
                </c:pt>
                <c:pt idx="573">
                  <c:v>1.4250000000000114</c:v>
                </c:pt>
                <c:pt idx="574">
                  <c:v>-0.72000000000002728</c:v>
                </c:pt>
                <c:pt idx="575">
                  <c:v>-1.4699999999999704</c:v>
                </c:pt>
                <c:pt idx="576">
                  <c:v>12.870000000000005</c:v>
                </c:pt>
                <c:pt idx="577">
                  <c:v>5.8799999999999955</c:v>
                </c:pt>
                <c:pt idx="578">
                  <c:v>5.3700000000000045</c:v>
                </c:pt>
                <c:pt idx="579">
                  <c:v>-6.4300000000000068</c:v>
                </c:pt>
                <c:pt idx="580">
                  <c:v>-7.9300000000000068</c:v>
                </c:pt>
                <c:pt idx="581">
                  <c:v>-12.129999999999995</c:v>
                </c:pt>
                <c:pt idx="582">
                  <c:v>4.1899999999999977</c:v>
                </c:pt>
                <c:pt idx="583">
                  <c:v>-1.7699999999999818</c:v>
                </c:pt>
                <c:pt idx="584">
                  <c:v>-5.1500000000000341</c:v>
                </c:pt>
                <c:pt idx="585">
                  <c:v>4.1000000000000227</c:v>
                </c:pt>
                <c:pt idx="586">
                  <c:v>-3.1999999999999886</c:v>
                </c:pt>
                <c:pt idx="587">
                  <c:v>-1.9300000000000068</c:v>
                </c:pt>
                <c:pt idx="588">
                  <c:v>18.339999999999975</c:v>
                </c:pt>
                <c:pt idx="589">
                  <c:v>-3.6700000000000159</c:v>
                </c:pt>
                <c:pt idx="590">
                  <c:v>-15.20999999999998</c:v>
                </c:pt>
                <c:pt idx="591">
                  <c:v>-1.0299999999999727</c:v>
                </c:pt>
                <c:pt idx="592">
                  <c:v>-4.25</c:v>
                </c:pt>
                <c:pt idx="593">
                  <c:v>-7.7900000000000205</c:v>
                </c:pt>
                <c:pt idx="594">
                  <c:v>-3.0099999999999909</c:v>
                </c:pt>
                <c:pt idx="595">
                  <c:v>5.9799999999999613</c:v>
                </c:pt>
                <c:pt idx="596">
                  <c:v>-7.42999999999995</c:v>
                </c:pt>
                <c:pt idx="597">
                  <c:v>-7.5600000000000023</c:v>
                </c:pt>
                <c:pt idx="598">
                  <c:v>2.6399999999999864</c:v>
                </c:pt>
                <c:pt idx="599">
                  <c:v>-25</c:v>
                </c:pt>
                <c:pt idx="600">
                  <c:v>-21.400000000000034</c:v>
                </c:pt>
                <c:pt idx="601">
                  <c:v>8.3500000000000227</c:v>
                </c:pt>
                <c:pt idx="602">
                  <c:v>-13.650000000000006</c:v>
                </c:pt>
                <c:pt idx="603">
                  <c:v>15.049999999999983</c:v>
                </c:pt>
                <c:pt idx="604">
                  <c:v>19.410000000000025</c:v>
                </c:pt>
                <c:pt idx="605">
                  <c:v>18.78000000000003</c:v>
                </c:pt>
                <c:pt idx="606">
                  <c:v>-6.4200000000000159</c:v>
                </c:pt>
                <c:pt idx="607">
                  <c:v>-9.6399999999999864</c:v>
                </c:pt>
                <c:pt idx="608">
                  <c:v>15.039999999999964</c:v>
                </c:pt>
                <c:pt idx="609">
                  <c:v>-3.7699999999999818</c:v>
                </c:pt>
                <c:pt idx="610">
                  <c:v>-6.8500000000000227</c:v>
                </c:pt>
                <c:pt idx="611">
                  <c:v>6.2599999999999909</c:v>
                </c:pt>
                <c:pt idx="612">
                  <c:v>-9.1299999999999955</c:v>
                </c:pt>
                <c:pt idx="613">
                  <c:v>-3.5199999999999818</c:v>
                </c:pt>
                <c:pt idx="614">
                  <c:v>5.660000000000025</c:v>
                </c:pt>
                <c:pt idx="615">
                  <c:v>6.7299999999999613</c:v>
                </c:pt>
                <c:pt idx="616">
                  <c:v>-9.839999999999975</c:v>
                </c:pt>
                <c:pt idx="617">
                  <c:v>-6.8700000000000045</c:v>
                </c:pt>
                <c:pt idx="618">
                  <c:v>8.9999999999974989E-2</c:v>
                </c:pt>
                <c:pt idx="619">
                  <c:v>-2.7699999999999818</c:v>
                </c:pt>
                <c:pt idx="620">
                  <c:v>4.7900000000000205</c:v>
                </c:pt>
                <c:pt idx="621">
                  <c:v>8.5949999999999704</c:v>
                </c:pt>
                <c:pt idx="622">
                  <c:v>-0.17500000000001137</c:v>
                </c:pt>
                <c:pt idx="623">
                  <c:v>6.0200000000000387</c:v>
                </c:pt>
                <c:pt idx="624">
                  <c:v>1.2299999999999613</c:v>
                </c:pt>
                <c:pt idx="625">
                  <c:v>-16.699999999999989</c:v>
                </c:pt>
                <c:pt idx="626">
                  <c:v>9.6399999999999864</c:v>
                </c:pt>
                <c:pt idx="627">
                  <c:v>8.6800000000000068</c:v>
                </c:pt>
                <c:pt idx="628">
                  <c:v>-0.79999999999995453</c:v>
                </c:pt>
                <c:pt idx="629">
                  <c:v>4.8799999999999955</c:v>
                </c:pt>
                <c:pt idx="630">
                  <c:v>-1.8300000000000409</c:v>
                </c:pt>
                <c:pt idx="631">
                  <c:v>-3.9599999999999795</c:v>
                </c:pt>
                <c:pt idx="632">
                  <c:v>-9.089999999999975</c:v>
                </c:pt>
                <c:pt idx="633">
                  <c:v>-7.7900000000000205</c:v>
                </c:pt>
                <c:pt idx="634">
                  <c:v>2.3000000000000114</c:v>
                </c:pt>
                <c:pt idx="635">
                  <c:v>-1.9399999999999977</c:v>
                </c:pt>
                <c:pt idx="636">
                  <c:v>-7.7200000000000273</c:v>
                </c:pt>
                <c:pt idx="637">
                  <c:v>7.6700000000000159</c:v>
                </c:pt>
                <c:pt idx="638">
                  <c:v>-9.4800000000000182</c:v>
                </c:pt>
                <c:pt idx="639">
                  <c:v>4.0600000000000023</c:v>
                </c:pt>
                <c:pt idx="640">
                  <c:v>-1.2199999999999704</c:v>
                </c:pt>
                <c:pt idx="641">
                  <c:v>1</c:v>
                </c:pt>
                <c:pt idx="642">
                  <c:v>4.9099999999999682</c:v>
                </c:pt>
                <c:pt idx="643">
                  <c:v>7.9600000000000364</c:v>
                </c:pt>
                <c:pt idx="644">
                  <c:v>-6.9900000000000091</c:v>
                </c:pt>
                <c:pt idx="645">
                  <c:v>7.089999999999975</c:v>
                </c:pt>
                <c:pt idx="646">
                  <c:v>4.9200000000000159</c:v>
                </c:pt>
                <c:pt idx="647">
                  <c:v>-5.6100000000000136</c:v>
                </c:pt>
                <c:pt idx="648">
                  <c:v>28.370000000000005</c:v>
                </c:pt>
                <c:pt idx="649">
                  <c:v>-3.410000000000025</c:v>
                </c:pt>
                <c:pt idx="650">
                  <c:v>1.57000000000005</c:v>
                </c:pt>
                <c:pt idx="651">
                  <c:v>14.439999999999998</c:v>
                </c:pt>
                <c:pt idx="652">
                  <c:v>10.669999999999959</c:v>
                </c:pt>
                <c:pt idx="653">
                  <c:v>2.0099999999999909</c:v>
                </c:pt>
                <c:pt idx="654">
                  <c:v>12.940000000000055</c:v>
                </c:pt>
                <c:pt idx="655">
                  <c:v>0.44999999999998863</c:v>
                </c:pt>
                <c:pt idx="656">
                  <c:v>12.659999999999968</c:v>
                </c:pt>
                <c:pt idx="657">
                  <c:v>-18.279999999999973</c:v>
                </c:pt>
                <c:pt idx="658">
                  <c:v>9.6700000000000159</c:v>
                </c:pt>
                <c:pt idx="659">
                  <c:v>-14.710000000000036</c:v>
                </c:pt>
                <c:pt idx="660">
                  <c:v>-13.879999999999995</c:v>
                </c:pt>
                <c:pt idx="661">
                  <c:v>-0.62000000000000455</c:v>
                </c:pt>
                <c:pt idx="662">
                  <c:v>8.9900000000000091</c:v>
                </c:pt>
                <c:pt idx="663">
                  <c:v>2.5</c:v>
                </c:pt>
                <c:pt idx="664">
                  <c:v>5.4300000000000068</c:v>
                </c:pt>
                <c:pt idx="665">
                  <c:v>-6.9800000000000182</c:v>
                </c:pt>
                <c:pt idx="666">
                  <c:v>-7.8799999999999955</c:v>
                </c:pt>
                <c:pt idx="667">
                  <c:v>-24.20999999999998</c:v>
                </c:pt>
                <c:pt idx="668">
                  <c:v>-1.6999999999999886</c:v>
                </c:pt>
                <c:pt idx="669">
                  <c:v>-0.26000000000004775</c:v>
                </c:pt>
                <c:pt idx="670">
                  <c:v>9.6100000000000136</c:v>
                </c:pt>
                <c:pt idx="671">
                  <c:v>3.9600000000000364</c:v>
                </c:pt>
                <c:pt idx="672">
                  <c:v>-3.5100000000000477</c:v>
                </c:pt>
                <c:pt idx="673">
                  <c:v>-2.25</c:v>
                </c:pt>
                <c:pt idx="674">
                  <c:v>2.160000000000025</c:v>
                </c:pt>
                <c:pt idx="675">
                  <c:v>-8.7699999999999818</c:v>
                </c:pt>
                <c:pt idx="676">
                  <c:v>12.589999999999975</c:v>
                </c:pt>
                <c:pt idx="677">
                  <c:v>1.160000000000025</c:v>
                </c:pt>
                <c:pt idx="678">
                  <c:v>-3.6200000000000045</c:v>
                </c:pt>
                <c:pt idx="679">
                  <c:v>-6.6500000000000341</c:v>
                </c:pt>
                <c:pt idx="680">
                  <c:v>-10.379999999999995</c:v>
                </c:pt>
                <c:pt idx="681">
                  <c:v>-5.7699999999999818</c:v>
                </c:pt>
                <c:pt idx="682">
                  <c:v>11.310000000000002</c:v>
                </c:pt>
                <c:pt idx="683">
                  <c:v>-2.0900000000000318</c:v>
                </c:pt>
                <c:pt idx="684">
                  <c:v>-9.4699999999999704</c:v>
                </c:pt>
                <c:pt idx="685">
                  <c:v>-7.0099999999999909</c:v>
                </c:pt>
                <c:pt idx="686">
                  <c:v>7.9699999999999704</c:v>
                </c:pt>
                <c:pt idx="687">
                  <c:v>2.6999999999999886</c:v>
                </c:pt>
                <c:pt idx="688">
                  <c:v>48.700000000000045</c:v>
                </c:pt>
                <c:pt idx="689">
                  <c:v>-1.3700000000000045</c:v>
                </c:pt>
                <c:pt idx="690">
                  <c:v>-6.1800000000000068</c:v>
                </c:pt>
                <c:pt idx="691">
                  <c:v>37.579999999999984</c:v>
                </c:pt>
                <c:pt idx="692">
                  <c:v>-9.2300000000000182</c:v>
                </c:pt>
                <c:pt idx="693">
                  <c:v>-17.889999999999986</c:v>
                </c:pt>
                <c:pt idx="694">
                  <c:v>3.0400000000000205</c:v>
                </c:pt>
                <c:pt idx="695">
                  <c:v>0.92000000000001592</c:v>
                </c:pt>
                <c:pt idx="696">
                  <c:v>-8.7700000000000387</c:v>
                </c:pt>
                <c:pt idx="697">
                  <c:v>-8.9499999999999886</c:v>
                </c:pt>
                <c:pt idx="698">
                  <c:v>-3.2400000000000091</c:v>
                </c:pt>
                <c:pt idx="699">
                  <c:v>-29.949999999999989</c:v>
                </c:pt>
                <c:pt idx="700">
                  <c:v>2.9399999999999977</c:v>
                </c:pt>
                <c:pt idx="701">
                  <c:v>13.45999999999998</c:v>
                </c:pt>
                <c:pt idx="702">
                  <c:v>-0.25999999999999091</c:v>
                </c:pt>
                <c:pt idx="703">
                  <c:v>-1.5399999999999636</c:v>
                </c:pt>
                <c:pt idx="704">
                  <c:v>2.7199999999999704</c:v>
                </c:pt>
                <c:pt idx="705">
                  <c:v>-3.5500000000000114</c:v>
                </c:pt>
                <c:pt idx="706">
                  <c:v>-7.4099999999999682</c:v>
                </c:pt>
                <c:pt idx="707">
                  <c:v>-6.8500000000000227</c:v>
                </c:pt>
                <c:pt idx="708">
                  <c:v>-1.8600000000000136</c:v>
                </c:pt>
                <c:pt idx="709">
                  <c:v>-1.4899999999999523</c:v>
                </c:pt>
                <c:pt idx="710">
                  <c:v>-12.710000000000036</c:v>
                </c:pt>
                <c:pt idx="711">
                  <c:v>-8.2099999999999795</c:v>
                </c:pt>
                <c:pt idx="712">
                  <c:v>0.20999999999997954</c:v>
                </c:pt>
                <c:pt idx="713">
                  <c:v>-17.70999999999998</c:v>
                </c:pt>
                <c:pt idx="714">
                  <c:v>22.259999999999991</c:v>
                </c:pt>
                <c:pt idx="715">
                  <c:v>-6.0600000000000023</c:v>
                </c:pt>
                <c:pt idx="716">
                  <c:v>11.100000000000023</c:v>
                </c:pt>
                <c:pt idx="717">
                  <c:v>-1.0800000000000409</c:v>
                </c:pt>
                <c:pt idx="718">
                  <c:v>5.7400000000000091</c:v>
                </c:pt>
                <c:pt idx="719">
                  <c:v>-0.36000000000001364</c:v>
                </c:pt>
                <c:pt idx="720">
                  <c:v>-9.8799999999999955</c:v>
                </c:pt>
                <c:pt idx="721">
                  <c:v>14.060000000000002</c:v>
                </c:pt>
                <c:pt idx="722">
                  <c:v>-0.68999999999999773</c:v>
                </c:pt>
                <c:pt idx="723">
                  <c:v>0.77000000000003865</c:v>
                </c:pt>
                <c:pt idx="724">
                  <c:v>0.57999999999998408</c:v>
                </c:pt>
                <c:pt idx="725">
                  <c:v>1.3100000000000023</c:v>
                </c:pt>
                <c:pt idx="726">
                  <c:v>8.589999999999975</c:v>
                </c:pt>
                <c:pt idx="727">
                  <c:v>-2.0600000000000023</c:v>
                </c:pt>
                <c:pt idx="728">
                  <c:v>-42.75</c:v>
                </c:pt>
                <c:pt idx="729">
                  <c:v>45.930000000000007</c:v>
                </c:pt>
                <c:pt idx="730">
                  <c:v>-9.6800000000000068</c:v>
                </c:pt>
                <c:pt idx="731">
                  <c:v>-6.2199999999999704</c:v>
                </c:pt>
                <c:pt idx="732">
                  <c:v>-12.970000000000027</c:v>
                </c:pt>
                <c:pt idx="733">
                  <c:v>-19.879999999999995</c:v>
                </c:pt>
                <c:pt idx="734">
                  <c:v>-11.389999999999986</c:v>
                </c:pt>
                <c:pt idx="735">
                  <c:v>12.240000000000009</c:v>
                </c:pt>
                <c:pt idx="736">
                  <c:v>-5.9200000000000159</c:v>
                </c:pt>
                <c:pt idx="737">
                  <c:v>-4.6500000000000057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3C-423E-B6C7-B707920F95F7}"/>
            </c:ext>
          </c:extLst>
        </c:ser>
        <c:ser>
          <c:idx val="2"/>
          <c:order val="2"/>
          <c:tx>
            <c:v>3-average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'tesla-stock-price (2)'!$A$21:$A$758</c:f>
              <c:numCache>
                <c:formatCode>General</c:formatCode>
                <c:ptCount val="738"/>
                <c:pt idx="0">
                  <c:v>42318</c:v>
                </c:pt>
                <c:pt idx="1">
                  <c:v>42319</c:v>
                </c:pt>
                <c:pt idx="2">
                  <c:v>42320</c:v>
                </c:pt>
                <c:pt idx="3">
                  <c:v>42321</c:v>
                </c:pt>
                <c:pt idx="4">
                  <c:v>42324</c:v>
                </c:pt>
                <c:pt idx="5">
                  <c:v>42325</c:v>
                </c:pt>
                <c:pt idx="6">
                  <c:v>42326</c:v>
                </c:pt>
                <c:pt idx="7">
                  <c:v>42327</c:v>
                </c:pt>
                <c:pt idx="8">
                  <c:v>42328</c:v>
                </c:pt>
                <c:pt idx="9">
                  <c:v>42331</c:v>
                </c:pt>
                <c:pt idx="10">
                  <c:v>42332</c:v>
                </c:pt>
                <c:pt idx="11">
                  <c:v>42333</c:v>
                </c:pt>
                <c:pt idx="12">
                  <c:v>42335</c:v>
                </c:pt>
                <c:pt idx="13">
                  <c:v>42338</c:v>
                </c:pt>
                <c:pt idx="14">
                  <c:v>42339</c:v>
                </c:pt>
                <c:pt idx="15">
                  <c:v>42340</c:v>
                </c:pt>
                <c:pt idx="16">
                  <c:v>42341</c:v>
                </c:pt>
                <c:pt idx="17">
                  <c:v>42342</c:v>
                </c:pt>
                <c:pt idx="18">
                  <c:v>42345</c:v>
                </c:pt>
                <c:pt idx="19">
                  <c:v>42346</c:v>
                </c:pt>
                <c:pt idx="20">
                  <c:v>42347</c:v>
                </c:pt>
                <c:pt idx="21">
                  <c:v>42348</c:v>
                </c:pt>
                <c:pt idx="22">
                  <c:v>42349</c:v>
                </c:pt>
                <c:pt idx="23">
                  <c:v>42352</c:v>
                </c:pt>
                <c:pt idx="24">
                  <c:v>42353</c:v>
                </c:pt>
                <c:pt idx="25">
                  <c:v>42354</c:v>
                </c:pt>
                <c:pt idx="26">
                  <c:v>42355</c:v>
                </c:pt>
                <c:pt idx="27">
                  <c:v>42356</c:v>
                </c:pt>
                <c:pt idx="28">
                  <c:v>42359</c:v>
                </c:pt>
                <c:pt idx="29">
                  <c:v>42360</c:v>
                </c:pt>
                <c:pt idx="30">
                  <c:v>42361</c:v>
                </c:pt>
                <c:pt idx="31">
                  <c:v>42362</c:v>
                </c:pt>
                <c:pt idx="32">
                  <c:v>42366</c:v>
                </c:pt>
                <c:pt idx="33">
                  <c:v>42367</c:v>
                </c:pt>
                <c:pt idx="34">
                  <c:v>42368</c:v>
                </c:pt>
                <c:pt idx="35">
                  <c:v>42369</c:v>
                </c:pt>
                <c:pt idx="36">
                  <c:v>42373</c:v>
                </c:pt>
                <c:pt idx="37">
                  <c:v>42374</c:v>
                </c:pt>
                <c:pt idx="38">
                  <c:v>42375</c:v>
                </c:pt>
                <c:pt idx="39">
                  <c:v>42376</c:v>
                </c:pt>
                <c:pt idx="40">
                  <c:v>42377</c:v>
                </c:pt>
                <c:pt idx="41">
                  <c:v>42380</c:v>
                </c:pt>
                <c:pt idx="42">
                  <c:v>42381</c:v>
                </c:pt>
                <c:pt idx="43">
                  <c:v>42382</c:v>
                </c:pt>
                <c:pt idx="44">
                  <c:v>42383</c:v>
                </c:pt>
                <c:pt idx="45">
                  <c:v>42384</c:v>
                </c:pt>
                <c:pt idx="46">
                  <c:v>42388</c:v>
                </c:pt>
                <c:pt idx="47">
                  <c:v>42389</c:v>
                </c:pt>
                <c:pt idx="48">
                  <c:v>42390</c:v>
                </c:pt>
                <c:pt idx="49">
                  <c:v>42391</c:v>
                </c:pt>
                <c:pt idx="50">
                  <c:v>42394</c:v>
                </c:pt>
                <c:pt idx="51">
                  <c:v>42395</c:v>
                </c:pt>
                <c:pt idx="52">
                  <c:v>42396</c:v>
                </c:pt>
                <c:pt idx="53">
                  <c:v>42397</c:v>
                </c:pt>
                <c:pt idx="54">
                  <c:v>42398</c:v>
                </c:pt>
                <c:pt idx="55">
                  <c:v>42401</c:v>
                </c:pt>
                <c:pt idx="56">
                  <c:v>42402</c:v>
                </c:pt>
                <c:pt idx="57">
                  <c:v>42403</c:v>
                </c:pt>
                <c:pt idx="58">
                  <c:v>42404</c:v>
                </c:pt>
                <c:pt idx="59">
                  <c:v>42405</c:v>
                </c:pt>
                <c:pt idx="60">
                  <c:v>42408</c:v>
                </c:pt>
                <c:pt idx="61">
                  <c:v>42409</c:v>
                </c:pt>
                <c:pt idx="62">
                  <c:v>42410</c:v>
                </c:pt>
                <c:pt idx="63">
                  <c:v>42411</c:v>
                </c:pt>
                <c:pt idx="64">
                  <c:v>42412</c:v>
                </c:pt>
                <c:pt idx="65">
                  <c:v>42416</c:v>
                </c:pt>
                <c:pt idx="66">
                  <c:v>42417</c:v>
                </c:pt>
                <c:pt idx="67">
                  <c:v>42418</c:v>
                </c:pt>
                <c:pt idx="68">
                  <c:v>42419</c:v>
                </c:pt>
                <c:pt idx="69">
                  <c:v>42422</c:v>
                </c:pt>
                <c:pt idx="70">
                  <c:v>42423</c:v>
                </c:pt>
                <c:pt idx="71">
                  <c:v>42424</c:v>
                </c:pt>
                <c:pt idx="72">
                  <c:v>42425</c:v>
                </c:pt>
                <c:pt idx="73">
                  <c:v>42426</c:v>
                </c:pt>
                <c:pt idx="74">
                  <c:v>42429</c:v>
                </c:pt>
                <c:pt idx="75">
                  <c:v>42430</c:v>
                </c:pt>
                <c:pt idx="76">
                  <c:v>42431</c:v>
                </c:pt>
                <c:pt idx="77">
                  <c:v>42432</c:v>
                </c:pt>
                <c:pt idx="78">
                  <c:v>42433</c:v>
                </c:pt>
                <c:pt idx="79">
                  <c:v>42436</c:v>
                </c:pt>
                <c:pt idx="80">
                  <c:v>42437</c:v>
                </c:pt>
                <c:pt idx="81">
                  <c:v>42438</c:v>
                </c:pt>
                <c:pt idx="82">
                  <c:v>42439</c:v>
                </c:pt>
                <c:pt idx="83">
                  <c:v>42440</c:v>
                </c:pt>
                <c:pt idx="84">
                  <c:v>42443</c:v>
                </c:pt>
                <c:pt idx="85">
                  <c:v>42444</c:v>
                </c:pt>
                <c:pt idx="86">
                  <c:v>42445</c:v>
                </c:pt>
                <c:pt idx="87">
                  <c:v>42446</c:v>
                </c:pt>
                <c:pt idx="88">
                  <c:v>42447</c:v>
                </c:pt>
                <c:pt idx="89">
                  <c:v>42450</c:v>
                </c:pt>
                <c:pt idx="90">
                  <c:v>42451</c:v>
                </c:pt>
                <c:pt idx="91">
                  <c:v>42452</c:v>
                </c:pt>
                <c:pt idx="92">
                  <c:v>42453</c:v>
                </c:pt>
                <c:pt idx="93">
                  <c:v>42457</c:v>
                </c:pt>
                <c:pt idx="94">
                  <c:v>42458</c:v>
                </c:pt>
                <c:pt idx="95">
                  <c:v>42459</c:v>
                </c:pt>
                <c:pt idx="96">
                  <c:v>42460</c:v>
                </c:pt>
                <c:pt idx="97">
                  <c:v>42461</c:v>
                </c:pt>
                <c:pt idx="98">
                  <c:v>42464</c:v>
                </c:pt>
                <c:pt idx="99">
                  <c:v>42465</c:v>
                </c:pt>
                <c:pt idx="100">
                  <c:v>42466</c:v>
                </c:pt>
                <c:pt idx="101">
                  <c:v>42467</c:v>
                </c:pt>
                <c:pt idx="102">
                  <c:v>42468</c:v>
                </c:pt>
                <c:pt idx="103">
                  <c:v>42471</c:v>
                </c:pt>
                <c:pt idx="104">
                  <c:v>42472</c:v>
                </c:pt>
                <c:pt idx="105">
                  <c:v>42473</c:v>
                </c:pt>
                <c:pt idx="106">
                  <c:v>42474</c:v>
                </c:pt>
                <c:pt idx="107">
                  <c:v>42475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42485</c:v>
                </c:pt>
                <c:pt idx="114">
                  <c:v>42486</c:v>
                </c:pt>
                <c:pt idx="115">
                  <c:v>42487</c:v>
                </c:pt>
                <c:pt idx="116">
                  <c:v>42488</c:v>
                </c:pt>
                <c:pt idx="117">
                  <c:v>42489</c:v>
                </c:pt>
                <c:pt idx="118">
                  <c:v>42492</c:v>
                </c:pt>
                <c:pt idx="119">
                  <c:v>42493</c:v>
                </c:pt>
                <c:pt idx="120">
                  <c:v>42494</c:v>
                </c:pt>
                <c:pt idx="121">
                  <c:v>42495</c:v>
                </c:pt>
                <c:pt idx="122">
                  <c:v>42496</c:v>
                </c:pt>
                <c:pt idx="123">
                  <c:v>42499</c:v>
                </c:pt>
                <c:pt idx="124">
                  <c:v>42500</c:v>
                </c:pt>
                <c:pt idx="125">
                  <c:v>42501</c:v>
                </c:pt>
                <c:pt idx="126">
                  <c:v>42502</c:v>
                </c:pt>
                <c:pt idx="127">
                  <c:v>42503</c:v>
                </c:pt>
                <c:pt idx="128">
                  <c:v>42506</c:v>
                </c:pt>
                <c:pt idx="129">
                  <c:v>42507</c:v>
                </c:pt>
                <c:pt idx="130">
                  <c:v>42508</c:v>
                </c:pt>
                <c:pt idx="131">
                  <c:v>42509</c:v>
                </c:pt>
                <c:pt idx="132">
                  <c:v>42510</c:v>
                </c:pt>
                <c:pt idx="133">
                  <c:v>42513</c:v>
                </c:pt>
                <c:pt idx="134">
                  <c:v>42514</c:v>
                </c:pt>
                <c:pt idx="135">
                  <c:v>42515</c:v>
                </c:pt>
                <c:pt idx="136">
                  <c:v>42516</c:v>
                </c:pt>
                <c:pt idx="137">
                  <c:v>42517</c:v>
                </c:pt>
                <c:pt idx="138">
                  <c:v>42521</c:v>
                </c:pt>
                <c:pt idx="139">
                  <c:v>42522</c:v>
                </c:pt>
                <c:pt idx="140">
                  <c:v>42523</c:v>
                </c:pt>
                <c:pt idx="141">
                  <c:v>42524</c:v>
                </c:pt>
                <c:pt idx="142">
                  <c:v>42527</c:v>
                </c:pt>
                <c:pt idx="143">
                  <c:v>42528</c:v>
                </c:pt>
                <c:pt idx="144">
                  <c:v>42529</c:v>
                </c:pt>
                <c:pt idx="145">
                  <c:v>42530</c:v>
                </c:pt>
                <c:pt idx="146">
                  <c:v>42531</c:v>
                </c:pt>
                <c:pt idx="147">
                  <c:v>42534</c:v>
                </c:pt>
                <c:pt idx="148">
                  <c:v>42535</c:v>
                </c:pt>
                <c:pt idx="149">
                  <c:v>42536</c:v>
                </c:pt>
                <c:pt idx="150">
                  <c:v>42537</c:v>
                </c:pt>
                <c:pt idx="151">
                  <c:v>42538</c:v>
                </c:pt>
                <c:pt idx="152">
                  <c:v>42541</c:v>
                </c:pt>
                <c:pt idx="153">
                  <c:v>42542</c:v>
                </c:pt>
                <c:pt idx="154">
                  <c:v>42543</c:v>
                </c:pt>
                <c:pt idx="155">
                  <c:v>42544</c:v>
                </c:pt>
                <c:pt idx="156">
                  <c:v>42545</c:v>
                </c:pt>
                <c:pt idx="157">
                  <c:v>42548</c:v>
                </c:pt>
                <c:pt idx="158">
                  <c:v>42549</c:v>
                </c:pt>
                <c:pt idx="159">
                  <c:v>42550</c:v>
                </c:pt>
                <c:pt idx="160">
                  <c:v>42551</c:v>
                </c:pt>
                <c:pt idx="161">
                  <c:v>42552</c:v>
                </c:pt>
                <c:pt idx="162">
                  <c:v>42556</c:v>
                </c:pt>
                <c:pt idx="163">
                  <c:v>42557</c:v>
                </c:pt>
                <c:pt idx="164">
                  <c:v>42558</c:v>
                </c:pt>
                <c:pt idx="165">
                  <c:v>42559</c:v>
                </c:pt>
                <c:pt idx="166">
                  <c:v>42562</c:v>
                </c:pt>
                <c:pt idx="167">
                  <c:v>42563</c:v>
                </c:pt>
                <c:pt idx="168">
                  <c:v>42564</c:v>
                </c:pt>
                <c:pt idx="169">
                  <c:v>42565</c:v>
                </c:pt>
                <c:pt idx="170">
                  <c:v>42566</c:v>
                </c:pt>
                <c:pt idx="171">
                  <c:v>42569</c:v>
                </c:pt>
                <c:pt idx="172">
                  <c:v>42570</c:v>
                </c:pt>
                <c:pt idx="173">
                  <c:v>42571</c:v>
                </c:pt>
                <c:pt idx="174">
                  <c:v>42572</c:v>
                </c:pt>
                <c:pt idx="175">
                  <c:v>42573</c:v>
                </c:pt>
                <c:pt idx="176">
                  <c:v>42576</c:v>
                </c:pt>
                <c:pt idx="177">
                  <c:v>42577</c:v>
                </c:pt>
                <c:pt idx="178">
                  <c:v>42578</c:v>
                </c:pt>
                <c:pt idx="179">
                  <c:v>42579</c:v>
                </c:pt>
                <c:pt idx="180">
                  <c:v>42580</c:v>
                </c:pt>
                <c:pt idx="181">
                  <c:v>42583</c:v>
                </c:pt>
                <c:pt idx="182">
                  <c:v>42584</c:v>
                </c:pt>
                <c:pt idx="183">
                  <c:v>42585</c:v>
                </c:pt>
                <c:pt idx="184">
                  <c:v>42586</c:v>
                </c:pt>
                <c:pt idx="185">
                  <c:v>42587</c:v>
                </c:pt>
                <c:pt idx="186">
                  <c:v>42590</c:v>
                </c:pt>
                <c:pt idx="187">
                  <c:v>42591</c:v>
                </c:pt>
                <c:pt idx="188">
                  <c:v>42592</c:v>
                </c:pt>
                <c:pt idx="189">
                  <c:v>42593</c:v>
                </c:pt>
                <c:pt idx="190">
                  <c:v>42594</c:v>
                </c:pt>
                <c:pt idx="191">
                  <c:v>42597</c:v>
                </c:pt>
                <c:pt idx="192">
                  <c:v>42598</c:v>
                </c:pt>
                <c:pt idx="193">
                  <c:v>42599</c:v>
                </c:pt>
                <c:pt idx="194">
                  <c:v>42600</c:v>
                </c:pt>
                <c:pt idx="195">
                  <c:v>42601</c:v>
                </c:pt>
                <c:pt idx="196">
                  <c:v>42604</c:v>
                </c:pt>
                <c:pt idx="197">
                  <c:v>42605</c:v>
                </c:pt>
                <c:pt idx="198">
                  <c:v>42606</c:v>
                </c:pt>
                <c:pt idx="199">
                  <c:v>42607</c:v>
                </c:pt>
                <c:pt idx="200">
                  <c:v>42608</c:v>
                </c:pt>
                <c:pt idx="201">
                  <c:v>42611</c:v>
                </c:pt>
                <c:pt idx="202">
                  <c:v>42612</c:v>
                </c:pt>
                <c:pt idx="203">
                  <c:v>42613</c:v>
                </c:pt>
                <c:pt idx="204">
                  <c:v>42614</c:v>
                </c:pt>
                <c:pt idx="205">
                  <c:v>42615</c:v>
                </c:pt>
                <c:pt idx="206">
                  <c:v>42619</c:v>
                </c:pt>
                <c:pt idx="207">
                  <c:v>42620</c:v>
                </c:pt>
                <c:pt idx="208">
                  <c:v>42621</c:v>
                </c:pt>
                <c:pt idx="209">
                  <c:v>42622</c:v>
                </c:pt>
                <c:pt idx="210">
                  <c:v>42625</c:v>
                </c:pt>
                <c:pt idx="211">
                  <c:v>42626</c:v>
                </c:pt>
                <c:pt idx="212">
                  <c:v>42627</c:v>
                </c:pt>
                <c:pt idx="213">
                  <c:v>42628</c:v>
                </c:pt>
                <c:pt idx="214">
                  <c:v>42629</c:v>
                </c:pt>
                <c:pt idx="215">
                  <c:v>42632</c:v>
                </c:pt>
                <c:pt idx="216">
                  <c:v>42633</c:v>
                </c:pt>
                <c:pt idx="217">
                  <c:v>42634</c:v>
                </c:pt>
                <c:pt idx="218">
                  <c:v>42635</c:v>
                </c:pt>
                <c:pt idx="219">
                  <c:v>42636</c:v>
                </c:pt>
                <c:pt idx="220">
                  <c:v>42639</c:v>
                </c:pt>
                <c:pt idx="221">
                  <c:v>42640</c:v>
                </c:pt>
                <c:pt idx="222">
                  <c:v>42641</c:v>
                </c:pt>
                <c:pt idx="223">
                  <c:v>42642</c:v>
                </c:pt>
                <c:pt idx="224">
                  <c:v>42643</c:v>
                </c:pt>
                <c:pt idx="225">
                  <c:v>42646</c:v>
                </c:pt>
                <c:pt idx="226">
                  <c:v>42647</c:v>
                </c:pt>
                <c:pt idx="227">
                  <c:v>42648</c:v>
                </c:pt>
                <c:pt idx="228">
                  <c:v>42649</c:v>
                </c:pt>
                <c:pt idx="229">
                  <c:v>42650</c:v>
                </c:pt>
                <c:pt idx="230">
                  <c:v>42653</c:v>
                </c:pt>
                <c:pt idx="231">
                  <c:v>42654</c:v>
                </c:pt>
                <c:pt idx="232">
                  <c:v>42655</c:v>
                </c:pt>
                <c:pt idx="233">
                  <c:v>42656</c:v>
                </c:pt>
                <c:pt idx="234">
                  <c:v>42657</c:v>
                </c:pt>
                <c:pt idx="235">
                  <c:v>42660</c:v>
                </c:pt>
                <c:pt idx="236">
                  <c:v>42661</c:v>
                </c:pt>
                <c:pt idx="237">
                  <c:v>42662</c:v>
                </c:pt>
                <c:pt idx="238">
                  <c:v>42663</c:v>
                </c:pt>
                <c:pt idx="239">
                  <c:v>42664</c:v>
                </c:pt>
                <c:pt idx="240">
                  <c:v>42667</c:v>
                </c:pt>
                <c:pt idx="241">
                  <c:v>42668</c:v>
                </c:pt>
                <c:pt idx="242">
                  <c:v>42669</c:v>
                </c:pt>
                <c:pt idx="243">
                  <c:v>42670</c:v>
                </c:pt>
                <c:pt idx="244">
                  <c:v>42671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42681</c:v>
                </c:pt>
                <c:pt idx="251">
                  <c:v>42682</c:v>
                </c:pt>
                <c:pt idx="252">
                  <c:v>42683</c:v>
                </c:pt>
                <c:pt idx="253">
                  <c:v>42684</c:v>
                </c:pt>
                <c:pt idx="254">
                  <c:v>42685</c:v>
                </c:pt>
                <c:pt idx="255">
                  <c:v>42688</c:v>
                </c:pt>
                <c:pt idx="256">
                  <c:v>42689</c:v>
                </c:pt>
                <c:pt idx="257">
                  <c:v>42690</c:v>
                </c:pt>
                <c:pt idx="258">
                  <c:v>42691</c:v>
                </c:pt>
                <c:pt idx="259">
                  <c:v>42692</c:v>
                </c:pt>
                <c:pt idx="260">
                  <c:v>42695</c:v>
                </c:pt>
                <c:pt idx="261">
                  <c:v>42696</c:v>
                </c:pt>
                <c:pt idx="262">
                  <c:v>42697</c:v>
                </c:pt>
                <c:pt idx="263">
                  <c:v>42699</c:v>
                </c:pt>
                <c:pt idx="264">
                  <c:v>42702</c:v>
                </c:pt>
                <c:pt idx="265">
                  <c:v>42703</c:v>
                </c:pt>
                <c:pt idx="266">
                  <c:v>42704</c:v>
                </c:pt>
                <c:pt idx="267">
                  <c:v>42705</c:v>
                </c:pt>
                <c:pt idx="268">
                  <c:v>42706</c:v>
                </c:pt>
                <c:pt idx="269">
                  <c:v>42709</c:v>
                </c:pt>
                <c:pt idx="270">
                  <c:v>42710</c:v>
                </c:pt>
                <c:pt idx="271">
                  <c:v>42711</c:v>
                </c:pt>
                <c:pt idx="272">
                  <c:v>42712</c:v>
                </c:pt>
                <c:pt idx="273">
                  <c:v>42713</c:v>
                </c:pt>
                <c:pt idx="274">
                  <c:v>42716</c:v>
                </c:pt>
                <c:pt idx="275">
                  <c:v>42717</c:v>
                </c:pt>
                <c:pt idx="276">
                  <c:v>42718</c:v>
                </c:pt>
                <c:pt idx="277">
                  <c:v>42719</c:v>
                </c:pt>
                <c:pt idx="278">
                  <c:v>42720</c:v>
                </c:pt>
                <c:pt idx="279">
                  <c:v>42723</c:v>
                </c:pt>
                <c:pt idx="280">
                  <c:v>42724</c:v>
                </c:pt>
                <c:pt idx="281">
                  <c:v>42725</c:v>
                </c:pt>
                <c:pt idx="282">
                  <c:v>42726</c:v>
                </c:pt>
                <c:pt idx="283">
                  <c:v>42727</c:v>
                </c:pt>
                <c:pt idx="284">
                  <c:v>42731</c:v>
                </c:pt>
                <c:pt idx="285">
                  <c:v>42732</c:v>
                </c:pt>
                <c:pt idx="286">
                  <c:v>42733</c:v>
                </c:pt>
                <c:pt idx="287">
                  <c:v>42734</c:v>
                </c:pt>
                <c:pt idx="288">
                  <c:v>42738</c:v>
                </c:pt>
                <c:pt idx="289">
                  <c:v>42739</c:v>
                </c:pt>
                <c:pt idx="290">
                  <c:v>42740</c:v>
                </c:pt>
                <c:pt idx="291">
                  <c:v>42741</c:v>
                </c:pt>
                <c:pt idx="292">
                  <c:v>42744</c:v>
                </c:pt>
                <c:pt idx="293">
                  <c:v>42745</c:v>
                </c:pt>
                <c:pt idx="294">
                  <c:v>42746</c:v>
                </c:pt>
                <c:pt idx="295">
                  <c:v>42747</c:v>
                </c:pt>
                <c:pt idx="296">
                  <c:v>42748</c:v>
                </c:pt>
                <c:pt idx="297">
                  <c:v>42752</c:v>
                </c:pt>
                <c:pt idx="298">
                  <c:v>42753</c:v>
                </c:pt>
                <c:pt idx="299">
                  <c:v>42754</c:v>
                </c:pt>
                <c:pt idx="300">
                  <c:v>42755</c:v>
                </c:pt>
                <c:pt idx="301">
                  <c:v>42758</c:v>
                </c:pt>
                <c:pt idx="302">
                  <c:v>42759</c:v>
                </c:pt>
                <c:pt idx="303">
                  <c:v>42760</c:v>
                </c:pt>
                <c:pt idx="304">
                  <c:v>42761</c:v>
                </c:pt>
                <c:pt idx="305">
                  <c:v>42762</c:v>
                </c:pt>
                <c:pt idx="306">
                  <c:v>42765</c:v>
                </c:pt>
                <c:pt idx="307">
                  <c:v>42766</c:v>
                </c:pt>
                <c:pt idx="308">
                  <c:v>42767</c:v>
                </c:pt>
                <c:pt idx="309">
                  <c:v>42768</c:v>
                </c:pt>
                <c:pt idx="310">
                  <c:v>42769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42779</c:v>
                </c:pt>
                <c:pt idx="317">
                  <c:v>42780</c:v>
                </c:pt>
                <c:pt idx="318">
                  <c:v>42781</c:v>
                </c:pt>
                <c:pt idx="319">
                  <c:v>42782</c:v>
                </c:pt>
                <c:pt idx="320">
                  <c:v>42783</c:v>
                </c:pt>
                <c:pt idx="321">
                  <c:v>42787</c:v>
                </c:pt>
                <c:pt idx="322">
                  <c:v>42788</c:v>
                </c:pt>
                <c:pt idx="323">
                  <c:v>42789</c:v>
                </c:pt>
                <c:pt idx="324">
                  <c:v>42790</c:v>
                </c:pt>
                <c:pt idx="325">
                  <c:v>42793</c:v>
                </c:pt>
                <c:pt idx="326">
                  <c:v>42794</c:v>
                </c:pt>
                <c:pt idx="327">
                  <c:v>42795</c:v>
                </c:pt>
                <c:pt idx="328">
                  <c:v>42796</c:v>
                </c:pt>
                <c:pt idx="329">
                  <c:v>42797</c:v>
                </c:pt>
                <c:pt idx="330">
                  <c:v>42800</c:v>
                </c:pt>
                <c:pt idx="331">
                  <c:v>42801</c:v>
                </c:pt>
                <c:pt idx="332">
                  <c:v>42802</c:v>
                </c:pt>
                <c:pt idx="333">
                  <c:v>42803</c:v>
                </c:pt>
                <c:pt idx="334">
                  <c:v>42804</c:v>
                </c:pt>
                <c:pt idx="335">
                  <c:v>42807</c:v>
                </c:pt>
                <c:pt idx="336">
                  <c:v>42808</c:v>
                </c:pt>
                <c:pt idx="337">
                  <c:v>42809</c:v>
                </c:pt>
                <c:pt idx="338">
                  <c:v>42810</c:v>
                </c:pt>
                <c:pt idx="339">
                  <c:v>42811</c:v>
                </c:pt>
                <c:pt idx="340">
                  <c:v>42814</c:v>
                </c:pt>
                <c:pt idx="341">
                  <c:v>42815</c:v>
                </c:pt>
                <c:pt idx="342">
                  <c:v>42816</c:v>
                </c:pt>
                <c:pt idx="343">
                  <c:v>42817</c:v>
                </c:pt>
                <c:pt idx="344">
                  <c:v>42818</c:v>
                </c:pt>
                <c:pt idx="345">
                  <c:v>42821</c:v>
                </c:pt>
                <c:pt idx="346">
                  <c:v>42822</c:v>
                </c:pt>
                <c:pt idx="347">
                  <c:v>42823</c:v>
                </c:pt>
                <c:pt idx="348">
                  <c:v>42824</c:v>
                </c:pt>
                <c:pt idx="349">
                  <c:v>42825</c:v>
                </c:pt>
                <c:pt idx="350">
                  <c:v>42828</c:v>
                </c:pt>
                <c:pt idx="351">
                  <c:v>42829</c:v>
                </c:pt>
                <c:pt idx="352">
                  <c:v>42830</c:v>
                </c:pt>
                <c:pt idx="353">
                  <c:v>42831</c:v>
                </c:pt>
                <c:pt idx="354">
                  <c:v>42832</c:v>
                </c:pt>
                <c:pt idx="355">
                  <c:v>42835</c:v>
                </c:pt>
                <c:pt idx="356">
                  <c:v>42836</c:v>
                </c:pt>
                <c:pt idx="357">
                  <c:v>42837</c:v>
                </c:pt>
                <c:pt idx="358">
                  <c:v>42838</c:v>
                </c:pt>
                <c:pt idx="359">
                  <c:v>42842</c:v>
                </c:pt>
                <c:pt idx="360">
                  <c:v>42843</c:v>
                </c:pt>
                <c:pt idx="361">
                  <c:v>42844</c:v>
                </c:pt>
                <c:pt idx="362">
                  <c:v>42845</c:v>
                </c:pt>
                <c:pt idx="363">
                  <c:v>42846</c:v>
                </c:pt>
                <c:pt idx="364">
                  <c:v>42849</c:v>
                </c:pt>
                <c:pt idx="365">
                  <c:v>42850</c:v>
                </c:pt>
                <c:pt idx="366">
                  <c:v>42851</c:v>
                </c:pt>
                <c:pt idx="367">
                  <c:v>42852</c:v>
                </c:pt>
                <c:pt idx="368">
                  <c:v>42853</c:v>
                </c:pt>
                <c:pt idx="369">
                  <c:v>42856</c:v>
                </c:pt>
                <c:pt idx="370">
                  <c:v>42857</c:v>
                </c:pt>
                <c:pt idx="371">
                  <c:v>42858</c:v>
                </c:pt>
                <c:pt idx="372">
                  <c:v>42859</c:v>
                </c:pt>
                <c:pt idx="373">
                  <c:v>42860</c:v>
                </c:pt>
                <c:pt idx="374">
                  <c:v>42863</c:v>
                </c:pt>
                <c:pt idx="375">
                  <c:v>42864</c:v>
                </c:pt>
                <c:pt idx="376">
                  <c:v>42865</c:v>
                </c:pt>
                <c:pt idx="377">
                  <c:v>42866</c:v>
                </c:pt>
                <c:pt idx="378">
                  <c:v>42867</c:v>
                </c:pt>
                <c:pt idx="379">
                  <c:v>42870</c:v>
                </c:pt>
                <c:pt idx="380">
                  <c:v>42871</c:v>
                </c:pt>
                <c:pt idx="381">
                  <c:v>42872</c:v>
                </c:pt>
                <c:pt idx="382">
                  <c:v>42873</c:v>
                </c:pt>
                <c:pt idx="383">
                  <c:v>42874</c:v>
                </c:pt>
                <c:pt idx="384">
                  <c:v>42877</c:v>
                </c:pt>
                <c:pt idx="385">
                  <c:v>42878</c:v>
                </c:pt>
                <c:pt idx="386">
                  <c:v>42879</c:v>
                </c:pt>
                <c:pt idx="387">
                  <c:v>42880</c:v>
                </c:pt>
                <c:pt idx="388">
                  <c:v>42881</c:v>
                </c:pt>
                <c:pt idx="389">
                  <c:v>42885</c:v>
                </c:pt>
                <c:pt idx="390">
                  <c:v>42886</c:v>
                </c:pt>
                <c:pt idx="391">
                  <c:v>42887</c:v>
                </c:pt>
                <c:pt idx="392">
                  <c:v>42888</c:v>
                </c:pt>
                <c:pt idx="393">
                  <c:v>42891</c:v>
                </c:pt>
                <c:pt idx="394">
                  <c:v>42892</c:v>
                </c:pt>
                <c:pt idx="395">
                  <c:v>42893</c:v>
                </c:pt>
                <c:pt idx="396">
                  <c:v>42894</c:v>
                </c:pt>
                <c:pt idx="397">
                  <c:v>42895</c:v>
                </c:pt>
                <c:pt idx="398">
                  <c:v>42898</c:v>
                </c:pt>
                <c:pt idx="399">
                  <c:v>42899</c:v>
                </c:pt>
                <c:pt idx="400">
                  <c:v>42900</c:v>
                </c:pt>
                <c:pt idx="401">
                  <c:v>42901</c:v>
                </c:pt>
                <c:pt idx="402">
                  <c:v>42902</c:v>
                </c:pt>
                <c:pt idx="403">
                  <c:v>42905</c:v>
                </c:pt>
                <c:pt idx="404">
                  <c:v>42906</c:v>
                </c:pt>
                <c:pt idx="405">
                  <c:v>42907</c:v>
                </c:pt>
                <c:pt idx="406">
                  <c:v>42908</c:v>
                </c:pt>
                <c:pt idx="407">
                  <c:v>42909</c:v>
                </c:pt>
                <c:pt idx="408">
                  <c:v>42912</c:v>
                </c:pt>
                <c:pt idx="409">
                  <c:v>42913</c:v>
                </c:pt>
                <c:pt idx="410">
                  <c:v>42914</c:v>
                </c:pt>
                <c:pt idx="411">
                  <c:v>42915</c:v>
                </c:pt>
                <c:pt idx="412">
                  <c:v>42916</c:v>
                </c:pt>
                <c:pt idx="413">
                  <c:v>42919</c:v>
                </c:pt>
                <c:pt idx="414">
                  <c:v>42921</c:v>
                </c:pt>
                <c:pt idx="415">
                  <c:v>42922</c:v>
                </c:pt>
                <c:pt idx="416">
                  <c:v>42923</c:v>
                </c:pt>
                <c:pt idx="417">
                  <c:v>42926</c:v>
                </c:pt>
                <c:pt idx="418">
                  <c:v>42927</c:v>
                </c:pt>
                <c:pt idx="419">
                  <c:v>42928</c:v>
                </c:pt>
                <c:pt idx="420">
                  <c:v>42929</c:v>
                </c:pt>
                <c:pt idx="421">
                  <c:v>42930</c:v>
                </c:pt>
                <c:pt idx="422">
                  <c:v>42933</c:v>
                </c:pt>
                <c:pt idx="423">
                  <c:v>42934</c:v>
                </c:pt>
                <c:pt idx="424">
                  <c:v>42935</c:v>
                </c:pt>
                <c:pt idx="425">
                  <c:v>42936</c:v>
                </c:pt>
                <c:pt idx="426">
                  <c:v>42937</c:v>
                </c:pt>
                <c:pt idx="427">
                  <c:v>42940</c:v>
                </c:pt>
                <c:pt idx="428">
                  <c:v>42941</c:v>
                </c:pt>
                <c:pt idx="429">
                  <c:v>42942</c:v>
                </c:pt>
                <c:pt idx="430">
                  <c:v>42943</c:v>
                </c:pt>
                <c:pt idx="431">
                  <c:v>42944</c:v>
                </c:pt>
                <c:pt idx="432">
                  <c:v>42947</c:v>
                </c:pt>
                <c:pt idx="433">
                  <c:v>42948</c:v>
                </c:pt>
                <c:pt idx="434">
                  <c:v>42949</c:v>
                </c:pt>
                <c:pt idx="435">
                  <c:v>42950</c:v>
                </c:pt>
                <c:pt idx="436">
                  <c:v>42951</c:v>
                </c:pt>
                <c:pt idx="437">
                  <c:v>42954</c:v>
                </c:pt>
                <c:pt idx="438">
                  <c:v>42955</c:v>
                </c:pt>
                <c:pt idx="439">
                  <c:v>42956</c:v>
                </c:pt>
                <c:pt idx="440">
                  <c:v>42957</c:v>
                </c:pt>
                <c:pt idx="441">
                  <c:v>42958</c:v>
                </c:pt>
                <c:pt idx="442">
                  <c:v>42961</c:v>
                </c:pt>
                <c:pt idx="443">
                  <c:v>42962</c:v>
                </c:pt>
                <c:pt idx="444">
                  <c:v>42963</c:v>
                </c:pt>
                <c:pt idx="445">
                  <c:v>42964</c:v>
                </c:pt>
                <c:pt idx="446">
                  <c:v>42965</c:v>
                </c:pt>
                <c:pt idx="447">
                  <c:v>42968</c:v>
                </c:pt>
                <c:pt idx="448">
                  <c:v>42969</c:v>
                </c:pt>
                <c:pt idx="449">
                  <c:v>42970</c:v>
                </c:pt>
                <c:pt idx="450">
                  <c:v>42971</c:v>
                </c:pt>
                <c:pt idx="451">
                  <c:v>42972</c:v>
                </c:pt>
                <c:pt idx="452">
                  <c:v>42975</c:v>
                </c:pt>
                <c:pt idx="453">
                  <c:v>42976</c:v>
                </c:pt>
                <c:pt idx="454">
                  <c:v>42977</c:v>
                </c:pt>
                <c:pt idx="455">
                  <c:v>42978</c:v>
                </c:pt>
                <c:pt idx="456">
                  <c:v>42979</c:v>
                </c:pt>
                <c:pt idx="457">
                  <c:v>42983</c:v>
                </c:pt>
                <c:pt idx="458">
                  <c:v>42984</c:v>
                </c:pt>
                <c:pt idx="459">
                  <c:v>42985</c:v>
                </c:pt>
                <c:pt idx="460">
                  <c:v>42986</c:v>
                </c:pt>
                <c:pt idx="461">
                  <c:v>42989</c:v>
                </c:pt>
                <c:pt idx="462">
                  <c:v>42990</c:v>
                </c:pt>
                <c:pt idx="463">
                  <c:v>42991</c:v>
                </c:pt>
                <c:pt idx="464">
                  <c:v>42992</c:v>
                </c:pt>
                <c:pt idx="465">
                  <c:v>42993</c:v>
                </c:pt>
                <c:pt idx="466">
                  <c:v>42996</c:v>
                </c:pt>
                <c:pt idx="467">
                  <c:v>42997</c:v>
                </c:pt>
                <c:pt idx="468">
                  <c:v>42998</c:v>
                </c:pt>
                <c:pt idx="469">
                  <c:v>42999</c:v>
                </c:pt>
                <c:pt idx="470">
                  <c:v>43000</c:v>
                </c:pt>
                <c:pt idx="471">
                  <c:v>43003</c:v>
                </c:pt>
                <c:pt idx="472">
                  <c:v>43004</c:v>
                </c:pt>
                <c:pt idx="473">
                  <c:v>43005</c:v>
                </c:pt>
                <c:pt idx="474">
                  <c:v>43006</c:v>
                </c:pt>
                <c:pt idx="475">
                  <c:v>43007</c:v>
                </c:pt>
                <c:pt idx="476">
                  <c:v>43010</c:v>
                </c:pt>
                <c:pt idx="477">
                  <c:v>43011</c:v>
                </c:pt>
                <c:pt idx="478">
                  <c:v>43012</c:v>
                </c:pt>
                <c:pt idx="479">
                  <c:v>43013</c:v>
                </c:pt>
                <c:pt idx="480">
                  <c:v>43014</c:v>
                </c:pt>
                <c:pt idx="481">
                  <c:v>43017</c:v>
                </c:pt>
                <c:pt idx="482">
                  <c:v>43018</c:v>
                </c:pt>
                <c:pt idx="483">
                  <c:v>43019</c:v>
                </c:pt>
                <c:pt idx="484">
                  <c:v>43020</c:v>
                </c:pt>
                <c:pt idx="485">
                  <c:v>43021</c:v>
                </c:pt>
                <c:pt idx="486">
                  <c:v>43024</c:v>
                </c:pt>
                <c:pt idx="487">
                  <c:v>43025</c:v>
                </c:pt>
                <c:pt idx="488">
                  <c:v>43026</c:v>
                </c:pt>
                <c:pt idx="489">
                  <c:v>43027</c:v>
                </c:pt>
                <c:pt idx="490">
                  <c:v>43028</c:v>
                </c:pt>
                <c:pt idx="491">
                  <c:v>43031</c:v>
                </c:pt>
                <c:pt idx="492">
                  <c:v>43032</c:v>
                </c:pt>
                <c:pt idx="493">
                  <c:v>43033</c:v>
                </c:pt>
                <c:pt idx="494">
                  <c:v>43034</c:v>
                </c:pt>
                <c:pt idx="495">
                  <c:v>43035</c:v>
                </c:pt>
                <c:pt idx="496">
                  <c:v>43038</c:v>
                </c:pt>
                <c:pt idx="497">
                  <c:v>43039</c:v>
                </c:pt>
                <c:pt idx="498">
                  <c:v>43040</c:v>
                </c:pt>
                <c:pt idx="499">
                  <c:v>43041</c:v>
                </c:pt>
                <c:pt idx="500">
                  <c:v>43042</c:v>
                </c:pt>
                <c:pt idx="501">
                  <c:v>43045</c:v>
                </c:pt>
                <c:pt idx="502">
                  <c:v>43046</c:v>
                </c:pt>
                <c:pt idx="503">
                  <c:v>43047</c:v>
                </c:pt>
                <c:pt idx="504">
                  <c:v>43048</c:v>
                </c:pt>
                <c:pt idx="505">
                  <c:v>43049</c:v>
                </c:pt>
                <c:pt idx="506">
                  <c:v>43052</c:v>
                </c:pt>
                <c:pt idx="507">
                  <c:v>43053</c:v>
                </c:pt>
                <c:pt idx="508">
                  <c:v>43054</c:v>
                </c:pt>
                <c:pt idx="509">
                  <c:v>43055</c:v>
                </c:pt>
                <c:pt idx="510">
                  <c:v>43056</c:v>
                </c:pt>
                <c:pt idx="511">
                  <c:v>43059</c:v>
                </c:pt>
                <c:pt idx="512">
                  <c:v>43060</c:v>
                </c:pt>
                <c:pt idx="513">
                  <c:v>43061</c:v>
                </c:pt>
                <c:pt idx="514">
                  <c:v>43063</c:v>
                </c:pt>
                <c:pt idx="515">
                  <c:v>43066</c:v>
                </c:pt>
                <c:pt idx="516">
                  <c:v>43067</c:v>
                </c:pt>
                <c:pt idx="517">
                  <c:v>43068</c:v>
                </c:pt>
                <c:pt idx="518">
                  <c:v>43069</c:v>
                </c:pt>
                <c:pt idx="519">
                  <c:v>43070</c:v>
                </c:pt>
                <c:pt idx="520">
                  <c:v>43073</c:v>
                </c:pt>
                <c:pt idx="521">
                  <c:v>43074</c:v>
                </c:pt>
                <c:pt idx="522">
                  <c:v>43075</c:v>
                </c:pt>
                <c:pt idx="523">
                  <c:v>43076</c:v>
                </c:pt>
                <c:pt idx="524">
                  <c:v>43077</c:v>
                </c:pt>
                <c:pt idx="525">
                  <c:v>43080</c:v>
                </c:pt>
                <c:pt idx="526">
                  <c:v>43081</c:v>
                </c:pt>
                <c:pt idx="527">
                  <c:v>43082</c:v>
                </c:pt>
                <c:pt idx="528">
                  <c:v>43083</c:v>
                </c:pt>
                <c:pt idx="529">
                  <c:v>43084</c:v>
                </c:pt>
                <c:pt idx="530">
                  <c:v>43087</c:v>
                </c:pt>
                <c:pt idx="531">
                  <c:v>43088</c:v>
                </c:pt>
                <c:pt idx="532">
                  <c:v>43089</c:v>
                </c:pt>
                <c:pt idx="533">
                  <c:v>43090</c:v>
                </c:pt>
                <c:pt idx="534">
                  <c:v>43091</c:v>
                </c:pt>
                <c:pt idx="535">
                  <c:v>43095</c:v>
                </c:pt>
                <c:pt idx="536">
                  <c:v>43096</c:v>
                </c:pt>
                <c:pt idx="537">
                  <c:v>43097</c:v>
                </c:pt>
                <c:pt idx="538">
                  <c:v>43098</c:v>
                </c:pt>
                <c:pt idx="539">
                  <c:v>43102</c:v>
                </c:pt>
                <c:pt idx="540">
                  <c:v>43103</c:v>
                </c:pt>
                <c:pt idx="541">
                  <c:v>43104</c:v>
                </c:pt>
                <c:pt idx="542">
                  <c:v>43105</c:v>
                </c:pt>
                <c:pt idx="543">
                  <c:v>43108</c:v>
                </c:pt>
                <c:pt idx="544">
                  <c:v>43109</c:v>
                </c:pt>
                <c:pt idx="545">
                  <c:v>43110</c:v>
                </c:pt>
                <c:pt idx="546">
                  <c:v>43111</c:v>
                </c:pt>
                <c:pt idx="547">
                  <c:v>43112</c:v>
                </c:pt>
                <c:pt idx="548">
                  <c:v>43116</c:v>
                </c:pt>
                <c:pt idx="549">
                  <c:v>43117</c:v>
                </c:pt>
                <c:pt idx="550">
                  <c:v>43118</c:v>
                </c:pt>
                <c:pt idx="551">
                  <c:v>43119</c:v>
                </c:pt>
                <c:pt idx="552">
                  <c:v>43122</c:v>
                </c:pt>
                <c:pt idx="553">
                  <c:v>43123</c:v>
                </c:pt>
                <c:pt idx="554">
                  <c:v>43124</c:v>
                </c:pt>
                <c:pt idx="555">
                  <c:v>43125</c:v>
                </c:pt>
                <c:pt idx="556">
                  <c:v>43126</c:v>
                </c:pt>
                <c:pt idx="557">
                  <c:v>43129</c:v>
                </c:pt>
                <c:pt idx="558">
                  <c:v>43130</c:v>
                </c:pt>
                <c:pt idx="559">
                  <c:v>43131</c:v>
                </c:pt>
                <c:pt idx="560">
                  <c:v>43132</c:v>
                </c:pt>
                <c:pt idx="561">
                  <c:v>43133</c:v>
                </c:pt>
                <c:pt idx="562">
                  <c:v>43136</c:v>
                </c:pt>
                <c:pt idx="563">
                  <c:v>43137</c:v>
                </c:pt>
                <c:pt idx="564">
                  <c:v>43138</c:v>
                </c:pt>
                <c:pt idx="565">
                  <c:v>43139</c:v>
                </c:pt>
                <c:pt idx="566">
                  <c:v>43140</c:v>
                </c:pt>
                <c:pt idx="567">
                  <c:v>43143</c:v>
                </c:pt>
                <c:pt idx="568">
                  <c:v>43144</c:v>
                </c:pt>
                <c:pt idx="569">
                  <c:v>43145</c:v>
                </c:pt>
                <c:pt idx="570">
                  <c:v>43146</c:v>
                </c:pt>
                <c:pt idx="571">
                  <c:v>43147</c:v>
                </c:pt>
                <c:pt idx="572">
                  <c:v>43151</c:v>
                </c:pt>
                <c:pt idx="573">
                  <c:v>43152</c:v>
                </c:pt>
                <c:pt idx="574">
                  <c:v>43153</c:v>
                </c:pt>
                <c:pt idx="575">
                  <c:v>43154</c:v>
                </c:pt>
                <c:pt idx="576">
                  <c:v>43157</c:v>
                </c:pt>
                <c:pt idx="577">
                  <c:v>43158</c:v>
                </c:pt>
                <c:pt idx="578">
                  <c:v>43159</c:v>
                </c:pt>
                <c:pt idx="579">
                  <c:v>43160</c:v>
                </c:pt>
                <c:pt idx="580">
                  <c:v>43161</c:v>
                </c:pt>
                <c:pt idx="581">
                  <c:v>43164</c:v>
                </c:pt>
                <c:pt idx="582">
                  <c:v>43165</c:v>
                </c:pt>
                <c:pt idx="583">
                  <c:v>43166</c:v>
                </c:pt>
                <c:pt idx="584">
                  <c:v>43167</c:v>
                </c:pt>
                <c:pt idx="585">
                  <c:v>43168</c:v>
                </c:pt>
                <c:pt idx="586">
                  <c:v>43171</c:v>
                </c:pt>
                <c:pt idx="587">
                  <c:v>43172</c:v>
                </c:pt>
                <c:pt idx="588">
                  <c:v>43173</c:v>
                </c:pt>
                <c:pt idx="589">
                  <c:v>43174</c:v>
                </c:pt>
                <c:pt idx="590">
                  <c:v>43175</c:v>
                </c:pt>
                <c:pt idx="591">
                  <c:v>43178</c:v>
                </c:pt>
                <c:pt idx="592">
                  <c:v>43179</c:v>
                </c:pt>
                <c:pt idx="593">
                  <c:v>43180</c:v>
                </c:pt>
                <c:pt idx="594">
                  <c:v>43181</c:v>
                </c:pt>
                <c:pt idx="595">
                  <c:v>43182</c:v>
                </c:pt>
                <c:pt idx="596">
                  <c:v>43185</c:v>
                </c:pt>
                <c:pt idx="597">
                  <c:v>43186</c:v>
                </c:pt>
                <c:pt idx="598">
                  <c:v>43187</c:v>
                </c:pt>
                <c:pt idx="599">
                  <c:v>43188</c:v>
                </c:pt>
                <c:pt idx="600">
                  <c:v>43192</c:v>
                </c:pt>
                <c:pt idx="601">
                  <c:v>43193</c:v>
                </c:pt>
                <c:pt idx="602">
                  <c:v>43194</c:v>
                </c:pt>
                <c:pt idx="603">
                  <c:v>43195</c:v>
                </c:pt>
                <c:pt idx="604">
                  <c:v>43196</c:v>
                </c:pt>
                <c:pt idx="605">
                  <c:v>43199</c:v>
                </c:pt>
                <c:pt idx="606">
                  <c:v>43200</c:v>
                </c:pt>
                <c:pt idx="607">
                  <c:v>43201</c:v>
                </c:pt>
                <c:pt idx="608">
                  <c:v>43202</c:v>
                </c:pt>
                <c:pt idx="609">
                  <c:v>43203</c:v>
                </c:pt>
                <c:pt idx="610">
                  <c:v>43206</c:v>
                </c:pt>
                <c:pt idx="611">
                  <c:v>43207</c:v>
                </c:pt>
                <c:pt idx="612">
                  <c:v>43208</c:v>
                </c:pt>
                <c:pt idx="613">
                  <c:v>43209</c:v>
                </c:pt>
                <c:pt idx="614">
                  <c:v>43210</c:v>
                </c:pt>
                <c:pt idx="615">
                  <c:v>43213</c:v>
                </c:pt>
                <c:pt idx="616">
                  <c:v>43214</c:v>
                </c:pt>
                <c:pt idx="617">
                  <c:v>43215</c:v>
                </c:pt>
                <c:pt idx="618">
                  <c:v>43216</c:v>
                </c:pt>
                <c:pt idx="619">
                  <c:v>43217</c:v>
                </c:pt>
                <c:pt idx="620">
                  <c:v>43220</c:v>
                </c:pt>
                <c:pt idx="621">
                  <c:v>43221</c:v>
                </c:pt>
                <c:pt idx="622">
                  <c:v>43222</c:v>
                </c:pt>
                <c:pt idx="623">
                  <c:v>43223</c:v>
                </c:pt>
                <c:pt idx="624">
                  <c:v>43224</c:v>
                </c:pt>
                <c:pt idx="625">
                  <c:v>43227</c:v>
                </c:pt>
                <c:pt idx="626">
                  <c:v>43228</c:v>
                </c:pt>
                <c:pt idx="627">
                  <c:v>43229</c:v>
                </c:pt>
                <c:pt idx="628">
                  <c:v>43230</c:v>
                </c:pt>
                <c:pt idx="629">
                  <c:v>43231</c:v>
                </c:pt>
                <c:pt idx="630">
                  <c:v>43234</c:v>
                </c:pt>
                <c:pt idx="631">
                  <c:v>43235</c:v>
                </c:pt>
                <c:pt idx="632">
                  <c:v>43236</c:v>
                </c:pt>
                <c:pt idx="633">
                  <c:v>43237</c:v>
                </c:pt>
                <c:pt idx="634">
                  <c:v>43238</c:v>
                </c:pt>
                <c:pt idx="635">
                  <c:v>43241</c:v>
                </c:pt>
                <c:pt idx="636">
                  <c:v>43242</c:v>
                </c:pt>
                <c:pt idx="637">
                  <c:v>43243</c:v>
                </c:pt>
                <c:pt idx="638">
                  <c:v>43244</c:v>
                </c:pt>
                <c:pt idx="639">
                  <c:v>43245</c:v>
                </c:pt>
                <c:pt idx="640">
                  <c:v>43249</c:v>
                </c:pt>
                <c:pt idx="641">
                  <c:v>43250</c:v>
                </c:pt>
                <c:pt idx="642">
                  <c:v>43251</c:v>
                </c:pt>
                <c:pt idx="643">
                  <c:v>43252</c:v>
                </c:pt>
                <c:pt idx="644">
                  <c:v>43255</c:v>
                </c:pt>
                <c:pt idx="645">
                  <c:v>43256</c:v>
                </c:pt>
                <c:pt idx="646">
                  <c:v>43257</c:v>
                </c:pt>
                <c:pt idx="647">
                  <c:v>43258</c:v>
                </c:pt>
                <c:pt idx="648">
                  <c:v>43259</c:v>
                </c:pt>
                <c:pt idx="649">
                  <c:v>43262</c:v>
                </c:pt>
                <c:pt idx="650">
                  <c:v>43263</c:v>
                </c:pt>
                <c:pt idx="651">
                  <c:v>43264</c:v>
                </c:pt>
                <c:pt idx="652">
                  <c:v>43265</c:v>
                </c:pt>
                <c:pt idx="653">
                  <c:v>43266</c:v>
                </c:pt>
                <c:pt idx="654">
                  <c:v>43269</c:v>
                </c:pt>
                <c:pt idx="655">
                  <c:v>43270</c:v>
                </c:pt>
                <c:pt idx="656">
                  <c:v>43271</c:v>
                </c:pt>
                <c:pt idx="657">
                  <c:v>43272</c:v>
                </c:pt>
                <c:pt idx="658">
                  <c:v>43273</c:v>
                </c:pt>
                <c:pt idx="659">
                  <c:v>43276</c:v>
                </c:pt>
                <c:pt idx="660">
                  <c:v>43277</c:v>
                </c:pt>
                <c:pt idx="661">
                  <c:v>43278</c:v>
                </c:pt>
                <c:pt idx="662">
                  <c:v>43279</c:v>
                </c:pt>
                <c:pt idx="663">
                  <c:v>43280</c:v>
                </c:pt>
                <c:pt idx="664">
                  <c:v>43283</c:v>
                </c:pt>
                <c:pt idx="665">
                  <c:v>43284</c:v>
                </c:pt>
                <c:pt idx="666">
                  <c:v>43286</c:v>
                </c:pt>
                <c:pt idx="667">
                  <c:v>43287</c:v>
                </c:pt>
                <c:pt idx="668">
                  <c:v>43290</c:v>
                </c:pt>
                <c:pt idx="669">
                  <c:v>43291</c:v>
                </c:pt>
                <c:pt idx="670">
                  <c:v>43292</c:v>
                </c:pt>
                <c:pt idx="671">
                  <c:v>43293</c:v>
                </c:pt>
                <c:pt idx="672">
                  <c:v>43294</c:v>
                </c:pt>
                <c:pt idx="673">
                  <c:v>43297</c:v>
                </c:pt>
                <c:pt idx="674">
                  <c:v>43298</c:v>
                </c:pt>
                <c:pt idx="675">
                  <c:v>43299</c:v>
                </c:pt>
                <c:pt idx="676">
                  <c:v>43300</c:v>
                </c:pt>
                <c:pt idx="677">
                  <c:v>43301</c:v>
                </c:pt>
                <c:pt idx="678">
                  <c:v>43304</c:v>
                </c:pt>
                <c:pt idx="679">
                  <c:v>43305</c:v>
                </c:pt>
                <c:pt idx="680">
                  <c:v>43306</c:v>
                </c:pt>
                <c:pt idx="681">
                  <c:v>43307</c:v>
                </c:pt>
                <c:pt idx="682">
                  <c:v>43308</c:v>
                </c:pt>
                <c:pt idx="683">
                  <c:v>43311</c:v>
                </c:pt>
                <c:pt idx="684">
                  <c:v>43312</c:v>
                </c:pt>
                <c:pt idx="685">
                  <c:v>43313</c:v>
                </c:pt>
                <c:pt idx="686">
                  <c:v>43314</c:v>
                </c:pt>
                <c:pt idx="687">
                  <c:v>43315</c:v>
                </c:pt>
                <c:pt idx="688">
                  <c:v>43318</c:v>
                </c:pt>
                <c:pt idx="689">
                  <c:v>43319</c:v>
                </c:pt>
                <c:pt idx="690">
                  <c:v>43320</c:v>
                </c:pt>
                <c:pt idx="691">
                  <c:v>43321</c:v>
                </c:pt>
                <c:pt idx="692">
                  <c:v>43322</c:v>
                </c:pt>
                <c:pt idx="693">
                  <c:v>43325</c:v>
                </c:pt>
                <c:pt idx="694">
                  <c:v>43326</c:v>
                </c:pt>
                <c:pt idx="695">
                  <c:v>43327</c:v>
                </c:pt>
                <c:pt idx="696">
                  <c:v>43328</c:v>
                </c:pt>
                <c:pt idx="697">
                  <c:v>43329</c:v>
                </c:pt>
                <c:pt idx="698">
                  <c:v>43332</c:v>
                </c:pt>
                <c:pt idx="699">
                  <c:v>43333</c:v>
                </c:pt>
                <c:pt idx="700">
                  <c:v>43334</c:v>
                </c:pt>
                <c:pt idx="701">
                  <c:v>43335</c:v>
                </c:pt>
                <c:pt idx="702">
                  <c:v>43336</c:v>
                </c:pt>
                <c:pt idx="703">
                  <c:v>43339</c:v>
                </c:pt>
                <c:pt idx="704">
                  <c:v>43340</c:v>
                </c:pt>
                <c:pt idx="705">
                  <c:v>43341</c:v>
                </c:pt>
                <c:pt idx="706">
                  <c:v>43342</c:v>
                </c:pt>
                <c:pt idx="707">
                  <c:v>43343</c:v>
                </c:pt>
                <c:pt idx="708">
                  <c:v>43347</c:v>
                </c:pt>
                <c:pt idx="709">
                  <c:v>43348</c:v>
                </c:pt>
                <c:pt idx="710">
                  <c:v>43349</c:v>
                </c:pt>
                <c:pt idx="711">
                  <c:v>43350</c:v>
                </c:pt>
                <c:pt idx="712">
                  <c:v>43353</c:v>
                </c:pt>
                <c:pt idx="713">
                  <c:v>43354</c:v>
                </c:pt>
                <c:pt idx="714">
                  <c:v>43355</c:v>
                </c:pt>
                <c:pt idx="715">
                  <c:v>43356</c:v>
                </c:pt>
                <c:pt idx="716">
                  <c:v>43357</c:v>
                </c:pt>
                <c:pt idx="717">
                  <c:v>43360</c:v>
                </c:pt>
                <c:pt idx="718">
                  <c:v>43361</c:v>
                </c:pt>
                <c:pt idx="719">
                  <c:v>43362</c:v>
                </c:pt>
                <c:pt idx="720">
                  <c:v>43363</c:v>
                </c:pt>
                <c:pt idx="721">
                  <c:v>43364</c:v>
                </c:pt>
                <c:pt idx="722">
                  <c:v>43367</c:v>
                </c:pt>
                <c:pt idx="723">
                  <c:v>43368</c:v>
                </c:pt>
                <c:pt idx="724">
                  <c:v>43369</c:v>
                </c:pt>
                <c:pt idx="725">
                  <c:v>43370</c:v>
                </c:pt>
                <c:pt idx="726">
                  <c:v>43371</c:v>
                </c:pt>
                <c:pt idx="727">
                  <c:v>43374</c:v>
                </c:pt>
                <c:pt idx="728">
                  <c:v>43375</c:v>
                </c:pt>
                <c:pt idx="729">
                  <c:v>43376</c:v>
                </c:pt>
                <c:pt idx="730">
                  <c:v>43377</c:v>
                </c:pt>
                <c:pt idx="731">
                  <c:v>43378</c:v>
                </c:pt>
                <c:pt idx="732">
                  <c:v>43381</c:v>
                </c:pt>
                <c:pt idx="733">
                  <c:v>43382</c:v>
                </c:pt>
                <c:pt idx="734">
                  <c:v>43383</c:v>
                </c:pt>
                <c:pt idx="735">
                  <c:v>43384</c:v>
                </c:pt>
                <c:pt idx="736">
                  <c:v>43385</c:v>
                </c:pt>
                <c:pt idx="737">
                  <c:v>43388</c:v>
                </c:pt>
              </c:numCache>
            </c:numRef>
          </c:xVal>
          <c:yVal>
            <c:numRef>
              <c:f>'tesla-stock-price (2)'!$D$21:$D$758</c:f>
              <c:numCache>
                <c:formatCode>General</c:formatCode>
                <c:ptCount val="738"/>
                <c:pt idx="0">
                  <c:v>-7.0300000000000011</c:v>
                </c:pt>
                <c:pt idx="1">
                  <c:v>-8.8300000000000125</c:v>
                </c:pt>
                <c:pt idx="2">
                  <c:v>2.5800000000000125</c:v>
                </c:pt>
                <c:pt idx="3">
                  <c:v>-6.1400000000000148</c:v>
                </c:pt>
                <c:pt idx="4">
                  <c:v>-5.75</c:v>
                </c:pt>
                <c:pt idx="5">
                  <c:v>7.1200000000000045</c:v>
                </c:pt>
                <c:pt idx="6">
                  <c:v>-0.31000000000000227</c:v>
                </c:pt>
                <c:pt idx="7">
                  <c:v>7.0699999999999932</c:v>
                </c:pt>
                <c:pt idx="8">
                  <c:v>0.73000000000001819</c:v>
                </c:pt>
                <c:pt idx="9">
                  <c:v>-1.7900000000000205</c:v>
                </c:pt>
                <c:pt idx="10">
                  <c:v>-2.2599999999999909</c:v>
                </c:pt>
                <c:pt idx="11">
                  <c:v>0.5</c:v>
                </c:pt>
                <c:pt idx="12">
                  <c:v>11.389999999999986</c:v>
                </c:pt>
                <c:pt idx="13">
                  <c:v>1.9700000000000273</c:v>
                </c:pt>
                <c:pt idx="14">
                  <c:v>-1.3500000000000227</c:v>
                </c:pt>
                <c:pt idx="15">
                  <c:v>6.9300000000000068</c:v>
                </c:pt>
                <c:pt idx="16">
                  <c:v>-5.1999999999999886</c:v>
                </c:pt>
                <c:pt idx="17">
                  <c:v>0.71999999999999886</c:v>
                </c:pt>
                <c:pt idx="18">
                  <c:v>-2.3300000000000125</c:v>
                </c:pt>
                <c:pt idx="19">
                  <c:v>0.75</c:v>
                </c:pt>
                <c:pt idx="20">
                  <c:v>-4.4099999999999966</c:v>
                </c:pt>
                <c:pt idx="21">
                  <c:v>-2.1999999999999886</c:v>
                </c:pt>
                <c:pt idx="22">
                  <c:v>2.5499999999999829</c:v>
                </c:pt>
                <c:pt idx="23">
                  <c:v>-10.049999999999983</c:v>
                </c:pt>
                <c:pt idx="24">
                  <c:v>1.5600000000000023</c:v>
                </c:pt>
                <c:pt idx="25">
                  <c:v>2.5099999999999909</c:v>
                </c:pt>
                <c:pt idx="26">
                  <c:v>13.419999999999987</c:v>
                </c:pt>
                <c:pt idx="27">
                  <c:v>-1.1200000000000045</c:v>
                </c:pt>
                <c:pt idx="28">
                  <c:v>-2.9299999999999784</c:v>
                </c:pt>
                <c:pt idx="29">
                  <c:v>2.0999999999999943</c:v>
                </c:pt>
                <c:pt idx="30">
                  <c:v>-2.6100000000000136</c:v>
                </c:pt>
                <c:pt idx="31">
                  <c:v>-0.25</c:v>
                </c:pt>
                <c:pt idx="32">
                  <c:v>0.87000000000000455</c:v>
                </c:pt>
                <c:pt idx="33">
                  <c:v>-1.6200000000000045</c:v>
                </c:pt>
                <c:pt idx="34">
                  <c:v>8.2400000000000091</c:v>
                </c:pt>
                <c:pt idx="35">
                  <c:v>0.90000000000000568</c:v>
                </c:pt>
                <c:pt idx="36">
                  <c:v>1.9199999999999875</c:v>
                </c:pt>
                <c:pt idx="37">
                  <c:v>-16.599999999999994</c:v>
                </c:pt>
                <c:pt idx="38">
                  <c:v>2.0000000000010232E-2</c:v>
                </c:pt>
                <c:pt idx="39">
                  <c:v>-4.3900000000000148</c:v>
                </c:pt>
                <c:pt idx="40">
                  <c:v>-3.3899999999999864</c:v>
                </c:pt>
                <c:pt idx="41">
                  <c:v>-4.6500000000000057</c:v>
                </c:pt>
                <c:pt idx="42">
                  <c:v>-3.1500000000000057</c:v>
                </c:pt>
                <c:pt idx="43">
                  <c:v>2.1200000000000045</c:v>
                </c:pt>
                <c:pt idx="44">
                  <c:v>-9.6599999999999966</c:v>
                </c:pt>
                <c:pt idx="45">
                  <c:v>5.8700000000000045</c:v>
                </c:pt>
                <c:pt idx="46">
                  <c:v>-1.1899999999999977</c:v>
                </c:pt>
                <c:pt idx="47">
                  <c:v>-0.27000000000001023</c:v>
                </c:pt>
                <c:pt idx="48">
                  <c:v>-6.0200000000000102</c:v>
                </c:pt>
                <c:pt idx="49">
                  <c:v>1.2700000000000102</c:v>
                </c:pt>
                <c:pt idx="50">
                  <c:v>2.5800000000000125</c:v>
                </c:pt>
                <c:pt idx="51">
                  <c:v>-6.1700000000000159</c:v>
                </c:pt>
                <c:pt idx="52">
                  <c:v>-2.8199999999999932</c:v>
                </c:pt>
                <c:pt idx="53">
                  <c:v>-5.4900000000000091</c:v>
                </c:pt>
                <c:pt idx="54">
                  <c:v>1.6299999999999955</c:v>
                </c:pt>
                <c:pt idx="55">
                  <c:v>1.5</c:v>
                </c:pt>
                <c:pt idx="56">
                  <c:v>5.7400000000000091</c:v>
                </c:pt>
                <c:pt idx="57">
                  <c:v>-14.159999999999997</c:v>
                </c:pt>
                <c:pt idx="58">
                  <c:v>-9.3000000000000114</c:v>
                </c:pt>
                <c:pt idx="59">
                  <c:v>1.8500000000000227</c:v>
                </c:pt>
                <c:pt idx="60">
                  <c:v>-12.730000000000018</c:v>
                </c:pt>
                <c:pt idx="61">
                  <c:v>-14.609999999999985</c:v>
                </c:pt>
                <c:pt idx="62">
                  <c:v>0.25999999999999091</c:v>
                </c:pt>
                <c:pt idx="63">
                  <c:v>-4.5800000000000125</c:v>
                </c:pt>
                <c:pt idx="64">
                  <c:v>6.8000000000000114</c:v>
                </c:pt>
                <c:pt idx="65">
                  <c:v>0.56999999999999318</c:v>
                </c:pt>
                <c:pt idx="66">
                  <c:v>4.1299999999999955</c:v>
                </c:pt>
                <c:pt idx="67">
                  <c:v>13.510000000000019</c:v>
                </c:pt>
                <c:pt idx="68">
                  <c:v>-1.9099999999999966</c:v>
                </c:pt>
                <c:pt idx="69">
                  <c:v>-0.18999999999999773</c:v>
                </c:pt>
                <c:pt idx="70">
                  <c:v>11.159999999999997</c:v>
                </c:pt>
                <c:pt idx="71">
                  <c:v>-0.53000000000000114</c:v>
                </c:pt>
                <c:pt idx="72">
                  <c:v>1.789999999999992</c:v>
                </c:pt>
                <c:pt idx="73">
                  <c:v>8.4300000000000068</c:v>
                </c:pt>
                <c:pt idx="74">
                  <c:v>2.9099999999999966</c:v>
                </c:pt>
                <c:pt idx="75">
                  <c:v>1.5900000000000034</c:v>
                </c:pt>
                <c:pt idx="76">
                  <c:v>-5.5800000000000125</c:v>
                </c:pt>
                <c:pt idx="77">
                  <c:v>1.9900000000000091</c:v>
                </c:pt>
                <c:pt idx="78">
                  <c:v>7.4000000000000057</c:v>
                </c:pt>
                <c:pt idx="79">
                  <c:v>5.2999999999999829</c:v>
                </c:pt>
                <c:pt idx="80">
                  <c:v>4.25</c:v>
                </c:pt>
                <c:pt idx="81">
                  <c:v>-2.6899999999999977</c:v>
                </c:pt>
                <c:pt idx="82">
                  <c:v>6.1200000000000045</c:v>
                </c:pt>
                <c:pt idx="83">
                  <c:v>-3.539999999999992</c:v>
                </c:pt>
                <c:pt idx="84">
                  <c:v>2.3199999999999932</c:v>
                </c:pt>
                <c:pt idx="85">
                  <c:v>7.6500000000000057</c:v>
                </c:pt>
                <c:pt idx="86">
                  <c:v>3.1899999999999977</c:v>
                </c:pt>
                <c:pt idx="87">
                  <c:v>3.5900000000000034</c:v>
                </c:pt>
                <c:pt idx="88">
                  <c:v>4.4499999999999886</c:v>
                </c:pt>
                <c:pt idx="89">
                  <c:v>6.3600000000000136</c:v>
                </c:pt>
                <c:pt idx="90">
                  <c:v>5.5799999999999841</c:v>
                </c:pt>
                <c:pt idx="91">
                  <c:v>-4.0799999999999841</c:v>
                </c:pt>
                <c:pt idx="92">
                  <c:v>-11.659999999999997</c:v>
                </c:pt>
                <c:pt idx="93">
                  <c:v>5.1699999999999875</c:v>
                </c:pt>
                <c:pt idx="94">
                  <c:v>2.5099999999999909</c:v>
                </c:pt>
                <c:pt idx="95">
                  <c:v>-0.12999999999999545</c:v>
                </c:pt>
                <c:pt idx="96">
                  <c:v>-3.2400000000000091</c:v>
                </c:pt>
                <c:pt idx="97">
                  <c:v>2.8800000000000239</c:v>
                </c:pt>
                <c:pt idx="98">
                  <c:v>7.8199999999999932</c:v>
                </c:pt>
                <c:pt idx="99">
                  <c:v>9.4000000000000057</c:v>
                </c:pt>
                <c:pt idx="100">
                  <c:v>8.4799999999999898</c:v>
                </c:pt>
                <c:pt idx="101">
                  <c:v>9.9500000000000171</c:v>
                </c:pt>
                <c:pt idx="102">
                  <c:v>-8.2200000000000273</c:v>
                </c:pt>
                <c:pt idx="103">
                  <c:v>-7.1299999999999955</c:v>
                </c:pt>
                <c:pt idx="104">
                  <c:v>-0.15000000000000568</c:v>
                </c:pt>
                <c:pt idx="105">
                  <c:v>-2.0999999999999943</c:v>
                </c:pt>
                <c:pt idx="106">
                  <c:v>6.710000000000008</c:v>
                </c:pt>
                <c:pt idx="107">
                  <c:v>-2.6699999999999875</c:v>
                </c:pt>
                <c:pt idx="108">
                  <c:v>2.6499999999999773</c:v>
                </c:pt>
                <c:pt idx="109">
                  <c:v>-0.62999999999999545</c:v>
                </c:pt>
                <c:pt idx="110">
                  <c:v>-6.5099999999999909</c:v>
                </c:pt>
                <c:pt idx="111">
                  <c:v>2.5999999999999943</c:v>
                </c:pt>
                <c:pt idx="112">
                  <c:v>-1.6800000000000068</c:v>
                </c:pt>
                <c:pt idx="113">
                  <c:v>5.460000000000008</c:v>
                </c:pt>
                <c:pt idx="114">
                  <c:v>-1.9300000000000068</c:v>
                </c:pt>
                <c:pt idx="115">
                  <c:v>1.9200000000000159</c:v>
                </c:pt>
                <c:pt idx="116">
                  <c:v>-2.2700000000000102</c:v>
                </c:pt>
                <c:pt idx="117">
                  <c:v>-3.7599999999999909</c:v>
                </c:pt>
                <c:pt idx="118">
                  <c:v>-6.9500000000000171</c:v>
                </c:pt>
                <c:pt idx="119">
                  <c:v>1.0400000000000205</c:v>
                </c:pt>
                <c:pt idx="120">
                  <c:v>-9.4800000000000182</c:v>
                </c:pt>
                <c:pt idx="121">
                  <c:v>-9.7599999999999909</c:v>
                </c:pt>
                <c:pt idx="122">
                  <c:v>-11.030000000000001</c:v>
                </c:pt>
                <c:pt idx="123">
                  <c:v>3.4000000000000057</c:v>
                </c:pt>
                <c:pt idx="124">
                  <c:v>-6.0100000000000193</c:v>
                </c:pt>
                <c:pt idx="125">
                  <c:v>-0.22999999999998977</c:v>
                </c:pt>
                <c:pt idx="126">
                  <c:v>0.27000000000001023</c:v>
                </c:pt>
                <c:pt idx="127">
                  <c:v>-1.6800000000000068</c:v>
                </c:pt>
                <c:pt idx="128">
                  <c:v>0.33000000000001251</c:v>
                </c:pt>
                <c:pt idx="129">
                  <c:v>0.6799999999999784</c:v>
                </c:pt>
                <c:pt idx="130">
                  <c:v>-3.6299999999999955</c:v>
                </c:pt>
                <c:pt idx="131">
                  <c:v>6.5099999999999909</c:v>
                </c:pt>
                <c:pt idx="132">
                  <c:v>4.0400000000000205</c:v>
                </c:pt>
                <c:pt idx="133">
                  <c:v>5.0699999999999932</c:v>
                </c:pt>
                <c:pt idx="134">
                  <c:v>-4.0600000000000023</c:v>
                </c:pt>
                <c:pt idx="135">
                  <c:v>1.6899999999999977</c:v>
                </c:pt>
                <c:pt idx="136">
                  <c:v>1.6700000000000159</c:v>
                </c:pt>
                <c:pt idx="137">
                  <c:v>5.539999999999992</c:v>
                </c:pt>
                <c:pt idx="138">
                  <c:v>-2.0800000000000125</c:v>
                </c:pt>
                <c:pt idx="139">
                  <c:v>0.18999999999999773</c:v>
                </c:pt>
                <c:pt idx="140">
                  <c:v>-3.6699999999999875</c:v>
                </c:pt>
                <c:pt idx="141">
                  <c:v>-0.59999999999999432</c:v>
                </c:pt>
                <c:pt idx="142">
                  <c:v>3.0000000000001137E-2</c:v>
                </c:pt>
                <c:pt idx="143">
                  <c:v>1.6899999999999977</c:v>
                </c:pt>
                <c:pt idx="144">
                  <c:v>11.659999999999997</c:v>
                </c:pt>
                <c:pt idx="145">
                  <c:v>3.1800000000000068</c:v>
                </c:pt>
                <c:pt idx="146">
                  <c:v>-6.1599999999999966</c:v>
                </c:pt>
                <c:pt idx="147">
                  <c:v>-10.570000000000022</c:v>
                </c:pt>
                <c:pt idx="148">
                  <c:v>-0.91999999999998749</c:v>
                </c:pt>
                <c:pt idx="149">
                  <c:v>-2.9099999999999966</c:v>
                </c:pt>
                <c:pt idx="150">
                  <c:v>2.7399999999999807</c:v>
                </c:pt>
                <c:pt idx="151">
                  <c:v>0.23000000000001819</c:v>
                </c:pt>
                <c:pt idx="152">
                  <c:v>-2.460000000000008</c:v>
                </c:pt>
                <c:pt idx="153">
                  <c:v>4.2299999999999898</c:v>
                </c:pt>
                <c:pt idx="154">
                  <c:v>-8.9999999999974989E-2</c:v>
                </c:pt>
                <c:pt idx="155">
                  <c:v>-22.950000000000017</c:v>
                </c:pt>
                <c:pt idx="156">
                  <c:v>-0.25999999999999091</c:v>
                </c:pt>
                <c:pt idx="157">
                  <c:v>-3.25</c:v>
                </c:pt>
                <c:pt idx="158">
                  <c:v>5.4000000000000057</c:v>
                </c:pt>
                <c:pt idx="159">
                  <c:v>3.2399999999999807</c:v>
                </c:pt>
                <c:pt idx="160">
                  <c:v>8.4000000000000057</c:v>
                </c:pt>
                <c:pt idx="161">
                  <c:v>2.0900000000000034</c:v>
                </c:pt>
                <c:pt idx="162">
                  <c:v>4.2199999999999989</c:v>
                </c:pt>
                <c:pt idx="163">
                  <c:v>-2.5200000000000102</c:v>
                </c:pt>
                <c:pt idx="164">
                  <c:v>0.46000000000000796</c:v>
                </c:pt>
                <c:pt idx="165">
                  <c:v>1.5</c:v>
                </c:pt>
                <c:pt idx="166">
                  <c:v>0.84000000000000341</c:v>
                </c:pt>
                <c:pt idx="167">
                  <c:v>8</c:v>
                </c:pt>
                <c:pt idx="168">
                  <c:v>-0.12999999999999545</c:v>
                </c:pt>
                <c:pt idx="169">
                  <c:v>-2.1200000000000045</c:v>
                </c:pt>
                <c:pt idx="170">
                  <c:v>-1</c:v>
                </c:pt>
                <c:pt idx="171">
                  <c:v>-1.1299999999999955</c:v>
                </c:pt>
                <c:pt idx="172">
                  <c:v>5.8499999999999943</c:v>
                </c:pt>
                <c:pt idx="173">
                  <c:v>-0.99000000000000909</c:v>
                </c:pt>
                <c:pt idx="174">
                  <c:v>3.1000000000000227</c:v>
                </c:pt>
                <c:pt idx="175">
                  <c:v>-7.8600000000000136</c:v>
                </c:pt>
                <c:pt idx="176">
                  <c:v>1.7700000000000102</c:v>
                </c:pt>
                <c:pt idx="177">
                  <c:v>7.7399999999999807</c:v>
                </c:pt>
                <c:pt idx="178">
                  <c:v>-0.5</c:v>
                </c:pt>
                <c:pt idx="179">
                  <c:v>-1.0199999999999818</c:v>
                </c:pt>
                <c:pt idx="180">
                  <c:v>2.1200000000000045</c:v>
                </c:pt>
                <c:pt idx="181">
                  <c:v>4.1799999999999784</c:v>
                </c:pt>
                <c:pt idx="182">
                  <c:v>-4.7800000000000011</c:v>
                </c:pt>
                <c:pt idx="183">
                  <c:v>-2.8100000000000023</c:v>
                </c:pt>
                <c:pt idx="184">
                  <c:v>-1.4099999999999966</c:v>
                </c:pt>
                <c:pt idx="185">
                  <c:v>4.8200000000000216</c:v>
                </c:pt>
                <c:pt idx="186">
                  <c:v>-0.58000000000001251</c:v>
                </c:pt>
                <c:pt idx="187">
                  <c:v>-3.8700000000000045</c:v>
                </c:pt>
                <c:pt idx="188">
                  <c:v>2.9200000000000159</c:v>
                </c:pt>
                <c:pt idx="189">
                  <c:v>-3.4300000000000068</c:v>
                </c:pt>
                <c:pt idx="190">
                  <c:v>-0.74000000000000909</c:v>
                </c:pt>
                <c:pt idx="191">
                  <c:v>0.70000000000001705</c:v>
                </c:pt>
                <c:pt idx="192">
                  <c:v>-2.0000000000010232E-2</c:v>
                </c:pt>
                <c:pt idx="193">
                  <c:v>-1.9799999999999898</c:v>
                </c:pt>
                <c:pt idx="194">
                  <c:v>-0.37000000000000455</c:v>
                </c:pt>
                <c:pt idx="195">
                  <c:v>0.26999999999998181</c:v>
                </c:pt>
                <c:pt idx="196">
                  <c:v>1.4900000000000091</c:v>
                </c:pt>
                <c:pt idx="197">
                  <c:v>-2.0699999999999932</c:v>
                </c:pt>
                <c:pt idx="198">
                  <c:v>1.9099999999999966</c:v>
                </c:pt>
                <c:pt idx="199">
                  <c:v>-2.2199999999999989</c:v>
                </c:pt>
                <c:pt idx="200">
                  <c:v>-1.6599999999999966</c:v>
                </c:pt>
                <c:pt idx="201">
                  <c:v>-0.96999999999999886</c:v>
                </c:pt>
                <c:pt idx="202">
                  <c:v>-4.7900000000000205</c:v>
                </c:pt>
                <c:pt idx="203">
                  <c:v>-3.8599999999999852</c:v>
                </c:pt>
                <c:pt idx="204">
                  <c:v>0.66999999999998749</c:v>
                </c:pt>
                <c:pt idx="205">
                  <c:v>-11.239999999999981</c:v>
                </c:pt>
                <c:pt idx="206">
                  <c:v>-2.9900000000000091</c:v>
                </c:pt>
                <c:pt idx="207">
                  <c:v>5.0500000000000114</c:v>
                </c:pt>
                <c:pt idx="208">
                  <c:v>-1.1200000000000045</c:v>
                </c:pt>
                <c:pt idx="209">
                  <c:v>-4.3499999999999943</c:v>
                </c:pt>
                <c:pt idx="210">
                  <c:v>-2.8900000000000148</c:v>
                </c:pt>
                <c:pt idx="211">
                  <c:v>3.8300000000000125</c:v>
                </c:pt>
                <c:pt idx="212">
                  <c:v>-2.25</c:v>
                </c:pt>
                <c:pt idx="213">
                  <c:v>0.35999999999998522</c:v>
                </c:pt>
                <c:pt idx="214">
                  <c:v>4.0099999999999909</c:v>
                </c:pt>
                <c:pt idx="215">
                  <c:v>4.9800000000000182</c:v>
                </c:pt>
                <c:pt idx="216">
                  <c:v>0.93999999999999773</c:v>
                </c:pt>
                <c:pt idx="217">
                  <c:v>-1.7000000000000171</c:v>
                </c:pt>
                <c:pt idx="218">
                  <c:v>0.58000000000001251</c:v>
                </c:pt>
                <c:pt idx="219">
                  <c:v>1.210000000000008</c:v>
                </c:pt>
                <c:pt idx="220">
                  <c:v>1.0199999999999818</c:v>
                </c:pt>
                <c:pt idx="221">
                  <c:v>1.5400000000000205</c:v>
                </c:pt>
                <c:pt idx="222">
                  <c:v>-3.1800000000000068</c:v>
                </c:pt>
                <c:pt idx="223">
                  <c:v>0.46000000000000796</c:v>
                </c:pt>
                <c:pt idx="224">
                  <c:v>-5.5700000000000216</c:v>
                </c:pt>
                <c:pt idx="225">
                  <c:v>3.3300000000000125</c:v>
                </c:pt>
                <c:pt idx="226">
                  <c:v>9.6699999999999875</c:v>
                </c:pt>
                <c:pt idx="227">
                  <c:v>-2.289999999999992</c:v>
                </c:pt>
                <c:pt idx="228">
                  <c:v>-2.9499999999999886</c:v>
                </c:pt>
                <c:pt idx="229">
                  <c:v>-7.460000000000008</c:v>
                </c:pt>
                <c:pt idx="230">
                  <c:v>-4.3899999999999864</c:v>
                </c:pt>
                <c:pt idx="231">
                  <c:v>4.339999999999975</c:v>
                </c:pt>
                <c:pt idx="232">
                  <c:v>-0.84999999999999432</c:v>
                </c:pt>
                <c:pt idx="233">
                  <c:v>1.4099999999999966</c:v>
                </c:pt>
                <c:pt idx="234">
                  <c:v>-1.2699999999999818</c:v>
                </c:pt>
                <c:pt idx="235">
                  <c:v>-3.7300000000000182</c:v>
                </c:pt>
                <c:pt idx="236">
                  <c:v>-2.5499999999999829</c:v>
                </c:pt>
                <c:pt idx="237">
                  <c:v>5.1399999999999864</c:v>
                </c:pt>
                <c:pt idx="238">
                  <c:v>4.460000000000008</c:v>
                </c:pt>
                <c:pt idx="239">
                  <c:v>-4.460000000000008</c:v>
                </c:pt>
                <c:pt idx="240">
                  <c:v>0.99000000000000909</c:v>
                </c:pt>
                <c:pt idx="241">
                  <c:v>2.6699999999999875</c:v>
                </c:pt>
                <c:pt idx="242">
                  <c:v>-0.41999999999998749</c:v>
                </c:pt>
                <c:pt idx="243">
                  <c:v>-9.9999999999994316E-2</c:v>
                </c:pt>
                <c:pt idx="244">
                  <c:v>1.7699999999999818</c:v>
                </c:pt>
                <c:pt idx="245">
                  <c:v>-4.039999999999992</c:v>
                </c:pt>
                <c:pt idx="246">
                  <c:v>-2.2400000000000091</c:v>
                </c:pt>
                <c:pt idx="247">
                  <c:v>-6.9399999999999977</c:v>
                </c:pt>
                <c:pt idx="248">
                  <c:v>-2.7699999999999818</c:v>
                </c:pt>
                <c:pt idx="249">
                  <c:v>-0.60000000000002274</c:v>
                </c:pt>
                <c:pt idx="250">
                  <c:v>3.1400000000000148</c:v>
                </c:pt>
                <c:pt idx="251">
                  <c:v>2.6500000000000057</c:v>
                </c:pt>
                <c:pt idx="252">
                  <c:v>1.7299999999999898</c:v>
                </c:pt>
                <c:pt idx="253">
                  <c:v>-4.8799999999999955</c:v>
                </c:pt>
                <c:pt idx="254">
                  <c:v>-4.710000000000008</c:v>
                </c:pt>
                <c:pt idx="255">
                  <c:v>3.210000000000008</c:v>
                </c:pt>
                <c:pt idx="256">
                  <c:v>-7.1100000000000136</c:v>
                </c:pt>
                <c:pt idx="257">
                  <c:v>2.3200000000000216</c:v>
                </c:pt>
                <c:pt idx="258">
                  <c:v>0.15999999999999659</c:v>
                </c:pt>
                <c:pt idx="259">
                  <c:v>4.7299999999999898</c:v>
                </c:pt>
                <c:pt idx="260">
                  <c:v>-3.6399999999999864</c:v>
                </c:pt>
                <c:pt idx="261">
                  <c:v>-0.5</c:v>
                </c:pt>
                <c:pt idx="262">
                  <c:v>6.6499999999999773</c:v>
                </c:pt>
                <c:pt idx="263">
                  <c:v>1.9699999999999989</c:v>
                </c:pt>
                <c:pt idx="264">
                  <c:v>3.5100000000000193</c:v>
                </c:pt>
                <c:pt idx="265">
                  <c:v>-0.53000000000000114</c:v>
                </c:pt>
                <c:pt idx="266">
                  <c:v>-6.5500000000000114</c:v>
                </c:pt>
                <c:pt idx="267">
                  <c:v>-0.16999999999998749</c:v>
                </c:pt>
                <c:pt idx="268">
                  <c:v>-7.5200000000000102</c:v>
                </c:pt>
                <c:pt idx="269">
                  <c:v>-0.40999999999999659</c:v>
                </c:pt>
                <c:pt idx="270">
                  <c:v>5.3300000000000125</c:v>
                </c:pt>
                <c:pt idx="271">
                  <c:v>-0.95000000000001705</c:v>
                </c:pt>
                <c:pt idx="272">
                  <c:v>7.3000000000000114</c:v>
                </c:pt>
                <c:pt idx="273">
                  <c:v>-0.86000000000001364</c:v>
                </c:pt>
                <c:pt idx="274">
                  <c:v>-0.10999999999998522</c:v>
                </c:pt>
                <c:pt idx="275">
                  <c:v>0.25</c:v>
                </c:pt>
                <c:pt idx="276">
                  <c:v>5.7199999999999989</c:v>
                </c:pt>
                <c:pt idx="277">
                  <c:v>0.53999999999999204</c:v>
                </c:pt>
                <c:pt idx="278">
                  <c:v>-1.1099999999999852</c:v>
                </c:pt>
                <c:pt idx="279">
                  <c:v>4.9099999999999966</c:v>
                </c:pt>
                <c:pt idx="280">
                  <c:v>0.23999999999998067</c:v>
                </c:pt>
                <c:pt idx="281">
                  <c:v>6.0600000000000023</c:v>
                </c:pt>
                <c:pt idx="282">
                  <c:v>-1.0900000000000034</c:v>
                </c:pt>
                <c:pt idx="283">
                  <c:v>0.75</c:v>
                </c:pt>
                <c:pt idx="284">
                  <c:v>4.8900000000000148</c:v>
                </c:pt>
                <c:pt idx="285">
                  <c:v>6.1899999999999977</c:v>
                </c:pt>
                <c:pt idx="286">
                  <c:v>0.21000000000000796</c:v>
                </c:pt>
                <c:pt idx="287">
                  <c:v>-5.0600000000000023</c:v>
                </c:pt>
                <c:pt idx="288">
                  <c:v>-0.99000000000000909</c:v>
                </c:pt>
                <c:pt idx="289">
                  <c:v>3.3000000000000114</c:v>
                </c:pt>
                <c:pt idx="290">
                  <c:v>10</c:v>
                </c:pt>
                <c:pt idx="291">
                  <c:v>-0.24000000000000909</c:v>
                </c:pt>
                <c:pt idx="292">
                  <c:v>2.2599999999999909</c:v>
                </c:pt>
                <c:pt idx="293">
                  <c:v>2.2700000000000102</c:v>
                </c:pt>
                <c:pt idx="294">
                  <c:v>-1.4099999999999966</c:v>
                </c:pt>
                <c:pt idx="295">
                  <c:v>-0.14000000000001478</c:v>
                </c:pt>
                <c:pt idx="296">
                  <c:v>-0.13999999999998636</c:v>
                </c:pt>
                <c:pt idx="297">
                  <c:v>8.1599999999999966</c:v>
                </c:pt>
                <c:pt idx="298">
                  <c:v>-2.1699999999999875</c:v>
                </c:pt>
                <c:pt idx="299">
                  <c:v>2.7800000000000011</c:v>
                </c:pt>
                <c:pt idx="300">
                  <c:v>5.3999999999999773</c:v>
                </c:pt>
                <c:pt idx="301">
                  <c:v>0.96999999999999886</c:v>
                </c:pt>
                <c:pt idx="302">
                  <c:v>4.1899999999999977</c:v>
                </c:pt>
                <c:pt idx="303">
                  <c:v>5.6900000000000261</c:v>
                </c:pt>
                <c:pt idx="304">
                  <c:v>-0.14000000000001478</c:v>
                </c:pt>
                <c:pt idx="305">
                  <c:v>-1.960000000000008</c:v>
                </c:pt>
                <c:pt idx="306">
                  <c:v>0.43999999999999773</c:v>
                </c:pt>
                <c:pt idx="307">
                  <c:v>-2.3199999999999932</c:v>
                </c:pt>
                <c:pt idx="308">
                  <c:v>1.3000000000000114</c:v>
                </c:pt>
                <c:pt idx="309">
                  <c:v>-2.6899999999999977</c:v>
                </c:pt>
                <c:pt idx="310">
                  <c:v>2.3100000000000023</c:v>
                </c:pt>
                <c:pt idx="311">
                  <c:v>-0.21999999999999886</c:v>
                </c:pt>
                <c:pt idx="312">
                  <c:v>6.4399999999999693</c:v>
                </c:pt>
                <c:pt idx="313">
                  <c:v>-0.28999999999996362</c:v>
                </c:pt>
                <c:pt idx="314">
                  <c:v>4.5999999999999659</c:v>
                </c:pt>
                <c:pt idx="315">
                  <c:v>7.1200000000000045</c:v>
                </c:pt>
                <c:pt idx="316">
                  <c:v>3.0000000000029559E-2</c:v>
                </c:pt>
                <c:pt idx="317">
                  <c:v>11.370000000000005</c:v>
                </c:pt>
                <c:pt idx="318">
                  <c:v>0.37999999999999545</c:v>
                </c:pt>
                <c:pt idx="319">
                  <c:v>-1.2200000000000273</c:v>
                </c:pt>
                <c:pt idx="320">
                  <c:v>-10.810000000000002</c:v>
                </c:pt>
                <c:pt idx="321">
                  <c:v>3.2800000000000296</c:v>
                </c:pt>
                <c:pt idx="322">
                  <c:v>5.1599999999999682</c:v>
                </c:pt>
                <c:pt idx="323">
                  <c:v>-3.8799999999999955</c:v>
                </c:pt>
                <c:pt idx="324">
                  <c:v>-17.519999999999982</c:v>
                </c:pt>
                <c:pt idx="325">
                  <c:v>1.0099999999999909</c:v>
                </c:pt>
                <c:pt idx="326">
                  <c:v>-10.77000000000001</c:v>
                </c:pt>
                <c:pt idx="327">
                  <c:v>3.7600000000000193</c:v>
                </c:pt>
                <c:pt idx="328">
                  <c:v>3.0000000000001137E-2</c:v>
                </c:pt>
                <c:pt idx="329">
                  <c:v>0.45999999999997954</c:v>
                </c:pt>
                <c:pt idx="330">
                  <c:v>1.0900000000000034</c:v>
                </c:pt>
                <c:pt idx="331">
                  <c:v>-0.35999999999998522</c:v>
                </c:pt>
                <c:pt idx="332">
                  <c:v>-2.6200000000000045</c:v>
                </c:pt>
                <c:pt idx="333">
                  <c:v>-1.7199999999999989</c:v>
                </c:pt>
                <c:pt idx="334">
                  <c:v>-1.9699999999999989</c:v>
                </c:pt>
                <c:pt idx="335">
                  <c:v>-1.210000000000008</c:v>
                </c:pt>
                <c:pt idx="336">
                  <c:v>2.4799999999999898</c:v>
                </c:pt>
                <c:pt idx="337">
                  <c:v>11.830000000000013</c:v>
                </c:pt>
                <c:pt idx="338">
                  <c:v>-2.2700000000000102</c:v>
                </c:pt>
                <c:pt idx="339">
                  <c:v>6.3200000000000216</c:v>
                </c:pt>
                <c:pt idx="340">
                  <c:v>-0.55000000000001137</c:v>
                </c:pt>
                <c:pt idx="341">
                  <c:v>0.42000000000001592</c:v>
                </c:pt>
                <c:pt idx="342">
                  <c:v>-11.240000000000009</c:v>
                </c:pt>
                <c:pt idx="343">
                  <c:v>4.3299999999999841</c:v>
                </c:pt>
                <c:pt idx="344">
                  <c:v>-0.22999999999998977</c:v>
                </c:pt>
                <c:pt idx="345">
                  <c:v>8.3800000000000239</c:v>
                </c:pt>
                <c:pt idx="346">
                  <c:v>7.0600000000000023</c:v>
                </c:pt>
                <c:pt idx="347">
                  <c:v>7.2299999999999613</c:v>
                </c:pt>
                <c:pt idx="348">
                  <c:v>-6.9999999999993179E-2</c:v>
                </c:pt>
                <c:pt idx="349">
                  <c:v>0.54000000000002046</c:v>
                </c:pt>
                <c:pt idx="350">
                  <c:v>0.37999999999999545</c:v>
                </c:pt>
                <c:pt idx="351">
                  <c:v>20.21999999999997</c:v>
                </c:pt>
                <c:pt idx="352">
                  <c:v>5.1800000000000068</c:v>
                </c:pt>
                <c:pt idx="353">
                  <c:v>-8.6999999999999886</c:v>
                </c:pt>
                <c:pt idx="354">
                  <c:v>3.6999999999999886</c:v>
                </c:pt>
                <c:pt idx="355">
                  <c:v>3.8400000000000318</c:v>
                </c:pt>
                <c:pt idx="356">
                  <c:v>9.8499999999999659</c:v>
                </c:pt>
                <c:pt idx="357">
                  <c:v>-3.6800000000000068</c:v>
                </c:pt>
                <c:pt idx="358">
                  <c:v>-11.870000000000005</c:v>
                </c:pt>
                <c:pt idx="359">
                  <c:v>7.160000000000025</c:v>
                </c:pt>
                <c:pt idx="360">
                  <c:v>-2.5600000000000023</c:v>
                </c:pt>
                <c:pt idx="361">
                  <c:v>-1.1899999999999977</c:v>
                </c:pt>
                <c:pt idx="362">
                  <c:v>5.2699999999999818</c:v>
                </c:pt>
                <c:pt idx="363">
                  <c:v>-3.0099999999999909</c:v>
                </c:pt>
                <c:pt idx="364">
                  <c:v>3.0900000000000318</c:v>
                </c:pt>
                <c:pt idx="365">
                  <c:v>2.42999999999995</c:v>
                </c:pt>
                <c:pt idx="366">
                  <c:v>5.7600000000000477</c:v>
                </c:pt>
                <c:pt idx="367">
                  <c:v>-3.6200000000000045</c:v>
                </c:pt>
                <c:pt idx="368">
                  <c:v>-1.5400000000000205</c:v>
                </c:pt>
                <c:pt idx="369">
                  <c:v>5.4399999999999977</c:v>
                </c:pt>
                <c:pt idx="370">
                  <c:v>8.7599999999999909</c:v>
                </c:pt>
                <c:pt idx="371">
                  <c:v>-3.9399999999999977</c:v>
                </c:pt>
                <c:pt idx="372">
                  <c:v>-7.8700000000000045</c:v>
                </c:pt>
                <c:pt idx="373">
                  <c:v>-15.560000000000002</c:v>
                </c:pt>
                <c:pt idx="374">
                  <c:v>12.890000000000043</c:v>
                </c:pt>
                <c:pt idx="375">
                  <c:v>-1.160000000000025</c:v>
                </c:pt>
                <c:pt idx="376">
                  <c:v>14.069999999999993</c:v>
                </c:pt>
                <c:pt idx="377">
                  <c:v>3.9600000000000364</c:v>
                </c:pt>
                <c:pt idx="378">
                  <c:v>-2.1200000000000045</c:v>
                </c:pt>
                <c:pt idx="379">
                  <c:v>1.7099999999999795</c:v>
                </c:pt>
                <c:pt idx="380">
                  <c:v>-8.9300000000000068</c:v>
                </c:pt>
                <c:pt idx="381">
                  <c:v>1.1299999999999955</c:v>
                </c:pt>
                <c:pt idx="382">
                  <c:v>-10.899999999999977</c:v>
                </c:pt>
                <c:pt idx="383">
                  <c:v>6.9499999999999886</c:v>
                </c:pt>
                <c:pt idx="384">
                  <c:v>-2.2300000000000182</c:v>
                </c:pt>
                <c:pt idx="385">
                  <c:v>-0.47999999999996135</c:v>
                </c:pt>
                <c:pt idx="386">
                  <c:v>-6.4900000000000091</c:v>
                </c:pt>
                <c:pt idx="387">
                  <c:v>6.3600000000000136</c:v>
                </c:pt>
                <c:pt idx="388">
                  <c:v>6.6099999999999568</c:v>
                </c:pt>
                <c:pt idx="389">
                  <c:v>8.3100000000000023</c:v>
                </c:pt>
                <c:pt idx="390">
                  <c:v>9.9600000000000364</c:v>
                </c:pt>
                <c:pt idx="391">
                  <c:v>5.9099999999999682</c:v>
                </c:pt>
                <c:pt idx="392">
                  <c:v>-0.63999999999998636</c:v>
                </c:pt>
                <c:pt idx="393">
                  <c:v>-0.51999999999998181</c:v>
                </c:pt>
                <c:pt idx="394">
                  <c:v>7.4699999999999704</c:v>
                </c:pt>
                <c:pt idx="395">
                  <c:v>5.5300000000000296</c:v>
                </c:pt>
                <c:pt idx="396">
                  <c:v>6.7999999999999545</c:v>
                </c:pt>
                <c:pt idx="397">
                  <c:v>10.350000000000023</c:v>
                </c:pt>
                <c:pt idx="398">
                  <c:v>-12.680000000000007</c:v>
                </c:pt>
                <c:pt idx="399">
                  <c:v>1.6899999999999977</c:v>
                </c:pt>
                <c:pt idx="400">
                  <c:v>16.939999999999998</c:v>
                </c:pt>
                <c:pt idx="401">
                  <c:v>4.7100000000000364</c:v>
                </c:pt>
                <c:pt idx="402">
                  <c:v>-5.32000000000005</c:v>
                </c:pt>
                <c:pt idx="403">
                  <c:v>-3.9399999999999977</c:v>
                </c:pt>
                <c:pt idx="404">
                  <c:v>-1.5999999999999659</c:v>
                </c:pt>
                <c:pt idx="405">
                  <c:v>2.4399999999999977</c:v>
                </c:pt>
                <c:pt idx="406">
                  <c:v>4.1599999999999682</c:v>
                </c:pt>
                <c:pt idx="407">
                  <c:v>6.2100000000000364</c:v>
                </c:pt>
                <c:pt idx="408">
                  <c:v>0.83999999999997499</c:v>
                </c:pt>
                <c:pt idx="409">
                  <c:v>-5.9599999999999795</c:v>
                </c:pt>
                <c:pt idx="410">
                  <c:v>-15.120000000000005</c:v>
                </c:pt>
                <c:pt idx="411">
                  <c:v>8.8700000000000045</c:v>
                </c:pt>
                <c:pt idx="412">
                  <c:v>-10.490000000000009</c:v>
                </c:pt>
                <c:pt idx="413">
                  <c:v>0.86000000000001364</c:v>
                </c:pt>
                <c:pt idx="414">
                  <c:v>-8.9900000000000091</c:v>
                </c:pt>
                <c:pt idx="415">
                  <c:v>-25.53000000000003</c:v>
                </c:pt>
                <c:pt idx="416">
                  <c:v>-18.259999999999991</c:v>
                </c:pt>
                <c:pt idx="417">
                  <c:v>4.3900000000000432</c:v>
                </c:pt>
                <c:pt idx="418">
                  <c:v>2.8299999999999841</c:v>
                </c:pt>
                <c:pt idx="419">
                  <c:v>11.170000000000016</c:v>
                </c:pt>
                <c:pt idx="420">
                  <c:v>2.2999999999999545</c:v>
                </c:pt>
                <c:pt idx="421">
                  <c:v>-6.1099999999999568</c:v>
                </c:pt>
                <c:pt idx="422">
                  <c:v>4.3699999999999477</c:v>
                </c:pt>
                <c:pt idx="423">
                  <c:v>-8.2099999999999795</c:v>
                </c:pt>
                <c:pt idx="424">
                  <c:v>8.6700000000000159</c:v>
                </c:pt>
                <c:pt idx="425">
                  <c:v>-2.9800000000000182</c:v>
                </c:pt>
                <c:pt idx="426">
                  <c:v>4.660000000000025</c:v>
                </c:pt>
                <c:pt idx="427">
                  <c:v>-1.5200000000000387</c:v>
                </c:pt>
                <c:pt idx="428">
                  <c:v>14.120000000000005</c:v>
                </c:pt>
                <c:pt idx="429">
                  <c:v>-2.9199999999999591</c:v>
                </c:pt>
                <c:pt idx="430">
                  <c:v>4.25</c:v>
                </c:pt>
                <c:pt idx="431">
                  <c:v>-9.3900000000000432</c:v>
                </c:pt>
                <c:pt idx="432">
                  <c:v>0.61000000000001364</c:v>
                </c:pt>
                <c:pt idx="433">
                  <c:v>-11.599999999999966</c:v>
                </c:pt>
                <c:pt idx="434">
                  <c:v>-3.9000000000000341</c:v>
                </c:pt>
                <c:pt idx="435">
                  <c:v>6.3199999999999932</c:v>
                </c:pt>
                <c:pt idx="436">
                  <c:v>21.199999999999989</c:v>
                </c:pt>
                <c:pt idx="437">
                  <c:v>9.82000000000005</c:v>
                </c:pt>
                <c:pt idx="438">
                  <c:v>-1.7400000000000091</c:v>
                </c:pt>
                <c:pt idx="439">
                  <c:v>10.050000000000011</c:v>
                </c:pt>
                <c:pt idx="440">
                  <c:v>-1.6900000000000546</c:v>
                </c:pt>
                <c:pt idx="441">
                  <c:v>-8.1299999999999955</c:v>
                </c:pt>
                <c:pt idx="442">
                  <c:v>2.4700000000000273</c:v>
                </c:pt>
                <c:pt idx="443">
                  <c:v>5.9300000000000068</c:v>
                </c:pt>
                <c:pt idx="444">
                  <c:v>-1.4700000000000273</c:v>
                </c:pt>
                <c:pt idx="445">
                  <c:v>0.58000000000004093</c:v>
                </c:pt>
                <c:pt idx="446">
                  <c:v>-10.990000000000009</c:v>
                </c:pt>
                <c:pt idx="447">
                  <c:v>-4.4600000000000364</c:v>
                </c:pt>
                <c:pt idx="448">
                  <c:v>-9.5999999999999659</c:v>
                </c:pt>
                <c:pt idx="449">
                  <c:v>3.4900000000000091</c:v>
                </c:pt>
                <c:pt idx="450">
                  <c:v>11.419999999999959</c:v>
                </c:pt>
                <c:pt idx="451">
                  <c:v>0.16000000000002501</c:v>
                </c:pt>
                <c:pt idx="452">
                  <c:v>-4.8799999999999955</c:v>
                </c:pt>
                <c:pt idx="453">
                  <c:v>-2.3899999999999864</c:v>
                </c:pt>
                <c:pt idx="454">
                  <c:v>1.6999999999999886</c:v>
                </c:pt>
                <c:pt idx="455">
                  <c:v>5.8199999999999932</c:v>
                </c:pt>
                <c:pt idx="456">
                  <c:v>2.7199999999999704</c:v>
                </c:pt>
                <c:pt idx="457">
                  <c:v>-0.5</c:v>
                </c:pt>
                <c:pt idx="458">
                  <c:v>-5.8100000000000023</c:v>
                </c:pt>
                <c:pt idx="459">
                  <c:v>-5.0600000000000023</c:v>
                </c:pt>
                <c:pt idx="460">
                  <c:v>6.0800000000000409</c:v>
                </c:pt>
                <c:pt idx="461">
                  <c:v>-7.2100000000000364</c:v>
                </c:pt>
                <c:pt idx="462">
                  <c:v>20.29000000000002</c:v>
                </c:pt>
                <c:pt idx="463">
                  <c:v>-0.93999999999999773</c:v>
                </c:pt>
                <c:pt idx="464">
                  <c:v>3.4800000000000182</c:v>
                </c:pt>
                <c:pt idx="465">
                  <c:v>11.409999999999968</c:v>
                </c:pt>
                <c:pt idx="466">
                  <c:v>2.1700000000000159</c:v>
                </c:pt>
                <c:pt idx="467">
                  <c:v>5.1899999999999977</c:v>
                </c:pt>
                <c:pt idx="468">
                  <c:v>-9.8999999999999773</c:v>
                </c:pt>
                <c:pt idx="469">
                  <c:v>-1.1899999999999977</c:v>
                </c:pt>
                <c:pt idx="470">
                  <c:v>-7.4300000000000068</c:v>
                </c:pt>
                <c:pt idx="471">
                  <c:v>-15.390000000000043</c:v>
                </c:pt>
                <c:pt idx="472">
                  <c:v>-6.0999999999999659</c:v>
                </c:pt>
                <c:pt idx="473">
                  <c:v>0.25999999999999091</c:v>
                </c:pt>
                <c:pt idx="474">
                  <c:v>-4.2799999999999727</c:v>
                </c:pt>
                <c:pt idx="475">
                  <c:v>-1.3700000000000045</c:v>
                </c:pt>
                <c:pt idx="476">
                  <c:v>1.5</c:v>
                </c:pt>
                <c:pt idx="477">
                  <c:v>0.42999999999994998</c:v>
                </c:pt>
                <c:pt idx="478">
                  <c:v>6.6100000000000136</c:v>
                </c:pt>
                <c:pt idx="479">
                  <c:v>6.8700000000000045</c:v>
                </c:pt>
                <c:pt idx="480">
                  <c:v>0.31999999999999318</c:v>
                </c:pt>
                <c:pt idx="481">
                  <c:v>1.5500000000000114</c:v>
                </c:pt>
                <c:pt idx="482">
                  <c:v>-13.939999999999998</c:v>
                </c:pt>
                <c:pt idx="483">
                  <c:v>12.649999999999977</c:v>
                </c:pt>
                <c:pt idx="484">
                  <c:v>-0.98999999999995225</c:v>
                </c:pt>
                <c:pt idx="485">
                  <c:v>1.0799999999999841</c:v>
                </c:pt>
                <c:pt idx="486">
                  <c:v>-0.11000000000001364</c:v>
                </c:pt>
                <c:pt idx="487">
                  <c:v>-4.9699999999999704</c:v>
                </c:pt>
                <c:pt idx="488">
                  <c:v>5.1499999999999773</c:v>
                </c:pt>
                <c:pt idx="489">
                  <c:v>3.8999999999999773</c:v>
                </c:pt>
                <c:pt idx="490">
                  <c:v>-7.839999999999975</c:v>
                </c:pt>
                <c:pt idx="491">
                  <c:v>-6.7099999999999795</c:v>
                </c:pt>
                <c:pt idx="492">
                  <c:v>-8.0800000000000409</c:v>
                </c:pt>
                <c:pt idx="493">
                  <c:v>0.31999999999999318</c:v>
                </c:pt>
                <c:pt idx="494">
                  <c:v>-11.5</c:v>
                </c:pt>
                <c:pt idx="495">
                  <c:v>0.33000000000004093</c:v>
                </c:pt>
                <c:pt idx="496">
                  <c:v>-5.3000000000000114</c:v>
                </c:pt>
                <c:pt idx="497">
                  <c:v>-0.79000000000002046</c:v>
                </c:pt>
                <c:pt idx="498">
                  <c:v>11.449999999999989</c:v>
                </c:pt>
                <c:pt idx="499">
                  <c:v>-10.449999999999989</c:v>
                </c:pt>
                <c:pt idx="500">
                  <c:v>-21.819999999999993</c:v>
                </c:pt>
                <c:pt idx="501">
                  <c:v>6.8299999999999841</c:v>
                </c:pt>
                <c:pt idx="502">
                  <c:v>-3.3100000000000023</c:v>
                </c:pt>
                <c:pt idx="503">
                  <c:v>3.2700000000000387</c:v>
                </c:pt>
                <c:pt idx="504">
                  <c:v>-1.660000000000025</c:v>
                </c:pt>
                <c:pt idx="505">
                  <c:v>-1.3999999999999773</c:v>
                </c:pt>
                <c:pt idx="506">
                  <c:v>0</c:v>
                </c:pt>
                <c:pt idx="507">
                  <c:v>12.409999999999968</c:v>
                </c:pt>
                <c:pt idx="508">
                  <c:v>-6.6999999999999886</c:v>
                </c:pt>
                <c:pt idx="509">
                  <c:v>2.6000000000000227</c:v>
                </c:pt>
                <c:pt idx="510">
                  <c:v>1.1999999999999886</c:v>
                </c:pt>
                <c:pt idx="511">
                  <c:v>2.5500000000000114</c:v>
                </c:pt>
                <c:pt idx="512">
                  <c:v>-6.3100000000000023</c:v>
                </c:pt>
                <c:pt idx="513">
                  <c:v>9.0699999999999932</c:v>
                </c:pt>
                <c:pt idx="514">
                  <c:v>-5.2099999999999795</c:v>
                </c:pt>
                <c:pt idx="515">
                  <c:v>2.9499999999999886</c:v>
                </c:pt>
                <c:pt idx="516">
                  <c:v>1.2599999999999909</c:v>
                </c:pt>
                <c:pt idx="517">
                  <c:v>0.74000000000000909</c:v>
                </c:pt>
                <c:pt idx="518">
                  <c:v>-10.009999999999991</c:v>
                </c:pt>
                <c:pt idx="519">
                  <c:v>1.3100000000000023</c:v>
                </c:pt>
                <c:pt idx="520">
                  <c:v>-2.32000000000005</c:v>
                </c:pt>
                <c:pt idx="521">
                  <c:v>-1.3299999999999841</c:v>
                </c:pt>
                <c:pt idx="522">
                  <c:v>-1.5</c:v>
                </c:pt>
                <c:pt idx="523">
                  <c:v>9.5600000000000023</c:v>
                </c:pt>
                <c:pt idx="524">
                  <c:v>-2.0199999999999818</c:v>
                </c:pt>
                <c:pt idx="525">
                  <c:v>3.8899999999999864</c:v>
                </c:pt>
                <c:pt idx="526">
                  <c:v>13.78000000000003</c:v>
                </c:pt>
                <c:pt idx="527">
                  <c:v>12.119999999999948</c:v>
                </c:pt>
                <c:pt idx="528">
                  <c:v>-2</c:v>
                </c:pt>
                <c:pt idx="529">
                  <c:v>-1.1399999999999864</c:v>
                </c:pt>
                <c:pt idx="530">
                  <c:v>5.5600000000000023</c:v>
                </c:pt>
                <c:pt idx="531">
                  <c:v>-4.5799999999999841</c:v>
                </c:pt>
                <c:pt idx="532">
                  <c:v>-7.7699999999999818</c:v>
                </c:pt>
                <c:pt idx="533">
                  <c:v>-2.1200000000000045</c:v>
                </c:pt>
                <c:pt idx="534">
                  <c:v>2.6800000000000068</c:v>
                </c:pt>
                <c:pt idx="535">
                  <c:v>-6.4600000000000364</c:v>
                </c:pt>
                <c:pt idx="536">
                  <c:v>-7.9099999999999682</c:v>
                </c:pt>
                <c:pt idx="537">
                  <c:v>-5.6500000000000341</c:v>
                </c:pt>
                <c:pt idx="538">
                  <c:v>3.7200000000000273</c:v>
                </c:pt>
                <c:pt idx="539">
                  <c:v>-4.0099999999999909</c:v>
                </c:pt>
                <c:pt idx="540">
                  <c:v>9.17999999999995</c:v>
                </c:pt>
                <c:pt idx="541">
                  <c:v>-3.2799999999999727</c:v>
                </c:pt>
                <c:pt idx="542">
                  <c:v>-2.6299999999999955</c:v>
                </c:pt>
                <c:pt idx="543">
                  <c:v>1.9599999999999795</c:v>
                </c:pt>
                <c:pt idx="544">
                  <c:v>19.830000000000041</c:v>
                </c:pt>
                <c:pt idx="545">
                  <c:v>-2.7200000000000273</c:v>
                </c:pt>
                <c:pt idx="546">
                  <c:v>1.1100000000000136</c:v>
                </c:pt>
                <c:pt idx="547">
                  <c:v>3.1499999999999773</c:v>
                </c:pt>
                <c:pt idx="548">
                  <c:v>-1.7299999999999613</c:v>
                </c:pt>
                <c:pt idx="549">
                  <c:v>3.839999999999975</c:v>
                </c:pt>
                <c:pt idx="550">
                  <c:v>7.1000000000000227</c:v>
                </c:pt>
                <c:pt idx="551">
                  <c:v>-2.5900000000000318</c:v>
                </c:pt>
                <c:pt idx="552">
                  <c:v>5.4499999999999886</c:v>
                </c:pt>
                <c:pt idx="553">
                  <c:v>1.5400000000000205</c:v>
                </c:pt>
                <c:pt idx="554">
                  <c:v>1.2300000000000182</c:v>
                </c:pt>
                <c:pt idx="555">
                  <c:v>-6.9000000000000341</c:v>
                </c:pt>
                <c:pt idx="556">
                  <c:v>-8.25</c:v>
                </c:pt>
                <c:pt idx="557">
                  <c:v>5.2100000000000364</c:v>
                </c:pt>
                <c:pt idx="558">
                  <c:v>6.67999999999995</c:v>
                </c:pt>
                <c:pt idx="559">
                  <c:v>-3.7099999999999795</c:v>
                </c:pt>
                <c:pt idx="560">
                  <c:v>8.4900000000000091</c:v>
                </c:pt>
                <c:pt idx="561">
                  <c:v>-5.0600000000000023</c:v>
                </c:pt>
                <c:pt idx="562">
                  <c:v>-5.5</c:v>
                </c:pt>
                <c:pt idx="563">
                  <c:v>-10.620000000000005</c:v>
                </c:pt>
                <c:pt idx="564">
                  <c:v>0.84000000000003183</c:v>
                </c:pt>
                <c:pt idx="565">
                  <c:v>11.029999999999973</c:v>
                </c:pt>
                <c:pt idx="566">
                  <c:v>-29.769999999999982</c:v>
                </c:pt>
                <c:pt idx="567">
                  <c:v>-4.8100000000000023</c:v>
                </c:pt>
                <c:pt idx="568">
                  <c:v>5.3100000000000023</c:v>
                </c:pt>
                <c:pt idx="569">
                  <c:v>7.9300000000000068</c:v>
                </c:pt>
                <c:pt idx="570">
                  <c:v>-1.3500000000000227</c:v>
                </c:pt>
                <c:pt idx="571">
                  <c:v>11.754999999999995</c:v>
                </c:pt>
                <c:pt idx="572">
                  <c:v>1.4250000000000114</c:v>
                </c:pt>
                <c:pt idx="573">
                  <c:v>-0.72000000000002728</c:v>
                </c:pt>
                <c:pt idx="574">
                  <c:v>-1.4699999999999704</c:v>
                </c:pt>
                <c:pt idx="575">
                  <c:v>12.870000000000005</c:v>
                </c:pt>
                <c:pt idx="576">
                  <c:v>5.8799999999999955</c:v>
                </c:pt>
                <c:pt idx="577">
                  <c:v>5.3700000000000045</c:v>
                </c:pt>
                <c:pt idx="578">
                  <c:v>-6.4300000000000068</c:v>
                </c:pt>
                <c:pt idx="579">
                  <c:v>-7.9300000000000068</c:v>
                </c:pt>
                <c:pt idx="580">
                  <c:v>-12.129999999999995</c:v>
                </c:pt>
                <c:pt idx="581">
                  <c:v>4.1899999999999977</c:v>
                </c:pt>
                <c:pt idx="582">
                  <c:v>-1.7699999999999818</c:v>
                </c:pt>
                <c:pt idx="583">
                  <c:v>-5.1500000000000341</c:v>
                </c:pt>
                <c:pt idx="584">
                  <c:v>4.1000000000000227</c:v>
                </c:pt>
                <c:pt idx="585">
                  <c:v>-3.1999999999999886</c:v>
                </c:pt>
                <c:pt idx="586">
                  <c:v>-1.9300000000000068</c:v>
                </c:pt>
                <c:pt idx="587">
                  <c:v>18.339999999999975</c:v>
                </c:pt>
                <c:pt idx="588">
                  <c:v>-3.6700000000000159</c:v>
                </c:pt>
                <c:pt idx="589">
                  <c:v>-15.20999999999998</c:v>
                </c:pt>
                <c:pt idx="590">
                  <c:v>-1.0299999999999727</c:v>
                </c:pt>
                <c:pt idx="591">
                  <c:v>-4.25</c:v>
                </c:pt>
                <c:pt idx="592">
                  <c:v>-7.7900000000000205</c:v>
                </c:pt>
                <c:pt idx="593">
                  <c:v>-3.0099999999999909</c:v>
                </c:pt>
                <c:pt idx="594">
                  <c:v>5.9799999999999613</c:v>
                </c:pt>
                <c:pt idx="595">
                  <c:v>-7.42999999999995</c:v>
                </c:pt>
                <c:pt idx="596">
                  <c:v>-7.5600000000000023</c:v>
                </c:pt>
                <c:pt idx="597">
                  <c:v>2.6399999999999864</c:v>
                </c:pt>
                <c:pt idx="598">
                  <c:v>-25</c:v>
                </c:pt>
                <c:pt idx="599">
                  <c:v>-21.400000000000034</c:v>
                </c:pt>
                <c:pt idx="600">
                  <c:v>8.3500000000000227</c:v>
                </c:pt>
                <c:pt idx="601">
                  <c:v>-13.650000000000006</c:v>
                </c:pt>
                <c:pt idx="602">
                  <c:v>15.049999999999983</c:v>
                </c:pt>
                <c:pt idx="603">
                  <c:v>19.410000000000025</c:v>
                </c:pt>
                <c:pt idx="604">
                  <c:v>18.78000000000003</c:v>
                </c:pt>
                <c:pt idx="605">
                  <c:v>-6.4200000000000159</c:v>
                </c:pt>
                <c:pt idx="606">
                  <c:v>-9.6399999999999864</c:v>
                </c:pt>
                <c:pt idx="607">
                  <c:v>15.039999999999964</c:v>
                </c:pt>
                <c:pt idx="608">
                  <c:v>-3.7699999999999818</c:v>
                </c:pt>
                <c:pt idx="609">
                  <c:v>-6.8500000000000227</c:v>
                </c:pt>
                <c:pt idx="610">
                  <c:v>6.2599999999999909</c:v>
                </c:pt>
                <c:pt idx="611">
                  <c:v>-9.1299999999999955</c:v>
                </c:pt>
                <c:pt idx="612">
                  <c:v>-3.5199999999999818</c:v>
                </c:pt>
                <c:pt idx="613">
                  <c:v>5.660000000000025</c:v>
                </c:pt>
                <c:pt idx="614">
                  <c:v>6.7299999999999613</c:v>
                </c:pt>
                <c:pt idx="615">
                  <c:v>-9.839999999999975</c:v>
                </c:pt>
                <c:pt idx="616">
                  <c:v>-6.8700000000000045</c:v>
                </c:pt>
                <c:pt idx="617">
                  <c:v>8.9999999999974989E-2</c:v>
                </c:pt>
                <c:pt idx="618">
                  <c:v>-2.7699999999999818</c:v>
                </c:pt>
                <c:pt idx="619">
                  <c:v>4.7900000000000205</c:v>
                </c:pt>
                <c:pt idx="620">
                  <c:v>8.5949999999999704</c:v>
                </c:pt>
                <c:pt idx="621">
                  <c:v>-0.17500000000001137</c:v>
                </c:pt>
                <c:pt idx="622">
                  <c:v>6.0200000000000387</c:v>
                </c:pt>
                <c:pt idx="623">
                  <c:v>1.2299999999999613</c:v>
                </c:pt>
                <c:pt idx="624">
                  <c:v>-16.699999999999989</c:v>
                </c:pt>
                <c:pt idx="625">
                  <c:v>9.6399999999999864</c:v>
                </c:pt>
                <c:pt idx="626">
                  <c:v>8.6800000000000068</c:v>
                </c:pt>
                <c:pt idx="627">
                  <c:v>-0.79999999999995453</c:v>
                </c:pt>
                <c:pt idx="628">
                  <c:v>4.8799999999999955</c:v>
                </c:pt>
                <c:pt idx="629">
                  <c:v>-1.8300000000000409</c:v>
                </c:pt>
                <c:pt idx="630">
                  <c:v>-3.9599999999999795</c:v>
                </c:pt>
                <c:pt idx="631">
                  <c:v>-9.089999999999975</c:v>
                </c:pt>
                <c:pt idx="632">
                  <c:v>-7.7900000000000205</c:v>
                </c:pt>
                <c:pt idx="633">
                  <c:v>2.3000000000000114</c:v>
                </c:pt>
                <c:pt idx="634">
                  <c:v>-1.9399999999999977</c:v>
                </c:pt>
                <c:pt idx="635">
                  <c:v>-7.7200000000000273</c:v>
                </c:pt>
                <c:pt idx="636">
                  <c:v>7.6700000000000159</c:v>
                </c:pt>
                <c:pt idx="637">
                  <c:v>-9.4800000000000182</c:v>
                </c:pt>
                <c:pt idx="638">
                  <c:v>4.0600000000000023</c:v>
                </c:pt>
                <c:pt idx="639">
                  <c:v>-1.2199999999999704</c:v>
                </c:pt>
                <c:pt idx="640">
                  <c:v>1</c:v>
                </c:pt>
                <c:pt idx="641">
                  <c:v>4.9099999999999682</c:v>
                </c:pt>
                <c:pt idx="642">
                  <c:v>7.9600000000000364</c:v>
                </c:pt>
                <c:pt idx="643">
                  <c:v>-6.9900000000000091</c:v>
                </c:pt>
                <c:pt idx="644">
                  <c:v>7.089999999999975</c:v>
                </c:pt>
                <c:pt idx="645">
                  <c:v>4.9200000000000159</c:v>
                </c:pt>
                <c:pt idx="646">
                  <c:v>-5.6100000000000136</c:v>
                </c:pt>
                <c:pt idx="647">
                  <c:v>28.370000000000005</c:v>
                </c:pt>
                <c:pt idx="648">
                  <c:v>-3.410000000000025</c:v>
                </c:pt>
                <c:pt idx="649">
                  <c:v>1.57000000000005</c:v>
                </c:pt>
                <c:pt idx="650">
                  <c:v>14.439999999999998</c:v>
                </c:pt>
                <c:pt idx="651">
                  <c:v>10.669999999999959</c:v>
                </c:pt>
                <c:pt idx="652">
                  <c:v>2.0099999999999909</c:v>
                </c:pt>
                <c:pt idx="653">
                  <c:v>12.940000000000055</c:v>
                </c:pt>
                <c:pt idx="654">
                  <c:v>0.44999999999998863</c:v>
                </c:pt>
                <c:pt idx="655">
                  <c:v>12.659999999999968</c:v>
                </c:pt>
                <c:pt idx="656">
                  <c:v>-18.279999999999973</c:v>
                </c:pt>
                <c:pt idx="657">
                  <c:v>9.6700000000000159</c:v>
                </c:pt>
                <c:pt idx="658">
                  <c:v>-14.710000000000036</c:v>
                </c:pt>
                <c:pt idx="659">
                  <c:v>-13.879999999999995</c:v>
                </c:pt>
                <c:pt idx="660">
                  <c:v>-0.62000000000000455</c:v>
                </c:pt>
                <c:pt idx="661">
                  <c:v>8.9900000000000091</c:v>
                </c:pt>
                <c:pt idx="662">
                  <c:v>2.5</c:v>
                </c:pt>
                <c:pt idx="663">
                  <c:v>5.4300000000000068</c:v>
                </c:pt>
                <c:pt idx="664">
                  <c:v>-6.9800000000000182</c:v>
                </c:pt>
                <c:pt idx="665">
                  <c:v>-7.8799999999999955</c:v>
                </c:pt>
                <c:pt idx="666">
                  <c:v>-24.20999999999998</c:v>
                </c:pt>
                <c:pt idx="667">
                  <c:v>-1.6999999999999886</c:v>
                </c:pt>
                <c:pt idx="668">
                  <c:v>-0.26000000000004775</c:v>
                </c:pt>
                <c:pt idx="669">
                  <c:v>9.6100000000000136</c:v>
                </c:pt>
                <c:pt idx="670">
                  <c:v>3.9600000000000364</c:v>
                </c:pt>
                <c:pt idx="671">
                  <c:v>-3.5100000000000477</c:v>
                </c:pt>
                <c:pt idx="672">
                  <c:v>-2.25</c:v>
                </c:pt>
                <c:pt idx="673">
                  <c:v>2.160000000000025</c:v>
                </c:pt>
                <c:pt idx="674">
                  <c:v>-8.7699999999999818</c:v>
                </c:pt>
                <c:pt idx="675">
                  <c:v>12.589999999999975</c:v>
                </c:pt>
                <c:pt idx="676">
                  <c:v>1.160000000000025</c:v>
                </c:pt>
                <c:pt idx="677">
                  <c:v>-3.6200000000000045</c:v>
                </c:pt>
                <c:pt idx="678">
                  <c:v>-6.6500000000000341</c:v>
                </c:pt>
                <c:pt idx="679">
                  <c:v>-10.379999999999995</c:v>
                </c:pt>
                <c:pt idx="680">
                  <c:v>-5.7699999999999818</c:v>
                </c:pt>
                <c:pt idx="681">
                  <c:v>11.310000000000002</c:v>
                </c:pt>
                <c:pt idx="682">
                  <c:v>-2.0900000000000318</c:v>
                </c:pt>
                <c:pt idx="683">
                  <c:v>-9.4699999999999704</c:v>
                </c:pt>
                <c:pt idx="684">
                  <c:v>-7.0099999999999909</c:v>
                </c:pt>
                <c:pt idx="685">
                  <c:v>7.9699999999999704</c:v>
                </c:pt>
                <c:pt idx="686">
                  <c:v>2.6999999999999886</c:v>
                </c:pt>
                <c:pt idx="687">
                  <c:v>48.700000000000045</c:v>
                </c:pt>
                <c:pt idx="688">
                  <c:v>-1.3700000000000045</c:v>
                </c:pt>
                <c:pt idx="689">
                  <c:v>-6.1800000000000068</c:v>
                </c:pt>
                <c:pt idx="690">
                  <c:v>37.579999999999984</c:v>
                </c:pt>
                <c:pt idx="691">
                  <c:v>-9.2300000000000182</c:v>
                </c:pt>
                <c:pt idx="692">
                  <c:v>-17.889999999999986</c:v>
                </c:pt>
                <c:pt idx="693">
                  <c:v>3.0400000000000205</c:v>
                </c:pt>
                <c:pt idx="694">
                  <c:v>0.92000000000001592</c:v>
                </c:pt>
                <c:pt idx="695">
                  <c:v>-8.7700000000000387</c:v>
                </c:pt>
                <c:pt idx="696">
                  <c:v>-8.9499999999999886</c:v>
                </c:pt>
                <c:pt idx="697">
                  <c:v>-3.2400000000000091</c:v>
                </c:pt>
                <c:pt idx="698">
                  <c:v>-29.949999999999989</c:v>
                </c:pt>
                <c:pt idx="699">
                  <c:v>2.9399999999999977</c:v>
                </c:pt>
                <c:pt idx="700">
                  <c:v>13.45999999999998</c:v>
                </c:pt>
                <c:pt idx="701">
                  <c:v>-0.25999999999999091</c:v>
                </c:pt>
                <c:pt idx="702">
                  <c:v>-1.5399999999999636</c:v>
                </c:pt>
                <c:pt idx="703">
                  <c:v>2.7199999999999704</c:v>
                </c:pt>
                <c:pt idx="704">
                  <c:v>-3.5500000000000114</c:v>
                </c:pt>
                <c:pt idx="705">
                  <c:v>-7.4099999999999682</c:v>
                </c:pt>
                <c:pt idx="706">
                  <c:v>-6.8500000000000227</c:v>
                </c:pt>
                <c:pt idx="707">
                  <c:v>-1.8600000000000136</c:v>
                </c:pt>
                <c:pt idx="708">
                  <c:v>-1.4899999999999523</c:v>
                </c:pt>
                <c:pt idx="709">
                  <c:v>-12.710000000000036</c:v>
                </c:pt>
                <c:pt idx="710">
                  <c:v>-8.2099999999999795</c:v>
                </c:pt>
                <c:pt idx="711">
                  <c:v>0.20999999999997954</c:v>
                </c:pt>
                <c:pt idx="712">
                  <c:v>-17.70999999999998</c:v>
                </c:pt>
                <c:pt idx="713">
                  <c:v>22.259999999999991</c:v>
                </c:pt>
                <c:pt idx="714">
                  <c:v>-6.0600000000000023</c:v>
                </c:pt>
                <c:pt idx="715">
                  <c:v>11.100000000000023</c:v>
                </c:pt>
                <c:pt idx="716">
                  <c:v>-1.0800000000000409</c:v>
                </c:pt>
                <c:pt idx="717">
                  <c:v>5.7400000000000091</c:v>
                </c:pt>
                <c:pt idx="718">
                  <c:v>-0.36000000000001364</c:v>
                </c:pt>
                <c:pt idx="719">
                  <c:v>-9.8799999999999955</c:v>
                </c:pt>
                <c:pt idx="720">
                  <c:v>14.060000000000002</c:v>
                </c:pt>
                <c:pt idx="721">
                  <c:v>-0.68999999999999773</c:v>
                </c:pt>
                <c:pt idx="722">
                  <c:v>0.77000000000003865</c:v>
                </c:pt>
                <c:pt idx="723">
                  <c:v>0.57999999999998408</c:v>
                </c:pt>
                <c:pt idx="724">
                  <c:v>1.3100000000000023</c:v>
                </c:pt>
                <c:pt idx="725">
                  <c:v>8.589999999999975</c:v>
                </c:pt>
                <c:pt idx="726">
                  <c:v>-2.0600000000000023</c:v>
                </c:pt>
                <c:pt idx="727">
                  <c:v>-42.75</c:v>
                </c:pt>
                <c:pt idx="728">
                  <c:v>45.930000000000007</c:v>
                </c:pt>
                <c:pt idx="729">
                  <c:v>-9.6800000000000068</c:v>
                </c:pt>
                <c:pt idx="730">
                  <c:v>-6.2199999999999704</c:v>
                </c:pt>
                <c:pt idx="731">
                  <c:v>-12.970000000000027</c:v>
                </c:pt>
                <c:pt idx="732">
                  <c:v>-19.879999999999995</c:v>
                </c:pt>
                <c:pt idx="733">
                  <c:v>-11.389999999999986</c:v>
                </c:pt>
                <c:pt idx="734">
                  <c:v>12.240000000000009</c:v>
                </c:pt>
                <c:pt idx="735">
                  <c:v>-5.9200000000000159</c:v>
                </c:pt>
                <c:pt idx="736">
                  <c:v>-4.6500000000000057</c:v>
                </c:pt>
                <c:pt idx="737">
                  <c:v>6.5499999999999829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3C-423E-B6C7-B707920F9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921263"/>
        <c:axId val="312920015"/>
      </c:scatterChart>
      <c:valAx>
        <c:axId val="312921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20015"/>
        <c:crosses val="autoZero"/>
        <c:crossBetween val="midCat"/>
      </c:valAx>
      <c:valAx>
        <c:axId val="31292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21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portfolio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'tesla-stock-price (2)'!$A$21:$A$758</c:f>
              <c:numCache>
                <c:formatCode>General</c:formatCode>
                <c:ptCount val="738"/>
                <c:pt idx="0">
                  <c:v>42318</c:v>
                </c:pt>
                <c:pt idx="1">
                  <c:v>42319</c:v>
                </c:pt>
                <c:pt idx="2">
                  <c:v>42320</c:v>
                </c:pt>
                <c:pt idx="3">
                  <c:v>42321</c:v>
                </c:pt>
                <c:pt idx="4">
                  <c:v>42324</c:v>
                </c:pt>
                <c:pt idx="5">
                  <c:v>42325</c:v>
                </c:pt>
                <c:pt idx="6">
                  <c:v>42326</c:v>
                </c:pt>
                <c:pt idx="7">
                  <c:v>42327</c:v>
                </c:pt>
                <c:pt idx="8">
                  <c:v>42328</c:v>
                </c:pt>
                <c:pt idx="9">
                  <c:v>42331</c:v>
                </c:pt>
                <c:pt idx="10">
                  <c:v>42332</c:v>
                </c:pt>
                <c:pt idx="11">
                  <c:v>42333</c:v>
                </c:pt>
                <c:pt idx="12">
                  <c:v>42335</c:v>
                </c:pt>
                <c:pt idx="13">
                  <c:v>42338</c:v>
                </c:pt>
                <c:pt idx="14">
                  <c:v>42339</c:v>
                </c:pt>
                <c:pt idx="15">
                  <c:v>42340</c:v>
                </c:pt>
                <c:pt idx="16">
                  <c:v>42341</c:v>
                </c:pt>
                <c:pt idx="17">
                  <c:v>42342</c:v>
                </c:pt>
                <c:pt idx="18">
                  <c:v>42345</c:v>
                </c:pt>
                <c:pt idx="19">
                  <c:v>42346</c:v>
                </c:pt>
                <c:pt idx="20">
                  <c:v>42347</c:v>
                </c:pt>
                <c:pt idx="21">
                  <c:v>42348</c:v>
                </c:pt>
                <c:pt idx="22">
                  <c:v>42349</c:v>
                </c:pt>
                <c:pt idx="23">
                  <c:v>42352</c:v>
                </c:pt>
                <c:pt idx="24">
                  <c:v>42353</c:v>
                </c:pt>
                <c:pt idx="25">
                  <c:v>42354</c:v>
                </c:pt>
                <c:pt idx="26">
                  <c:v>42355</c:v>
                </c:pt>
                <c:pt idx="27">
                  <c:v>42356</c:v>
                </c:pt>
                <c:pt idx="28">
                  <c:v>42359</c:v>
                </c:pt>
                <c:pt idx="29">
                  <c:v>42360</c:v>
                </c:pt>
                <c:pt idx="30">
                  <c:v>42361</c:v>
                </c:pt>
                <c:pt idx="31">
                  <c:v>42362</c:v>
                </c:pt>
                <c:pt idx="32">
                  <c:v>42366</c:v>
                </c:pt>
                <c:pt idx="33">
                  <c:v>42367</c:v>
                </c:pt>
                <c:pt idx="34">
                  <c:v>42368</c:v>
                </c:pt>
                <c:pt idx="35">
                  <c:v>42369</c:v>
                </c:pt>
                <c:pt idx="36">
                  <c:v>42373</c:v>
                </c:pt>
                <c:pt idx="37">
                  <c:v>42374</c:v>
                </c:pt>
                <c:pt idx="38">
                  <c:v>42375</c:v>
                </c:pt>
                <c:pt idx="39">
                  <c:v>42376</c:v>
                </c:pt>
                <c:pt idx="40">
                  <c:v>42377</c:v>
                </c:pt>
                <c:pt idx="41">
                  <c:v>42380</c:v>
                </c:pt>
                <c:pt idx="42">
                  <c:v>42381</c:v>
                </c:pt>
                <c:pt idx="43">
                  <c:v>42382</c:v>
                </c:pt>
                <c:pt idx="44">
                  <c:v>42383</c:v>
                </c:pt>
                <c:pt idx="45">
                  <c:v>42384</c:v>
                </c:pt>
                <c:pt idx="46">
                  <c:v>42388</c:v>
                </c:pt>
                <c:pt idx="47">
                  <c:v>42389</c:v>
                </c:pt>
                <c:pt idx="48">
                  <c:v>42390</c:v>
                </c:pt>
                <c:pt idx="49">
                  <c:v>42391</c:v>
                </c:pt>
                <c:pt idx="50">
                  <c:v>42394</c:v>
                </c:pt>
                <c:pt idx="51">
                  <c:v>42395</c:v>
                </c:pt>
                <c:pt idx="52">
                  <c:v>42396</c:v>
                </c:pt>
                <c:pt idx="53">
                  <c:v>42397</c:v>
                </c:pt>
                <c:pt idx="54">
                  <c:v>42398</c:v>
                </c:pt>
                <c:pt idx="55">
                  <c:v>42401</c:v>
                </c:pt>
                <c:pt idx="56">
                  <c:v>42402</c:v>
                </c:pt>
                <c:pt idx="57">
                  <c:v>42403</c:v>
                </c:pt>
                <c:pt idx="58">
                  <c:v>42404</c:v>
                </c:pt>
                <c:pt idx="59">
                  <c:v>42405</c:v>
                </c:pt>
                <c:pt idx="60">
                  <c:v>42408</c:v>
                </c:pt>
                <c:pt idx="61">
                  <c:v>42409</c:v>
                </c:pt>
                <c:pt idx="62">
                  <c:v>42410</c:v>
                </c:pt>
                <c:pt idx="63">
                  <c:v>42411</c:v>
                </c:pt>
                <c:pt idx="64">
                  <c:v>42412</c:v>
                </c:pt>
                <c:pt idx="65">
                  <c:v>42416</c:v>
                </c:pt>
                <c:pt idx="66">
                  <c:v>42417</c:v>
                </c:pt>
                <c:pt idx="67">
                  <c:v>42418</c:v>
                </c:pt>
                <c:pt idx="68">
                  <c:v>42419</c:v>
                </c:pt>
                <c:pt idx="69">
                  <c:v>42422</c:v>
                </c:pt>
                <c:pt idx="70">
                  <c:v>42423</c:v>
                </c:pt>
                <c:pt idx="71">
                  <c:v>42424</c:v>
                </c:pt>
                <c:pt idx="72">
                  <c:v>42425</c:v>
                </c:pt>
                <c:pt idx="73">
                  <c:v>42426</c:v>
                </c:pt>
                <c:pt idx="74">
                  <c:v>42429</c:v>
                </c:pt>
                <c:pt idx="75">
                  <c:v>42430</c:v>
                </c:pt>
                <c:pt idx="76">
                  <c:v>42431</c:v>
                </c:pt>
                <c:pt idx="77">
                  <c:v>42432</c:v>
                </c:pt>
                <c:pt idx="78">
                  <c:v>42433</c:v>
                </c:pt>
                <c:pt idx="79">
                  <c:v>42436</c:v>
                </c:pt>
                <c:pt idx="80">
                  <c:v>42437</c:v>
                </c:pt>
                <c:pt idx="81">
                  <c:v>42438</c:v>
                </c:pt>
                <c:pt idx="82">
                  <c:v>42439</c:v>
                </c:pt>
                <c:pt idx="83">
                  <c:v>42440</c:v>
                </c:pt>
                <c:pt idx="84">
                  <c:v>42443</c:v>
                </c:pt>
                <c:pt idx="85">
                  <c:v>42444</c:v>
                </c:pt>
                <c:pt idx="86">
                  <c:v>42445</c:v>
                </c:pt>
                <c:pt idx="87">
                  <c:v>42446</c:v>
                </c:pt>
                <c:pt idx="88">
                  <c:v>42447</c:v>
                </c:pt>
                <c:pt idx="89">
                  <c:v>42450</c:v>
                </c:pt>
                <c:pt idx="90">
                  <c:v>42451</c:v>
                </c:pt>
                <c:pt idx="91">
                  <c:v>42452</c:v>
                </c:pt>
                <c:pt idx="92">
                  <c:v>42453</c:v>
                </c:pt>
                <c:pt idx="93">
                  <c:v>42457</c:v>
                </c:pt>
                <c:pt idx="94">
                  <c:v>42458</c:v>
                </c:pt>
                <c:pt idx="95">
                  <c:v>42459</c:v>
                </c:pt>
                <c:pt idx="96">
                  <c:v>42460</c:v>
                </c:pt>
                <c:pt idx="97">
                  <c:v>42461</c:v>
                </c:pt>
                <c:pt idx="98">
                  <c:v>42464</c:v>
                </c:pt>
                <c:pt idx="99">
                  <c:v>42465</c:v>
                </c:pt>
                <c:pt idx="100">
                  <c:v>42466</c:v>
                </c:pt>
                <c:pt idx="101">
                  <c:v>42467</c:v>
                </c:pt>
                <c:pt idx="102">
                  <c:v>42468</c:v>
                </c:pt>
                <c:pt idx="103">
                  <c:v>42471</c:v>
                </c:pt>
                <c:pt idx="104">
                  <c:v>42472</c:v>
                </c:pt>
                <c:pt idx="105">
                  <c:v>42473</c:v>
                </c:pt>
                <c:pt idx="106">
                  <c:v>42474</c:v>
                </c:pt>
                <c:pt idx="107">
                  <c:v>42475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42485</c:v>
                </c:pt>
                <c:pt idx="114">
                  <c:v>42486</c:v>
                </c:pt>
                <c:pt idx="115">
                  <c:v>42487</c:v>
                </c:pt>
                <c:pt idx="116">
                  <c:v>42488</c:v>
                </c:pt>
                <c:pt idx="117">
                  <c:v>42489</c:v>
                </c:pt>
                <c:pt idx="118">
                  <c:v>42492</c:v>
                </c:pt>
                <c:pt idx="119">
                  <c:v>42493</c:v>
                </c:pt>
                <c:pt idx="120">
                  <c:v>42494</c:v>
                </c:pt>
                <c:pt idx="121">
                  <c:v>42495</c:v>
                </c:pt>
                <c:pt idx="122">
                  <c:v>42496</c:v>
                </c:pt>
                <c:pt idx="123">
                  <c:v>42499</c:v>
                </c:pt>
                <c:pt idx="124">
                  <c:v>42500</c:v>
                </c:pt>
                <c:pt idx="125">
                  <c:v>42501</c:v>
                </c:pt>
                <c:pt idx="126">
                  <c:v>42502</c:v>
                </c:pt>
                <c:pt idx="127">
                  <c:v>42503</c:v>
                </c:pt>
                <c:pt idx="128">
                  <c:v>42506</c:v>
                </c:pt>
                <c:pt idx="129">
                  <c:v>42507</c:v>
                </c:pt>
                <c:pt idx="130">
                  <c:v>42508</c:v>
                </c:pt>
                <c:pt idx="131">
                  <c:v>42509</c:v>
                </c:pt>
                <c:pt idx="132">
                  <c:v>42510</c:v>
                </c:pt>
                <c:pt idx="133">
                  <c:v>42513</c:v>
                </c:pt>
                <c:pt idx="134">
                  <c:v>42514</c:v>
                </c:pt>
                <c:pt idx="135">
                  <c:v>42515</c:v>
                </c:pt>
                <c:pt idx="136">
                  <c:v>42516</c:v>
                </c:pt>
                <c:pt idx="137">
                  <c:v>42517</c:v>
                </c:pt>
                <c:pt idx="138">
                  <c:v>42521</c:v>
                </c:pt>
                <c:pt idx="139">
                  <c:v>42522</c:v>
                </c:pt>
                <c:pt idx="140">
                  <c:v>42523</c:v>
                </c:pt>
                <c:pt idx="141">
                  <c:v>42524</c:v>
                </c:pt>
                <c:pt idx="142">
                  <c:v>42527</c:v>
                </c:pt>
                <c:pt idx="143">
                  <c:v>42528</c:v>
                </c:pt>
                <c:pt idx="144">
                  <c:v>42529</c:v>
                </c:pt>
                <c:pt idx="145">
                  <c:v>42530</c:v>
                </c:pt>
                <c:pt idx="146">
                  <c:v>42531</c:v>
                </c:pt>
                <c:pt idx="147">
                  <c:v>42534</c:v>
                </c:pt>
                <c:pt idx="148">
                  <c:v>42535</c:v>
                </c:pt>
                <c:pt idx="149">
                  <c:v>42536</c:v>
                </c:pt>
                <c:pt idx="150">
                  <c:v>42537</c:v>
                </c:pt>
                <c:pt idx="151">
                  <c:v>42538</c:v>
                </c:pt>
                <c:pt idx="152">
                  <c:v>42541</c:v>
                </c:pt>
                <c:pt idx="153">
                  <c:v>42542</c:v>
                </c:pt>
                <c:pt idx="154">
                  <c:v>42543</c:v>
                </c:pt>
                <c:pt idx="155">
                  <c:v>42544</c:v>
                </c:pt>
                <c:pt idx="156">
                  <c:v>42545</c:v>
                </c:pt>
                <c:pt idx="157">
                  <c:v>42548</c:v>
                </c:pt>
                <c:pt idx="158">
                  <c:v>42549</c:v>
                </c:pt>
                <c:pt idx="159">
                  <c:v>42550</c:v>
                </c:pt>
                <c:pt idx="160">
                  <c:v>42551</c:v>
                </c:pt>
                <c:pt idx="161">
                  <c:v>42552</c:v>
                </c:pt>
                <c:pt idx="162">
                  <c:v>42556</c:v>
                </c:pt>
                <c:pt idx="163">
                  <c:v>42557</c:v>
                </c:pt>
                <c:pt idx="164">
                  <c:v>42558</c:v>
                </c:pt>
                <c:pt idx="165">
                  <c:v>42559</c:v>
                </c:pt>
                <c:pt idx="166">
                  <c:v>42562</c:v>
                </c:pt>
                <c:pt idx="167">
                  <c:v>42563</c:v>
                </c:pt>
                <c:pt idx="168">
                  <c:v>42564</c:v>
                </c:pt>
                <c:pt idx="169">
                  <c:v>42565</c:v>
                </c:pt>
                <c:pt idx="170">
                  <c:v>42566</c:v>
                </c:pt>
                <c:pt idx="171">
                  <c:v>42569</c:v>
                </c:pt>
                <c:pt idx="172">
                  <c:v>42570</c:v>
                </c:pt>
                <c:pt idx="173">
                  <c:v>42571</c:v>
                </c:pt>
                <c:pt idx="174">
                  <c:v>42572</c:v>
                </c:pt>
                <c:pt idx="175">
                  <c:v>42573</c:v>
                </c:pt>
                <c:pt idx="176">
                  <c:v>42576</c:v>
                </c:pt>
                <c:pt idx="177">
                  <c:v>42577</c:v>
                </c:pt>
                <c:pt idx="178">
                  <c:v>42578</c:v>
                </c:pt>
                <c:pt idx="179">
                  <c:v>42579</c:v>
                </c:pt>
                <c:pt idx="180">
                  <c:v>42580</c:v>
                </c:pt>
                <c:pt idx="181">
                  <c:v>42583</c:v>
                </c:pt>
                <c:pt idx="182">
                  <c:v>42584</c:v>
                </c:pt>
                <c:pt idx="183">
                  <c:v>42585</c:v>
                </c:pt>
                <c:pt idx="184">
                  <c:v>42586</c:v>
                </c:pt>
                <c:pt idx="185">
                  <c:v>42587</c:v>
                </c:pt>
                <c:pt idx="186">
                  <c:v>42590</c:v>
                </c:pt>
                <c:pt idx="187">
                  <c:v>42591</c:v>
                </c:pt>
                <c:pt idx="188">
                  <c:v>42592</c:v>
                </c:pt>
                <c:pt idx="189">
                  <c:v>42593</c:v>
                </c:pt>
                <c:pt idx="190">
                  <c:v>42594</c:v>
                </c:pt>
                <c:pt idx="191">
                  <c:v>42597</c:v>
                </c:pt>
                <c:pt idx="192">
                  <c:v>42598</c:v>
                </c:pt>
                <c:pt idx="193">
                  <c:v>42599</c:v>
                </c:pt>
                <c:pt idx="194">
                  <c:v>42600</c:v>
                </c:pt>
                <c:pt idx="195">
                  <c:v>42601</c:v>
                </c:pt>
                <c:pt idx="196">
                  <c:v>42604</c:v>
                </c:pt>
                <c:pt idx="197">
                  <c:v>42605</c:v>
                </c:pt>
                <c:pt idx="198">
                  <c:v>42606</c:v>
                </c:pt>
                <c:pt idx="199">
                  <c:v>42607</c:v>
                </c:pt>
                <c:pt idx="200">
                  <c:v>42608</c:v>
                </c:pt>
                <c:pt idx="201">
                  <c:v>42611</c:v>
                </c:pt>
                <c:pt idx="202">
                  <c:v>42612</c:v>
                </c:pt>
                <c:pt idx="203">
                  <c:v>42613</c:v>
                </c:pt>
                <c:pt idx="204">
                  <c:v>42614</c:v>
                </c:pt>
                <c:pt idx="205">
                  <c:v>42615</c:v>
                </c:pt>
                <c:pt idx="206">
                  <c:v>42619</c:v>
                </c:pt>
                <c:pt idx="207">
                  <c:v>42620</c:v>
                </c:pt>
                <c:pt idx="208">
                  <c:v>42621</c:v>
                </c:pt>
                <c:pt idx="209">
                  <c:v>42622</c:v>
                </c:pt>
                <c:pt idx="210">
                  <c:v>42625</c:v>
                </c:pt>
                <c:pt idx="211">
                  <c:v>42626</c:v>
                </c:pt>
                <c:pt idx="212">
                  <c:v>42627</c:v>
                </c:pt>
                <c:pt idx="213">
                  <c:v>42628</c:v>
                </c:pt>
                <c:pt idx="214">
                  <c:v>42629</c:v>
                </c:pt>
                <c:pt idx="215">
                  <c:v>42632</c:v>
                </c:pt>
                <c:pt idx="216">
                  <c:v>42633</c:v>
                </c:pt>
                <c:pt idx="217">
                  <c:v>42634</c:v>
                </c:pt>
                <c:pt idx="218">
                  <c:v>42635</c:v>
                </c:pt>
                <c:pt idx="219">
                  <c:v>42636</c:v>
                </c:pt>
                <c:pt idx="220">
                  <c:v>42639</c:v>
                </c:pt>
                <c:pt idx="221">
                  <c:v>42640</c:v>
                </c:pt>
                <c:pt idx="222">
                  <c:v>42641</c:v>
                </c:pt>
                <c:pt idx="223">
                  <c:v>42642</c:v>
                </c:pt>
                <c:pt idx="224">
                  <c:v>42643</c:v>
                </c:pt>
                <c:pt idx="225">
                  <c:v>42646</c:v>
                </c:pt>
                <c:pt idx="226">
                  <c:v>42647</c:v>
                </c:pt>
                <c:pt idx="227">
                  <c:v>42648</c:v>
                </c:pt>
                <c:pt idx="228">
                  <c:v>42649</c:v>
                </c:pt>
                <c:pt idx="229">
                  <c:v>42650</c:v>
                </c:pt>
                <c:pt idx="230">
                  <c:v>42653</c:v>
                </c:pt>
                <c:pt idx="231">
                  <c:v>42654</c:v>
                </c:pt>
                <c:pt idx="232">
                  <c:v>42655</c:v>
                </c:pt>
                <c:pt idx="233">
                  <c:v>42656</c:v>
                </c:pt>
                <c:pt idx="234">
                  <c:v>42657</c:v>
                </c:pt>
                <c:pt idx="235">
                  <c:v>42660</c:v>
                </c:pt>
                <c:pt idx="236">
                  <c:v>42661</c:v>
                </c:pt>
                <c:pt idx="237">
                  <c:v>42662</c:v>
                </c:pt>
                <c:pt idx="238">
                  <c:v>42663</c:v>
                </c:pt>
                <c:pt idx="239">
                  <c:v>42664</c:v>
                </c:pt>
                <c:pt idx="240">
                  <c:v>42667</c:v>
                </c:pt>
                <c:pt idx="241">
                  <c:v>42668</c:v>
                </c:pt>
                <c:pt idx="242">
                  <c:v>42669</c:v>
                </c:pt>
                <c:pt idx="243">
                  <c:v>42670</c:v>
                </c:pt>
                <c:pt idx="244">
                  <c:v>42671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42681</c:v>
                </c:pt>
                <c:pt idx="251">
                  <c:v>42682</c:v>
                </c:pt>
                <c:pt idx="252">
                  <c:v>42683</c:v>
                </c:pt>
                <c:pt idx="253">
                  <c:v>42684</c:v>
                </c:pt>
                <c:pt idx="254">
                  <c:v>42685</c:v>
                </c:pt>
                <c:pt idx="255">
                  <c:v>42688</c:v>
                </c:pt>
                <c:pt idx="256">
                  <c:v>42689</c:v>
                </c:pt>
                <c:pt idx="257">
                  <c:v>42690</c:v>
                </c:pt>
                <c:pt idx="258">
                  <c:v>42691</c:v>
                </c:pt>
                <c:pt idx="259">
                  <c:v>42692</c:v>
                </c:pt>
                <c:pt idx="260">
                  <c:v>42695</c:v>
                </c:pt>
                <c:pt idx="261">
                  <c:v>42696</c:v>
                </c:pt>
                <c:pt idx="262">
                  <c:v>42697</c:v>
                </c:pt>
                <c:pt idx="263">
                  <c:v>42699</c:v>
                </c:pt>
                <c:pt idx="264">
                  <c:v>42702</c:v>
                </c:pt>
                <c:pt idx="265">
                  <c:v>42703</c:v>
                </c:pt>
                <c:pt idx="266">
                  <c:v>42704</c:v>
                </c:pt>
                <c:pt idx="267">
                  <c:v>42705</c:v>
                </c:pt>
                <c:pt idx="268">
                  <c:v>42706</c:v>
                </c:pt>
                <c:pt idx="269">
                  <c:v>42709</c:v>
                </c:pt>
                <c:pt idx="270">
                  <c:v>42710</c:v>
                </c:pt>
                <c:pt idx="271">
                  <c:v>42711</c:v>
                </c:pt>
                <c:pt idx="272">
                  <c:v>42712</c:v>
                </c:pt>
                <c:pt idx="273">
                  <c:v>42713</c:v>
                </c:pt>
                <c:pt idx="274">
                  <c:v>42716</c:v>
                </c:pt>
                <c:pt idx="275">
                  <c:v>42717</c:v>
                </c:pt>
                <c:pt idx="276">
                  <c:v>42718</c:v>
                </c:pt>
                <c:pt idx="277">
                  <c:v>42719</c:v>
                </c:pt>
                <c:pt idx="278">
                  <c:v>42720</c:v>
                </c:pt>
                <c:pt idx="279">
                  <c:v>42723</c:v>
                </c:pt>
                <c:pt idx="280">
                  <c:v>42724</c:v>
                </c:pt>
                <c:pt idx="281">
                  <c:v>42725</c:v>
                </c:pt>
                <c:pt idx="282">
                  <c:v>42726</c:v>
                </c:pt>
                <c:pt idx="283">
                  <c:v>42727</c:v>
                </c:pt>
                <c:pt idx="284">
                  <c:v>42731</c:v>
                </c:pt>
                <c:pt idx="285">
                  <c:v>42732</c:v>
                </c:pt>
                <c:pt idx="286">
                  <c:v>42733</c:v>
                </c:pt>
                <c:pt idx="287">
                  <c:v>42734</c:v>
                </c:pt>
                <c:pt idx="288">
                  <c:v>42738</c:v>
                </c:pt>
                <c:pt idx="289">
                  <c:v>42739</c:v>
                </c:pt>
                <c:pt idx="290">
                  <c:v>42740</c:v>
                </c:pt>
                <c:pt idx="291">
                  <c:v>42741</c:v>
                </c:pt>
                <c:pt idx="292">
                  <c:v>42744</c:v>
                </c:pt>
                <c:pt idx="293">
                  <c:v>42745</c:v>
                </c:pt>
                <c:pt idx="294">
                  <c:v>42746</c:v>
                </c:pt>
                <c:pt idx="295">
                  <c:v>42747</c:v>
                </c:pt>
                <c:pt idx="296">
                  <c:v>42748</c:v>
                </c:pt>
                <c:pt idx="297">
                  <c:v>42752</c:v>
                </c:pt>
                <c:pt idx="298">
                  <c:v>42753</c:v>
                </c:pt>
                <c:pt idx="299">
                  <c:v>42754</c:v>
                </c:pt>
                <c:pt idx="300">
                  <c:v>42755</c:v>
                </c:pt>
                <c:pt idx="301">
                  <c:v>42758</c:v>
                </c:pt>
                <c:pt idx="302">
                  <c:v>42759</c:v>
                </c:pt>
                <c:pt idx="303">
                  <c:v>42760</c:v>
                </c:pt>
                <c:pt idx="304">
                  <c:v>42761</c:v>
                </c:pt>
                <c:pt idx="305">
                  <c:v>42762</c:v>
                </c:pt>
                <c:pt idx="306">
                  <c:v>42765</c:v>
                </c:pt>
                <c:pt idx="307">
                  <c:v>42766</c:v>
                </c:pt>
                <c:pt idx="308">
                  <c:v>42767</c:v>
                </c:pt>
                <c:pt idx="309">
                  <c:v>42768</c:v>
                </c:pt>
                <c:pt idx="310">
                  <c:v>42769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42779</c:v>
                </c:pt>
                <c:pt idx="317">
                  <c:v>42780</c:v>
                </c:pt>
                <c:pt idx="318">
                  <c:v>42781</c:v>
                </c:pt>
                <c:pt idx="319">
                  <c:v>42782</c:v>
                </c:pt>
                <c:pt idx="320">
                  <c:v>42783</c:v>
                </c:pt>
                <c:pt idx="321">
                  <c:v>42787</c:v>
                </c:pt>
                <c:pt idx="322">
                  <c:v>42788</c:v>
                </c:pt>
                <c:pt idx="323">
                  <c:v>42789</c:v>
                </c:pt>
                <c:pt idx="324">
                  <c:v>42790</c:v>
                </c:pt>
                <c:pt idx="325">
                  <c:v>42793</c:v>
                </c:pt>
                <c:pt idx="326">
                  <c:v>42794</c:v>
                </c:pt>
                <c:pt idx="327">
                  <c:v>42795</c:v>
                </c:pt>
                <c:pt idx="328">
                  <c:v>42796</c:v>
                </c:pt>
                <c:pt idx="329">
                  <c:v>42797</c:v>
                </c:pt>
                <c:pt idx="330">
                  <c:v>42800</c:v>
                </c:pt>
                <c:pt idx="331">
                  <c:v>42801</c:v>
                </c:pt>
                <c:pt idx="332">
                  <c:v>42802</c:v>
                </c:pt>
                <c:pt idx="333">
                  <c:v>42803</c:v>
                </c:pt>
                <c:pt idx="334">
                  <c:v>42804</c:v>
                </c:pt>
                <c:pt idx="335">
                  <c:v>42807</c:v>
                </c:pt>
                <c:pt idx="336">
                  <c:v>42808</c:v>
                </c:pt>
                <c:pt idx="337">
                  <c:v>42809</c:v>
                </c:pt>
                <c:pt idx="338">
                  <c:v>42810</c:v>
                </c:pt>
                <c:pt idx="339">
                  <c:v>42811</c:v>
                </c:pt>
                <c:pt idx="340">
                  <c:v>42814</c:v>
                </c:pt>
                <c:pt idx="341">
                  <c:v>42815</c:v>
                </c:pt>
                <c:pt idx="342">
                  <c:v>42816</c:v>
                </c:pt>
                <c:pt idx="343">
                  <c:v>42817</c:v>
                </c:pt>
                <c:pt idx="344">
                  <c:v>42818</c:v>
                </c:pt>
                <c:pt idx="345">
                  <c:v>42821</c:v>
                </c:pt>
                <c:pt idx="346">
                  <c:v>42822</c:v>
                </c:pt>
                <c:pt idx="347">
                  <c:v>42823</c:v>
                </c:pt>
                <c:pt idx="348">
                  <c:v>42824</c:v>
                </c:pt>
                <c:pt idx="349">
                  <c:v>42825</c:v>
                </c:pt>
                <c:pt idx="350">
                  <c:v>42828</c:v>
                </c:pt>
                <c:pt idx="351">
                  <c:v>42829</c:v>
                </c:pt>
                <c:pt idx="352">
                  <c:v>42830</c:v>
                </c:pt>
                <c:pt idx="353">
                  <c:v>42831</c:v>
                </c:pt>
                <c:pt idx="354">
                  <c:v>42832</c:v>
                </c:pt>
                <c:pt idx="355">
                  <c:v>42835</c:v>
                </c:pt>
                <c:pt idx="356">
                  <c:v>42836</c:v>
                </c:pt>
                <c:pt idx="357">
                  <c:v>42837</c:v>
                </c:pt>
                <c:pt idx="358">
                  <c:v>42838</c:v>
                </c:pt>
                <c:pt idx="359">
                  <c:v>42842</c:v>
                </c:pt>
                <c:pt idx="360">
                  <c:v>42843</c:v>
                </c:pt>
                <c:pt idx="361">
                  <c:v>42844</c:v>
                </c:pt>
                <c:pt idx="362">
                  <c:v>42845</c:v>
                </c:pt>
                <c:pt idx="363">
                  <c:v>42846</c:v>
                </c:pt>
                <c:pt idx="364">
                  <c:v>42849</c:v>
                </c:pt>
                <c:pt idx="365">
                  <c:v>42850</c:v>
                </c:pt>
                <c:pt idx="366">
                  <c:v>42851</c:v>
                </c:pt>
                <c:pt idx="367">
                  <c:v>42852</c:v>
                </c:pt>
                <c:pt idx="368">
                  <c:v>42853</c:v>
                </c:pt>
                <c:pt idx="369">
                  <c:v>42856</c:v>
                </c:pt>
                <c:pt idx="370">
                  <c:v>42857</c:v>
                </c:pt>
                <c:pt idx="371">
                  <c:v>42858</c:v>
                </c:pt>
                <c:pt idx="372">
                  <c:v>42859</c:v>
                </c:pt>
                <c:pt idx="373">
                  <c:v>42860</c:v>
                </c:pt>
                <c:pt idx="374">
                  <c:v>42863</c:v>
                </c:pt>
                <c:pt idx="375">
                  <c:v>42864</c:v>
                </c:pt>
                <c:pt idx="376">
                  <c:v>42865</c:v>
                </c:pt>
                <c:pt idx="377">
                  <c:v>42866</c:v>
                </c:pt>
                <c:pt idx="378">
                  <c:v>42867</c:v>
                </c:pt>
                <c:pt idx="379">
                  <c:v>42870</c:v>
                </c:pt>
                <c:pt idx="380">
                  <c:v>42871</c:v>
                </c:pt>
                <c:pt idx="381">
                  <c:v>42872</c:v>
                </c:pt>
                <c:pt idx="382">
                  <c:v>42873</c:v>
                </c:pt>
                <c:pt idx="383">
                  <c:v>42874</c:v>
                </c:pt>
                <c:pt idx="384">
                  <c:v>42877</c:v>
                </c:pt>
                <c:pt idx="385">
                  <c:v>42878</c:v>
                </c:pt>
                <c:pt idx="386">
                  <c:v>42879</c:v>
                </c:pt>
                <c:pt idx="387">
                  <c:v>42880</c:v>
                </c:pt>
                <c:pt idx="388">
                  <c:v>42881</c:v>
                </c:pt>
                <c:pt idx="389">
                  <c:v>42885</c:v>
                </c:pt>
                <c:pt idx="390">
                  <c:v>42886</c:v>
                </c:pt>
                <c:pt idx="391">
                  <c:v>42887</c:v>
                </c:pt>
                <c:pt idx="392">
                  <c:v>42888</c:v>
                </c:pt>
                <c:pt idx="393">
                  <c:v>42891</c:v>
                </c:pt>
                <c:pt idx="394">
                  <c:v>42892</c:v>
                </c:pt>
                <c:pt idx="395">
                  <c:v>42893</c:v>
                </c:pt>
                <c:pt idx="396">
                  <c:v>42894</c:v>
                </c:pt>
                <c:pt idx="397">
                  <c:v>42895</c:v>
                </c:pt>
                <c:pt idx="398">
                  <c:v>42898</c:v>
                </c:pt>
                <c:pt idx="399">
                  <c:v>42899</c:v>
                </c:pt>
                <c:pt idx="400">
                  <c:v>42900</c:v>
                </c:pt>
                <c:pt idx="401">
                  <c:v>42901</c:v>
                </c:pt>
                <c:pt idx="402">
                  <c:v>42902</c:v>
                </c:pt>
                <c:pt idx="403">
                  <c:v>42905</c:v>
                </c:pt>
                <c:pt idx="404">
                  <c:v>42906</c:v>
                </c:pt>
                <c:pt idx="405">
                  <c:v>42907</c:v>
                </c:pt>
                <c:pt idx="406">
                  <c:v>42908</c:v>
                </c:pt>
                <c:pt idx="407">
                  <c:v>42909</c:v>
                </c:pt>
                <c:pt idx="408">
                  <c:v>42912</c:v>
                </c:pt>
                <c:pt idx="409">
                  <c:v>42913</c:v>
                </c:pt>
                <c:pt idx="410">
                  <c:v>42914</c:v>
                </c:pt>
                <c:pt idx="411">
                  <c:v>42915</c:v>
                </c:pt>
                <c:pt idx="412">
                  <c:v>42916</c:v>
                </c:pt>
                <c:pt idx="413">
                  <c:v>42919</c:v>
                </c:pt>
                <c:pt idx="414">
                  <c:v>42921</c:v>
                </c:pt>
                <c:pt idx="415">
                  <c:v>42922</c:v>
                </c:pt>
                <c:pt idx="416">
                  <c:v>42923</c:v>
                </c:pt>
                <c:pt idx="417">
                  <c:v>42926</c:v>
                </c:pt>
                <c:pt idx="418">
                  <c:v>42927</c:v>
                </c:pt>
                <c:pt idx="419">
                  <c:v>42928</c:v>
                </c:pt>
                <c:pt idx="420">
                  <c:v>42929</c:v>
                </c:pt>
                <c:pt idx="421">
                  <c:v>42930</c:v>
                </c:pt>
                <c:pt idx="422">
                  <c:v>42933</c:v>
                </c:pt>
                <c:pt idx="423">
                  <c:v>42934</c:v>
                </c:pt>
                <c:pt idx="424">
                  <c:v>42935</c:v>
                </c:pt>
                <c:pt idx="425">
                  <c:v>42936</c:v>
                </c:pt>
                <c:pt idx="426">
                  <c:v>42937</c:v>
                </c:pt>
                <c:pt idx="427">
                  <c:v>42940</c:v>
                </c:pt>
                <c:pt idx="428">
                  <c:v>42941</c:v>
                </c:pt>
                <c:pt idx="429">
                  <c:v>42942</c:v>
                </c:pt>
                <c:pt idx="430">
                  <c:v>42943</c:v>
                </c:pt>
                <c:pt idx="431">
                  <c:v>42944</c:v>
                </c:pt>
                <c:pt idx="432">
                  <c:v>42947</c:v>
                </c:pt>
                <c:pt idx="433">
                  <c:v>42948</c:v>
                </c:pt>
                <c:pt idx="434">
                  <c:v>42949</c:v>
                </c:pt>
                <c:pt idx="435">
                  <c:v>42950</c:v>
                </c:pt>
                <c:pt idx="436">
                  <c:v>42951</c:v>
                </c:pt>
                <c:pt idx="437">
                  <c:v>42954</c:v>
                </c:pt>
                <c:pt idx="438">
                  <c:v>42955</c:v>
                </c:pt>
                <c:pt idx="439">
                  <c:v>42956</c:v>
                </c:pt>
                <c:pt idx="440">
                  <c:v>42957</c:v>
                </c:pt>
                <c:pt idx="441">
                  <c:v>42958</c:v>
                </c:pt>
                <c:pt idx="442">
                  <c:v>42961</c:v>
                </c:pt>
                <c:pt idx="443">
                  <c:v>42962</c:v>
                </c:pt>
                <c:pt idx="444">
                  <c:v>42963</c:v>
                </c:pt>
                <c:pt idx="445">
                  <c:v>42964</c:v>
                </c:pt>
                <c:pt idx="446">
                  <c:v>42965</c:v>
                </c:pt>
                <c:pt idx="447">
                  <c:v>42968</c:v>
                </c:pt>
                <c:pt idx="448">
                  <c:v>42969</c:v>
                </c:pt>
                <c:pt idx="449">
                  <c:v>42970</c:v>
                </c:pt>
                <c:pt idx="450">
                  <c:v>42971</c:v>
                </c:pt>
                <c:pt idx="451">
                  <c:v>42972</c:v>
                </c:pt>
                <c:pt idx="452">
                  <c:v>42975</c:v>
                </c:pt>
                <c:pt idx="453">
                  <c:v>42976</c:v>
                </c:pt>
                <c:pt idx="454">
                  <c:v>42977</c:v>
                </c:pt>
                <c:pt idx="455">
                  <c:v>42978</c:v>
                </c:pt>
                <c:pt idx="456">
                  <c:v>42979</c:v>
                </c:pt>
                <c:pt idx="457">
                  <c:v>42983</c:v>
                </c:pt>
                <c:pt idx="458">
                  <c:v>42984</c:v>
                </c:pt>
                <c:pt idx="459">
                  <c:v>42985</c:v>
                </c:pt>
                <c:pt idx="460">
                  <c:v>42986</c:v>
                </c:pt>
                <c:pt idx="461">
                  <c:v>42989</c:v>
                </c:pt>
                <c:pt idx="462">
                  <c:v>42990</c:v>
                </c:pt>
                <c:pt idx="463">
                  <c:v>42991</c:v>
                </c:pt>
                <c:pt idx="464">
                  <c:v>42992</c:v>
                </c:pt>
                <c:pt idx="465">
                  <c:v>42993</c:v>
                </c:pt>
                <c:pt idx="466">
                  <c:v>42996</c:v>
                </c:pt>
                <c:pt idx="467">
                  <c:v>42997</c:v>
                </c:pt>
                <c:pt idx="468">
                  <c:v>42998</c:v>
                </c:pt>
                <c:pt idx="469">
                  <c:v>42999</c:v>
                </c:pt>
                <c:pt idx="470">
                  <c:v>43000</c:v>
                </c:pt>
                <c:pt idx="471">
                  <c:v>43003</c:v>
                </c:pt>
                <c:pt idx="472">
                  <c:v>43004</c:v>
                </c:pt>
                <c:pt idx="473">
                  <c:v>43005</c:v>
                </c:pt>
                <c:pt idx="474">
                  <c:v>43006</c:v>
                </c:pt>
                <c:pt idx="475">
                  <c:v>43007</c:v>
                </c:pt>
                <c:pt idx="476">
                  <c:v>43010</c:v>
                </c:pt>
                <c:pt idx="477">
                  <c:v>43011</c:v>
                </c:pt>
                <c:pt idx="478">
                  <c:v>43012</c:v>
                </c:pt>
                <c:pt idx="479">
                  <c:v>43013</c:v>
                </c:pt>
                <c:pt idx="480">
                  <c:v>43014</c:v>
                </c:pt>
                <c:pt idx="481">
                  <c:v>43017</c:v>
                </c:pt>
                <c:pt idx="482">
                  <c:v>43018</c:v>
                </c:pt>
                <c:pt idx="483">
                  <c:v>43019</c:v>
                </c:pt>
                <c:pt idx="484">
                  <c:v>43020</c:v>
                </c:pt>
                <c:pt idx="485">
                  <c:v>43021</c:v>
                </c:pt>
                <c:pt idx="486">
                  <c:v>43024</c:v>
                </c:pt>
                <c:pt idx="487">
                  <c:v>43025</c:v>
                </c:pt>
                <c:pt idx="488">
                  <c:v>43026</c:v>
                </c:pt>
                <c:pt idx="489">
                  <c:v>43027</c:v>
                </c:pt>
                <c:pt idx="490">
                  <c:v>43028</c:v>
                </c:pt>
                <c:pt idx="491">
                  <c:v>43031</c:v>
                </c:pt>
                <c:pt idx="492">
                  <c:v>43032</c:v>
                </c:pt>
                <c:pt idx="493">
                  <c:v>43033</c:v>
                </c:pt>
                <c:pt idx="494">
                  <c:v>43034</c:v>
                </c:pt>
                <c:pt idx="495">
                  <c:v>43035</c:v>
                </c:pt>
                <c:pt idx="496">
                  <c:v>43038</c:v>
                </c:pt>
                <c:pt idx="497">
                  <c:v>43039</c:v>
                </c:pt>
                <c:pt idx="498">
                  <c:v>43040</c:v>
                </c:pt>
                <c:pt idx="499">
                  <c:v>43041</c:v>
                </c:pt>
                <c:pt idx="500">
                  <c:v>43042</c:v>
                </c:pt>
                <c:pt idx="501">
                  <c:v>43045</c:v>
                </c:pt>
                <c:pt idx="502">
                  <c:v>43046</c:v>
                </c:pt>
                <c:pt idx="503">
                  <c:v>43047</c:v>
                </c:pt>
                <c:pt idx="504">
                  <c:v>43048</c:v>
                </c:pt>
                <c:pt idx="505">
                  <c:v>43049</c:v>
                </c:pt>
                <c:pt idx="506">
                  <c:v>43052</c:v>
                </c:pt>
                <c:pt idx="507">
                  <c:v>43053</c:v>
                </c:pt>
                <c:pt idx="508">
                  <c:v>43054</c:v>
                </c:pt>
                <c:pt idx="509">
                  <c:v>43055</c:v>
                </c:pt>
                <c:pt idx="510">
                  <c:v>43056</c:v>
                </c:pt>
                <c:pt idx="511">
                  <c:v>43059</c:v>
                </c:pt>
                <c:pt idx="512">
                  <c:v>43060</c:v>
                </c:pt>
                <c:pt idx="513">
                  <c:v>43061</c:v>
                </c:pt>
                <c:pt idx="514">
                  <c:v>43063</c:v>
                </c:pt>
                <c:pt idx="515">
                  <c:v>43066</c:v>
                </c:pt>
                <c:pt idx="516">
                  <c:v>43067</c:v>
                </c:pt>
                <c:pt idx="517">
                  <c:v>43068</c:v>
                </c:pt>
                <c:pt idx="518">
                  <c:v>43069</c:v>
                </c:pt>
                <c:pt idx="519">
                  <c:v>43070</c:v>
                </c:pt>
                <c:pt idx="520">
                  <c:v>43073</c:v>
                </c:pt>
                <c:pt idx="521">
                  <c:v>43074</c:v>
                </c:pt>
                <c:pt idx="522">
                  <c:v>43075</c:v>
                </c:pt>
                <c:pt idx="523">
                  <c:v>43076</c:v>
                </c:pt>
                <c:pt idx="524">
                  <c:v>43077</c:v>
                </c:pt>
                <c:pt idx="525">
                  <c:v>43080</c:v>
                </c:pt>
                <c:pt idx="526">
                  <c:v>43081</c:v>
                </c:pt>
                <c:pt idx="527">
                  <c:v>43082</c:v>
                </c:pt>
                <c:pt idx="528">
                  <c:v>43083</c:v>
                </c:pt>
                <c:pt idx="529">
                  <c:v>43084</c:v>
                </c:pt>
                <c:pt idx="530">
                  <c:v>43087</c:v>
                </c:pt>
                <c:pt idx="531">
                  <c:v>43088</c:v>
                </c:pt>
                <c:pt idx="532">
                  <c:v>43089</c:v>
                </c:pt>
                <c:pt idx="533">
                  <c:v>43090</c:v>
                </c:pt>
                <c:pt idx="534">
                  <c:v>43091</c:v>
                </c:pt>
                <c:pt idx="535">
                  <c:v>43095</c:v>
                </c:pt>
                <c:pt idx="536">
                  <c:v>43096</c:v>
                </c:pt>
                <c:pt idx="537">
                  <c:v>43097</c:v>
                </c:pt>
                <c:pt idx="538">
                  <c:v>43098</c:v>
                </c:pt>
                <c:pt idx="539">
                  <c:v>43102</c:v>
                </c:pt>
                <c:pt idx="540">
                  <c:v>43103</c:v>
                </c:pt>
                <c:pt idx="541">
                  <c:v>43104</c:v>
                </c:pt>
                <c:pt idx="542">
                  <c:v>43105</c:v>
                </c:pt>
                <c:pt idx="543">
                  <c:v>43108</c:v>
                </c:pt>
                <c:pt idx="544">
                  <c:v>43109</c:v>
                </c:pt>
                <c:pt idx="545">
                  <c:v>43110</c:v>
                </c:pt>
                <c:pt idx="546">
                  <c:v>43111</c:v>
                </c:pt>
                <c:pt idx="547">
                  <c:v>43112</c:v>
                </c:pt>
                <c:pt idx="548">
                  <c:v>43116</c:v>
                </c:pt>
                <c:pt idx="549">
                  <c:v>43117</c:v>
                </c:pt>
                <c:pt idx="550">
                  <c:v>43118</c:v>
                </c:pt>
                <c:pt idx="551">
                  <c:v>43119</c:v>
                </c:pt>
                <c:pt idx="552">
                  <c:v>43122</c:v>
                </c:pt>
                <c:pt idx="553">
                  <c:v>43123</c:v>
                </c:pt>
                <c:pt idx="554">
                  <c:v>43124</c:v>
                </c:pt>
                <c:pt idx="555">
                  <c:v>43125</c:v>
                </c:pt>
                <c:pt idx="556">
                  <c:v>43126</c:v>
                </c:pt>
                <c:pt idx="557">
                  <c:v>43129</c:v>
                </c:pt>
                <c:pt idx="558">
                  <c:v>43130</c:v>
                </c:pt>
                <c:pt idx="559">
                  <c:v>43131</c:v>
                </c:pt>
                <c:pt idx="560">
                  <c:v>43132</c:v>
                </c:pt>
                <c:pt idx="561">
                  <c:v>43133</c:v>
                </c:pt>
                <c:pt idx="562">
                  <c:v>43136</c:v>
                </c:pt>
                <c:pt idx="563">
                  <c:v>43137</c:v>
                </c:pt>
                <c:pt idx="564">
                  <c:v>43138</c:v>
                </c:pt>
                <c:pt idx="565">
                  <c:v>43139</c:v>
                </c:pt>
                <c:pt idx="566">
                  <c:v>43140</c:v>
                </c:pt>
                <c:pt idx="567">
                  <c:v>43143</c:v>
                </c:pt>
                <c:pt idx="568">
                  <c:v>43144</c:v>
                </c:pt>
                <c:pt idx="569">
                  <c:v>43145</c:v>
                </c:pt>
                <c:pt idx="570">
                  <c:v>43146</c:v>
                </c:pt>
                <c:pt idx="571">
                  <c:v>43147</c:v>
                </c:pt>
                <c:pt idx="572">
                  <c:v>43151</c:v>
                </c:pt>
                <c:pt idx="573">
                  <c:v>43152</c:v>
                </c:pt>
                <c:pt idx="574">
                  <c:v>43153</c:v>
                </c:pt>
                <c:pt idx="575">
                  <c:v>43154</c:v>
                </c:pt>
                <c:pt idx="576">
                  <c:v>43157</c:v>
                </c:pt>
                <c:pt idx="577">
                  <c:v>43158</c:v>
                </c:pt>
                <c:pt idx="578">
                  <c:v>43159</c:v>
                </c:pt>
                <c:pt idx="579">
                  <c:v>43160</c:v>
                </c:pt>
                <c:pt idx="580">
                  <c:v>43161</c:v>
                </c:pt>
                <c:pt idx="581">
                  <c:v>43164</c:v>
                </c:pt>
                <c:pt idx="582">
                  <c:v>43165</c:v>
                </c:pt>
                <c:pt idx="583">
                  <c:v>43166</c:v>
                </c:pt>
                <c:pt idx="584">
                  <c:v>43167</c:v>
                </c:pt>
                <c:pt idx="585">
                  <c:v>43168</c:v>
                </c:pt>
                <c:pt idx="586">
                  <c:v>43171</c:v>
                </c:pt>
                <c:pt idx="587">
                  <c:v>43172</c:v>
                </c:pt>
                <c:pt idx="588">
                  <c:v>43173</c:v>
                </c:pt>
                <c:pt idx="589">
                  <c:v>43174</c:v>
                </c:pt>
                <c:pt idx="590">
                  <c:v>43175</c:v>
                </c:pt>
                <c:pt idx="591">
                  <c:v>43178</c:v>
                </c:pt>
                <c:pt idx="592">
                  <c:v>43179</c:v>
                </c:pt>
                <c:pt idx="593">
                  <c:v>43180</c:v>
                </c:pt>
                <c:pt idx="594">
                  <c:v>43181</c:v>
                </c:pt>
                <c:pt idx="595">
                  <c:v>43182</c:v>
                </c:pt>
                <c:pt idx="596">
                  <c:v>43185</c:v>
                </c:pt>
                <c:pt idx="597">
                  <c:v>43186</c:v>
                </c:pt>
                <c:pt idx="598">
                  <c:v>43187</c:v>
                </c:pt>
                <c:pt idx="599">
                  <c:v>43188</c:v>
                </c:pt>
                <c:pt idx="600">
                  <c:v>43192</c:v>
                </c:pt>
                <c:pt idx="601">
                  <c:v>43193</c:v>
                </c:pt>
                <c:pt idx="602">
                  <c:v>43194</c:v>
                </c:pt>
                <c:pt idx="603">
                  <c:v>43195</c:v>
                </c:pt>
                <c:pt idx="604">
                  <c:v>43196</c:v>
                </c:pt>
                <c:pt idx="605">
                  <c:v>43199</c:v>
                </c:pt>
                <c:pt idx="606">
                  <c:v>43200</c:v>
                </c:pt>
                <c:pt idx="607">
                  <c:v>43201</c:v>
                </c:pt>
                <c:pt idx="608">
                  <c:v>43202</c:v>
                </c:pt>
                <c:pt idx="609">
                  <c:v>43203</c:v>
                </c:pt>
                <c:pt idx="610">
                  <c:v>43206</c:v>
                </c:pt>
                <c:pt idx="611">
                  <c:v>43207</c:v>
                </c:pt>
                <c:pt idx="612">
                  <c:v>43208</c:v>
                </c:pt>
                <c:pt idx="613">
                  <c:v>43209</c:v>
                </c:pt>
                <c:pt idx="614">
                  <c:v>43210</c:v>
                </c:pt>
                <c:pt idx="615">
                  <c:v>43213</c:v>
                </c:pt>
                <c:pt idx="616">
                  <c:v>43214</c:v>
                </c:pt>
                <c:pt idx="617">
                  <c:v>43215</c:v>
                </c:pt>
                <c:pt idx="618">
                  <c:v>43216</c:v>
                </c:pt>
                <c:pt idx="619">
                  <c:v>43217</c:v>
                </c:pt>
                <c:pt idx="620">
                  <c:v>43220</c:v>
                </c:pt>
                <c:pt idx="621">
                  <c:v>43221</c:v>
                </c:pt>
                <c:pt idx="622">
                  <c:v>43222</c:v>
                </c:pt>
                <c:pt idx="623">
                  <c:v>43223</c:v>
                </c:pt>
                <c:pt idx="624">
                  <c:v>43224</c:v>
                </c:pt>
                <c:pt idx="625">
                  <c:v>43227</c:v>
                </c:pt>
                <c:pt idx="626">
                  <c:v>43228</c:v>
                </c:pt>
                <c:pt idx="627">
                  <c:v>43229</c:v>
                </c:pt>
                <c:pt idx="628">
                  <c:v>43230</c:v>
                </c:pt>
                <c:pt idx="629">
                  <c:v>43231</c:v>
                </c:pt>
                <c:pt idx="630">
                  <c:v>43234</c:v>
                </c:pt>
                <c:pt idx="631">
                  <c:v>43235</c:v>
                </c:pt>
                <c:pt idx="632">
                  <c:v>43236</c:v>
                </c:pt>
                <c:pt idx="633">
                  <c:v>43237</c:v>
                </c:pt>
                <c:pt idx="634">
                  <c:v>43238</c:v>
                </c:pt>
                <c:pt idx="635">
                  <c:v>43241</c:v>
                </c:pt>
                <c:pt idx="636">
                  <c:v>43242</c:v>
                </c:pt>
                <c:pt idx="637">
                  <c:v>43243</c:v>
                </c:pt>
                <c:pt idx="638">
                  <c:v>43244</c:v>
                </c:pt>
                <c:pt idx="639">
                  <c:v>43245</c:v>
                </c:pt>
                <c:pt idx="640">
                  <c:v>43249</c:v>
                </c:pt>
                <c:pt idx="641">
                  <c:v>43250</c:v>
                </c:pt>
                <c:pt idx="642">
                  <c:v>43251</c:v>
                </c:pt>
                <c:pt idx="643">
                  <c:v>43252</c:v>
                </c:pt>
                <c:pt idx="644">
                  <c:v>43255</c:v>
                </c:pt>
                <c:pt idx="645">
                  <c:v>43256</c:v>
                </c:pt>
                <c:pt idx="646">
                  <c:v>43257</c:v>
                </c:pt>
                <c:pt idx="647">
                  <c:v>43258</c:v>
                </c:pt>
                <c:pt idx="648">
                  <c:v>43259</c:v>
                </c:pt>
                <c:pt idx="649">
                  <c:v>43262</c:v>
                </c:pt>
                <c:pt idx="650">
                  <c:v>43263</c:v>
                </c:pt>
                <c:pt idx="651">
                  <c:v>43264</c:v>
                </c:pt>
                <c:pt idx="652">
                  <c:v>43265</c:v>
                </c:pt>
                <c:pt idx="653">
                  <c:v>43266</c:v>
                </c:pt>
                <c:pt idx="654">
                  <c:v>43269</c:v>
                </c:pt>
                <c:pt idx="655">
                  <c:v>43270</c:v>
                </c:pt>
                <c:pt idx="656">
                  <c:v>43271</c:v>
                </c:pt>
                <c:pt idx="657">
                  <c:v>43272</c:v>
                </c:pt>
                <c:pt idx="658">
                  <c:v>43273</c:v>
                </c:pt>
                <c:pt idx="659">
                  <c:v>43276</c:v>
                </c:pt>
                <c:pt idx="660">
                  <c:v>43277</c:v>
                </c:pt>
                <c:pt idx="661">
                  <c:v>43278</c:v>
                </c:pt>
                <c:pt idx="662">
                  <c:v>43279</c:v>
                </c:pt>
                <c:pt idx="663">
                  <c:v>43280</c:v>
                </c:pt>
                <c:pt idx="664">
                  <c:v>43283</c:v>
                </c:pt>
                <c:pt idx="665">
                  <c:v>43284</c:v>
                </c:pt>
                <c:pt idx="666">
                  <c:v>43286</c:v>
                </c:pt>
                <c:pt idx="667">
                  <c:v>43287</c:v>
                </c:pt>
                <c:pt idx="668">
                  <c:v>43290</c:v>
                </c:pt>
                <c:pt idx="669">
                  <c:v>43291</c:v>
                </c:pt>
                <c:pt idx="670">
                  <c:v>43292</c:v>
                </c:pt>
                <c:pt idx="671">
                  <c:v>43293</c:v>
                </c:pt>
                <c:pt idx="672">
                  <c:v>43294</c:v>
                </c:pt>
                <c:pt idx="673">
                  <c:v>43297</c:v>
                </c:pt>
                <c:pt idx="674">
                  <c:v>43298</c:v>
                </c:pt>
                <c:pt idx="675">
                  <c:v>43299</c:v>
                </c:pt>
                <c:pt idx="676">
                  <c:v>43300</c:v>
                </c:pt>
                <c:pt idx="677">
                  <c:v>43301</c:v>
                </c:pt>
                <c:pt idx="678">
                  <c:v>43304</c:v>
                </c:pt>
                <c:pt idx="679">
                  <c:v>43305</c:v>
                </c:pt>
                <c:pt idx="680">
                  <c:v>43306</c:v>
                </c:pt>
                <c:pt idx="681">
                  <c:v>43307</c:v>
                </c:pt>
                <c:pt idx="682">
                  <c:v>43308</c:v>
                </c:pt>
                <c:pt idx="683">
                  <c:v>43311</c:v>
                </c:pt>
                <c:pt idx="684">
                  <c:v>43312</c:v>
                </c:pt>
                <c:pt idx="685">
                  <c:v>43313</c:v>
                </c:pt>
                <c:pt idx="686">
                  <c:v>43314</c:v>
                </c:pt>
                <c:pt idx="687">
                  <c:v>43315</c:v>
                </c:pt>
                <c:pt idx="688">
                  <c:v>43318</c:v>
                </c:pt>
                <c:pt idx="689">
                  <c:v>43319</c:v>
                </c:pt>
                <c:pt idx="690">
                  <c:v>43320</c:v>
                </c:pt>
                <c:pt idx="691">
                  <c:v>43321</c:v>
                </c:pt>
                <c:pt idx="692">
                  <c:v>43322</c:v>
                </c:pt>
                <c:pt idx="693">
                  <c:v>43325</c:v>
                </c:pt>
                <c:pt idx="694">
                  <c:v>43326</c:v>
                </c:pt>
                <c:pt idx="695">
                  <c:v>43327</c:v>
                </c:pt>
                <c:pt idx="696">
                  <c:v>43328</c:v>
                </c:pt>
                <c:pt idx="697">
                  <c:v>43329</c:v>
                </c:pt>
                <c:pt idx="698">
                  <c:v>43332</c:v>
                </c:pt>
                <c:pt idx="699">
                  <c:v>43333</c:v>
                </c:pt>
                <c:pt idx="700">
                  <c:v>43334</c:v>
                </c:pt>
                <c:pt idx="701">
                  <c:v>43335</c:v>
                </c:pt>
                <c:pt idx="702">
                  <c:v>43336</c:v>
                </c:pt>
                <c:pt idx="703">
                  <c:v>43339</c:v>
                </c:pt>
                <c:pt idx="704">
                  <c:v>43340</c:v>
                </c:pt>
                <c:pt idx="705">
                  <c:v>43341</c:v>
                </c:pt>
                <c:pt idx="706">
                  <c:v>43342</c:v>
                </c:pt>
                <c:pt idx="707">
                  <c:v>43343</c:v>
                </c:pt>
                <c:pt idx="708">
                  <c:v>43347</c:v>
                </c:pt>
                <c:pt idx="709">
                  <c:v>43348</c:v>
                </c:pt>
                <c:pt idx="710">
                  <c:v>43349</c:v>
                </c:pt>
                <c:pt idx="711">
                  <c:v>43350</c:v>
                </c:pt>
                <c:pt idx="712">
                  <c:v>43353</c:v>
                </c:pt>
                <c:pt idx="713">
                  <c:v>43354</c:v>
                </c:pt>
                <c:pt idx="714">
                  <c:v>43355</c:v>
                </c:pt>
                <c:pt idx="715">
                  <c:v>43356</c:v>
                </c:pt>
                <c:pt idx="716">
                  <c:v>43357</c:v>
                </c:pt>
                <c:pt idx="717">
                  <c:v>43360</c:v>
                </c:pt>
                <c:pt idx="718">
                  <c:v>43361</c:v>
                </c:pt>
                <c:pt idx="719">
                  <c:v>43362</c:v>
                </c:pt>
                <c:pt idx="720">
                  <c:v>43363</c:v>
                </c:pt>
                <c:pt idx="721">
                  <c:v>43364</c:v>
                </c:pt>
                <c:pt idx="722">
                  <c:v>43367</c:v>
                </c:pt>
                <c:pt idx="723">
                  <c:v>43368</c:v>
                </c:pt>
                <c:pt idx="724">
                  <c:v>43369</c:v>
                </c:pt>
                <c:pt idx="725">
                  <c:v>43370</c:v>
                </c:pt>
                <c:pt idx="726">
                  <c:v>43371</c:v>
                </c:pt>
                <c:pt idx="727">
                  <c:v>43374</c:v>
                </c:pt>
                <c:pt idx="728">
                  <c:v>43375</c:v>
                </c:pt>
                <c:pt idx="729">
                  <c:v>43376</c:v>
                </c:pt>
                <c:pt idx="730">
                  <c:v>43377</c:v>
                </c:pt>
                <c:pt idx="731">
                  <c:v>43378</c:v>
                </c:pt>
                <c:pt idx="732">
                  <c:v>43381</c:v>
                </c:pt>
                <c:pt idx="733">
                  <c:v>43382</c:v>
                </c:pt>
                <c:pt idx="734">
                  <c:v>43383</c:v>
                </c:pt>
                <c:pt idx="735">
                  <c:v>43384</c:v>
                </c:pt>
                <c:pt idx="736">
                  <c:v>43385</c:v>
                </c:pt>
                <c:pt idx="737">
                  <c:v>43388</c:v>
                </c:pt>
              </c:numCache>
            </c:numRef>
          </c:xVal>
          <c:yVal>
            <c:numRef>
              <c:f>'tesla-stock-price (2)'!$H$21:$H$749</c:f>
              <c:numCache>
                <c:formatCode>General</c:formatCode>
                <c:ptCount val="729"/>
                <c:pt idx="25">
                  <c:v>10179.769999999999</c:v>
                </c:pt>
                <c:pt idx="26">
                  <c:v>10131.609999999997</c:v>
                </c:pt>
                <c:pt idx="27">
                  <c:v>10005.619999999999</c:v>
                </c:pt>
                <c:pt idx="28">
                  <c:v>10005.619999999999</c:v>
                </c:pt>
                <c:pt idx="29">
                  <c:v>10005.619999999999</c:v>
                </c:pt>
                <c:pt idx="30">
                  <c:v>10005.619999999999</c:v>
                </c:pt>
                <c:pt idx="31">
                  <c:v>10005.619999999999</c:v>
                </c:pt>
                <c:pt idx="32">
                  <c:v>10005.619999999999</c:v>
                </c:pt>
                <c:pt idx="33">
                  <c:v>10005.619999999999</c:v>
                </c:pt>
                <c:pt idx="34">
                  <c:v>10005.619999999995</c:v>
                </c:pt>
                <c:pt idx="35">
                  <c:v>10086.259999999995</c:v>
                </c:pt>
                <c:pt idx="36">
                  <c:v>9389.059999999994</c:v>
                </c:pt>
                <c:pt idx="37">
                  <c:v>9389.8999999999942</c:v>
                </c:pt>
                <c:pt idx="38">
                  <c:v>9205.519999999995</c:v>
                </c:pt>
                <c:pt idx="39">
                  <c:v>9063.1399999999958</c:v>
                </c:pt>
                <c:pt idx="40">
                  <c:v>9063.1399999999958</c:v>
                </c:pt>
                <c:pt idx="41">
                  <c:v>9063.1399999999958</c:v>
                </c:pt>
                <c:pt idx="42">
                  <c:v>9063.1399999999958</c:v>
                </c:pt>
                <c:pt idx="43">
                  <c:v>9063.1399999999958</c:v>
                </c:pt>
                <c:pt idx="44">
                  <c:v>9063.1399999999958</c:v>
                </c:pt>
                <c:pt idx="45">
                  <c:v>9063.1399999999958</c:v>
                </c:pt>
                <c:pt idx="46">
                  <c:v>9063.1399999999958</c:v>
                </c:pt>
                <c:pt idx="47">
                  <c:v>9063.1399999999958</c:v>
                </c:pt>
                <c:pt idx="48">
                  <c:v>9063.1399999999958</c:v>
                </c:pt>
                <c:pt idx="49">
                  <c:v>9063.139999999994</c:v>
                </c:pt>
                <c:pt idx="50">
                  <c:v>8791.6599999999926</c:v>
                </c:pt>
                <c:pt idx="51">
                  <c:v>8667.5799999999927</c:v>
                </c:pt>
                <c:pt idx="52">
                  <c:v>8667.5799999999927</c:v>
                </c:pt>
                <c:pt idx="53">
                  <c:v>8667.5799999999927</c:v>
                </c:pt>
                <c:pt idx="54">
                  <c:v>8667.5799999999963</c:v>
                </c:pt>
                <c:pt idx="55">
                  <c:v>8925.8799999999956</c:v>
                </c:pt>
                <c:pt idx="56">
                  <c:v>8288.6799999999967</c:v>
                </c:pt>
                <c:pt idx="57">
                  <c:v>7870.1799999999957</c:v>
                </c:pt>
                <c:pt idx="58">
                  <c:v>7870.1799999999957</c:v>
                </c:pt>
                <c:pt idx="59">
                  <c:v>7870.1799999999957</c:v>
                </c:pt>
                <c:pt idx="60">
                  <c:v>7870.1799999999957</c:v>
                </c:pt>
                <c:pt idx="61">
                  <c:v>7870.1799999999957</c:v>
                </c:pt>
                <c:pt idx="62">
                  <c:v>7870.1799999999957</c:v>
                </c:pt>
                <c:pt idx="63">
                  <c:v>7870.1799999999957</c:v>
                </c:pt>
                <c:pt idx="64">
                  <c:v>7870.1799999999976</c:v>
                </c:pt>
                <c:pt idx="65">
                  <c:v>8084.9399999999969</c:v>
                </c:pt>
                <c:pt idx="66">
                  <c:v>8787.4599999999973</c:v>
                </c:pt>
                <c:pt idx="67">
                  <c:v>8688.1399999999976</c:v>
                </c:pt>
                <c:pt idx="68">
                  <c:v>8678.2599999999966</c:v>
                </c:pt>
                <c:pt idx="69">
                  <c:v>8678.2599999999966</c:v>
                </c:pt>
                <c:pt idx="70">
                  <c:v>8678.2599999999966</c:v>
                </c:pt>
                <c:pt idx="71">
                  <c:v>8678.2599999999966</c:v>
                </c:pt>
                <c:pt idx="72">
                  <c:v>8678.2599999999911</c:v>
                </c:pt>
                <c:pt idx="73">
                  <c:v>8812.1199999999899</c:v>
                </c:pt>
                <c:pt idx="74">
                  <c:v>8885.2599999999911</c:v>
                </c:pt>
                <c:pt idx="75">
                  <c:v>8628.5799999999908</c:v>
                </c:pt>
                <c:pt idx="76">
                  <c:v>8720.1199999999899</c:v>
                </c:pt>
                <c:pt idx="77">
                  <c:v>9060.5199999999913</c:v>
                </c:pt>
                <c:pt idx="78">
                  <c:v>9304.3199999999906</c:v>
                </c:pt>
                <c:pt idx="79">
                  <c:v>9499.8199999999906</c:v>
                </c:pt>
                <c:pt idx="80">
                  <c:v>9376.0799999999908</c:v>
                </c:pt>
                <c:pt idx="81">
                  <c:v>9657.5999999999913</c:v>
                </c:pt>
                <c:pt idx="82">
                  <c:v>9494.7599999999911</c:v>
                </c:pt>
                <c:pt idx="83">
                  <c:v>9601.4799999999905</c:v>
                </c:pt>
                <c:pt idx="84">
                  <c:v>9953.3799999999901</c:v>
                </c:pt>
                <c:pt idx="85">
                  <c:v>10100.11999999999</c:v>
                </c:pt>
                <c:pt idx="86">
                  <c:v>10265.259999999991</c:v>
                </c:pt>
                <c:pt idx="87">
                  <c:v>10469.95999999999</c:v>
                </c:pt>
                <c:pt idx="88">
                  <c:v>10762.519999999991</c:v>
                </c:pt>
                <c:pt idx="89">
                  <c:v>11019.19999999999</c:v>
                </c:pt>
                <c:pt idx="90">
                  <c:v>10831.519999999991</c:v>
                </c:pt>
                <c:pt idx="91">
                  <c:v>10295.159999999991</c:v>
                </c:pt>
                <c:pt idx="92">
                  <c:v>10295.159999999991</c:v>
                </c:pt>
                <c:pt idx="93">
                  <c:v>10295.159999999982</c:v>
                </c:pt>
                <c:pt idx="94">
                  <c:v>10289.439999999982</c:v>
                </c:pt>
                <c:pt idx="95">
                  <c:v>10146.879999999983</c:v>
                </c:pt>
                <c:pt idx="96">
                  <c:v>10146.879999999983</c:v>
                </c:pt>
                <c:pt idx="97">
                  <c:v>10146.879999999979</c:v>
                </c:pt>
                <c:pt idx="98">
                  <c:v>10541.679999999978</c:v>
                </c:pt>
                <c:pt idx="99">
                  <c:v>10897.839999999978</c:v>
                </c:pt>
                <c:pt idx="100">
                  <c:v>11315.73999999998</c:v>
                </c:pt>
                <c:pt idx="101">
                  <c:v>10970.499999999978</c:v>
                </c:pt>
                <c:pt idx="102">
                  <c:v>10671.039999999979</c:v>
                </c:pt>
                <c:pt idx="103">
                  <c:v>10671.039999999979</c:v>
                </c:pt>
                <c:pt idx="104">
                  <c:v>10671.039999999979</c:v>
                </c:pt>
                <c:pt idx="105">
                  <c:v>10671.039999999979</c:v>
                </c:pt>
                <c:pt idx="106">
                  <c:v>10671.039999999979</c:v>
                </c:pt>
                <c:pt idx="107">
                  <c:v>10671.039999999979</c:v>
                </c:pt>
                <c:pt idx="108">
                  <c:v>10671.039999999979</c:v>
                </c:pt>
                <c:pt idx="109">
                  <c:v>10671.039999999979</c:v>
                </c:pt>
                <c:pt idx="110">
                  <c:v>10671.039999999979</c:v>
                </c:pt>
                <c:pt idx="111">
                  <c:v>10671.039999999979</c:v>
                </c:pt>
                <c:pt idx="112">
                  <c:v>10671.039999999979</c:v>
                </c:pt>
                <c:pt idx="113">
                  <c:v>10671.039999999979</c:v>
                </c:pt>
                <c:pt idx="114">
                  <c:v>10671.039999999979</c:v>
                </c:pt>
                <c:pt idx="115">
                  <c:v>10671.039999999979</c:v>
                </c:pt>
                <c:pt idx="116">
                  <c:v>10671.039999999979</c:v>
                </c:pt>
                <c:pt idx="117">
                  <c:v>10671.039999999979</c:v>
                </c:pt>
                <c:pt idx="118">
                  <c:v>10671.039999999979</c:v>
                </c:pt>
                <c:pt idx="119">
                  <c:v>10671.039999999979</c:v>
                </c:pt>
                <c:pt idx="120">
                  <c:v>10671.039999999979</c:v>
                </c:pt>
                <c:pt idx="121">
                  <c:v>10671.039999999979</c:v>
                </c:pt>
                <c:pt idx="122">
                  <c:v>10671.039999999979</c:v>
                </c:pt>
                <c:pt idx="123">
                  <c:v>10671.039999999979</c:v>
                </c:pt>
                <c:pt idx="124">
                  <c:v>10671.039999999979</c:v>
                </c:pt>
                <c:pt idx="125">
                  <c:v>10671.039999999979</c:v>
                </c:pt>
                <c:pt idx="126">
                  <c:v>10671.039999999979</c:v>
                </c:pt>
                <c:pt idx="127">
                  <c:v>10671.039999999979</c:v>
                </c:pt>
                <c:pt idx="128">
                  <c:v>10671.03999999997</c:v>
                </c:pt>
                <c:pt idx="129">
                  <c:v>10485.909999999971</c:v>
                </c:pt>
                <c:pt idx="130">
                  <c:v>10817.919999999971</c:v>
                </c:pt>
                <c:pt idx="131">
                  <c:v>11023.959999999972</c:v>
                </c:pt>
                <c:pt idx="132">
                  <c:v>11282.529999999972</c:v>
                </c:pt>
                <c:pt idx="133">
                  <c:v>11075.46999999997</c:v>
                </c:pt>
                <c:pt idx="134">
                  <c:v>11161.659999999971</c:v>
                </c:pt>
                <c:pt idx="135">
                  <c:v>11246.829999999971</c:v>
                </c:pt>
                <c:pt idx="136">
                  <c:v>11529.369999999972</c:v>
                </c:pt>
                <c:pt idx="137">
                  <c:v>11423.28999999997</c:v>
                </c:pt>
                <c:pt idx="138">
                  <c:v>11432.97999999997</c:v>
                </c:pt>
                <c:pt idx="139">
                  <c:v>11245.80999999997</c:v>
                </c:pt>
                <c:pt idx="140">
                  <c:v>11215.209999999972</c:v>
                </c:pt>
                <c:pt idx="141">
                  <c:v>11215.209999999972</c:v>
                </c:pt>
                <c:pt idx="142">
                  <c:v>11215.209999999963</c:v>
                </c:pt>
                <c:pt idx="143">
                  <c:v>11798.209999999963</c:v>
                </c:pt>
                <c:pt idx="144">
                  <c:v>11957.209999999963</c:v>
                </c:pt>
                <c:pt idx="145">
                  <c:v>11649.209999999963</c:v>
                </c:pt>
                <c:pt idx="146">
                  <c:v>11120.709999999963</c:v>
                </c:pt>
                <c:pt idx="147">
                  <c:v>11120.709999999963</c:v>
                </c:pt>
                <c:pt idx="148">
                  <c:v>11120.709999999963</c:v>
                </c:pt>
                <c:pt idx="149">
                  <c:v>11120.709999999963</c:v>
                </c:pt>
                <c:pt idx="150">
                  <c:v>11120.709999999955</c:v>
                </c:pt>
                <c:pt idx="151">
                  <c:v>10995.249999999955</c:v>
                </c:pt>
                <c:pt idx="152">
                  <c:v>11210.979999999954</c:v>
                </c:pt>
                <c:pt idx="153">
                  <c:v>11206.389999999956</c:v>
                </c:pt>
                <c:pt idx="154">
                  <c:v>10035.939999999955</c:v>
                </c:pt>
                <c:pt idx="155">
                  <c:v>10035.939999999955</c:v>
                </c:pt>
                <c:pt idx="156">
                  <c:v>10035.939999999955</c:v>
                </c:pt>
                <c:pt idx="157">
                  <c:v>10035.939999999955</c:v>
                </c:pt>
                <c:pt idx="158">
                  <c:v>10035.939999999948</c:v>
                </c:pt>
                <c:pt idx="159">
                  <c:v>10447.539999999948</c:v>
                </c:pt>
                <c:pt idx="160">
                  <c:v>10549.949999999948</c:v>
                </c:pt>
                <c:pt idx="161">
                  <c:v>10756.729999999949</c:v>
                </c:pt>
                <c:pt idx="162">
                  <c:v>10633.249999999947</c:v>
                </c:pt>
                <c:pt idx="163">
                  <c:v>10655.789999999948</c:v>
                </c:pt>
                <c:pt idx="164">
                  <c:v>10729.289999999948</c:v>
                </c:pt>
                <c:pt idx="165">
                  <c:v>10770.449999999948</c:v>
                </c:pt>
                <c:pt idx="166">
                  <c:v>11162.449999999948</c:v>
                </c:pt>
                <c:pt idx="167">
                  <c:v>11156.079999999949</c:v>
                </c:pt>
                <c:pt idx="168">
                  <c:v>11052.199999999948</c:v>
                </c:pt>
                <c:pt idx="169">
                  <c:v>11052.199999999948</c:v>
                </c:pt>
                <c:pt idx="170">
                  <c:v>11052.199999999948</c:v>
                </c:pt>
                <c:pt idx="171">
                  <c:v>11052.199999999948</c:v>
                </c:pt>
                <c:pt idx="172">
                  <c:v>11052.199999999948</c:v>
                </c:pt>
                <c:pt idx="173">
                  <c:v>11052.199999999948</c:v>
                </c:pt>
                <c:pt idx="174">
                  <c:v>11052.199999999948</c:v>
                </c:pt>
                <c:pt idx="175">
                  <c:v>11052.199999999948</c:v>
                </c:pt>
                <c:pt idx="176">
                  <c:v>11052.199999999939</c:v>
                </c:pt>
                <c:pt idx="177">
                  <c:v>11028.199999999939</c:v>
                </c:pt>
                <c:pt idx="178">
                  <c:v>10979.23999999994</c:v>
                </c:pt>
                <c:pt idx="179">
                  <c:v>10979.23999999994</c:v>
                </c:pt>
                <c:pt idx="180">
                  <c:v>10979.239999999931</c:v>
                </c:pt>
                <c:pt idx="181">
                  <c:v>10759.35999999993</c:v>
                </c:pt>
                <c:pt idx="182">
                  <c:v>10630.099999999929</c:v>
                </c:pt>
                <c:pt idx="183">
                  <c:v>10630.099999999929</c:v>
                </c:pt>
                <c:pt idx="184">
                  <c:v>10630.099999999929</c:v>
                </c:pt>
                <c:pt idx="185">
                  <c:v>10630.099999999929</c:v>
                </c:pt>
                <c:pt idx="186">
                  <c:v>10630.099999999929</c:v>
                </c:pt>
                <c:pt idx="187">
                  <c:v>10630.099999999929</c:v>
                </c:pt>
                <c:pt idx="188">
                  <c:v>10630.099999999929</c:v>
                </c:pt>
                <c:pt idx="189">
                  <c:v>10630.099999999929</c:v>
                </c:pt>
                <c:pt idx="190">
                  <c:v>10630.099999999929</c:v>
                </c:pt>
                <c:pt idx="191">
                  <c:v>10630.099999999929</c:v>
                </c:pt>
                <c:pt idx="192">
                  <c:v>10630.099999999929</c:v>
                </c:pt>
                <c:pt idx="193">
                  <c:v>10630.099999999929</c:v>
                </c:pt>
                <c:pt idx="194">
                  <c:v>10630.099999999929</c:v>
                </c:pt>
                <c:pt idx="195">
                  <c:v>10630.099999999929</c:v>
                </c:pt>
                <c:pt idx="196">
                  <c:v>10532.80999999993</c:v>
                </c:pt>
                <c:pt idx="197">
                  <c:v>10622.579999999929</c:v>
                </c:pt>
                <c:pt idx="198">
                  <c:v>10518.239999999929</c:v>
                </c:pt>
                <c:pt idx="199">
                  <c:v>10440.21999999993</c:v>
                </c:pt>
                <c:pt idx="200">
                  <c:v>10440.21999999993</c:v>
                </c:pt>
                <c:pt idx="201">
                  <c:v>10440.21999999993</c:v>
                </c:pt>
                <c:pt idx="202">
                  <c:v>10440.21999999993</c:v>
                </c:pt>
                <c:pt idx="203">
                  <c:v>10440.21999999993</c:v>
                </c:pt>
                <c:pt idx="204">
                  <c:v>10440.21999999993</c:v>
                </c:pt>
                <c:pt idx="205">
                  <c:v>10440.21999999993</c:v>
                </c:pt>
                <c:pt idx="206">
                  <c:v>10440.21999999993</c:v>
                </c:pt>
                <c:pt idx="207">
                  <c:v>10440.21999999993</c:v>
                </c:pt>
                <c:pt idx="208">
                  <c:v>10440.21999999993</c:v>
                </c:pt>
                <c:pt idx="209">
                  <c:v>10440.21999999993</c:v>
                </c:pt>
                <c:pt idx="210">
                  <c:v>10440.21999999993</c:v>
                </c:pt>
                <c:pt idx="211">
                  <c:v>10440.21999999993</c:v>
                </c:pt>
                <c:pt idx="212">
                  <c:v>10440.21999999993</c:v>
                </c:pt>
                <c:pt idx="213">
                  <c:v>10440.219999999927</c:v>
                </c:pt>
                <c:pt idx="214">
                  <c:v>10699.179999999928</c:v>
                </c:pt>
                <c:pt idx="215">
                  <c:v>10748.059999999927</c:v>
                </c:pt>
                <c:pt idx="216">
                  <c:v>10659.659999999925</c:v>
                </c:pt>
                <c:pt idx="217">
                  <c:v>10689.819999999927</c:v>
                </c:pt>
                <c:pt idx="218">
                  <c:v>10752.739999999927</c:v>
                </c:pt>
                <c:pt idx="219">
                  <c:v>10805.779999999926</c:v>
                </c:pt>
                <c:pt idx="220">
                  <c:v>10885.859999999926</c:v>
                </c:pt>
                <c:pt idx="221">
                  <c:v>10720.499999999927</c:v>
                </c:pt>
                <c:pt idx="222">
                  <c:v>10744.419999999927</c:v>
                </c:pt>
                <c:pt idx="223">
                  <c:v>10454.779999999926</c:v>
                </c:pt>
                <c:pt idx="224">
                  <c:v>10627.939999999926</c:v>
                </c:pt>
                <c:pt idx="225">
                  <c:v>11130.779999999926</c:v>
                </c:pt>
                <c:pt idx="226">
                  <c:v>11011.699999999926</c:v>
                </c:pt>
                <c:pt idx="227">
                  <c:v>10858.299999999927</c:v>
                </c:pt>
                <c:pt idx="228">
                  <c:v>10858.299999999927</c:v>
                </c:pt>
                <c:pt idx="229">
                  <c:v>10858.299999999927</c:v>
                </c:pt>
                <c:pt idx="230">
                  <c:v>10858.299999999927</c:v>
                </c:pt>
                <c:pt idx="231">
                  <c:v>10858.299999999927</c:v>
                </c:pt>
                <c:pt idx="232">
                  <c:v>10858.299999999927</c:v>
                </c:pt>
                <c:pt idx="233">
                  <c:v>10858.299999999927</c:v>
                </c:pt>
                <c:pt idx="234">
                  <c:v>10858.299999999927</c:v>
                </c:pt>
                <c:pt idx="235">
                  <c:v>10858.299999999927</c:v>
                </c:pt>
                <c:pt idx="236">
                  <c:v>10858.299999999927</c:v>
                </c:pt>
                <c:pt idx="237">
                  <c:v>10858.299999999927</c:v>
                </c:pt>
                <c:pt idx="238">
                  <c:v>10621.919999999925</c:v>
                </c:pt>
                <c:pt idx="239">
                  <c:v>10674.389999999927</c:v>
                </c:pt>
                <c:pt idx="240">
                  <c:v>10815.899999999925</c:v>
                </c:pt>
                <c:pt idx="241">
                  <c:v>10793.639999999927</c:v>
                </c:pt>
                <c:pt idx="242">
                  <c:v>10788.339999999927</c:v>
                </c:pt>
                <c:pt idx="243">
                  <c:v>10788.339999999927</c:v>
                </c:pt>
                <c:pt idx="244">
                  <c:v>10788.339999999927</c:v>
                </c:pt>
                <c:pt idx="245">
                  <c:v>10788.339999999927</c:v>
                </c:pt>
                <c:pt idx="246">
                  <c:v>10788.339999999927</c:v>
                </c:pt>
                <c:pt idx="247">
                  <c:v>10788.339999999927</c:v>
                </c:pt>
                <c:pt idx="248">
                  <c:v>10788.339999999927</c:v>
                </c:pt>
                <c:pt idx="249">
                  <c:v>10788.339999999927</c:v>
                </c:pt>
                <c:pt idx="250">
                  <c:v>10788.339999999938</c:v>
                </c:pt>
                <c:pt idx="251">
                  <c:v>10883.489999999938</c:v>
                </c:pt>
                <c:pt idx="252">
                  <c:v>10615.089999999936</c:v>
                </c:pt>
                <c:pt idx="253">
                  <c:v>10356.039999999937</c:v>
                </c:pt>
                <c:pt idx="254">
                  <c:v>10356.039999999937</c:v>
                </c:pt>
                <c:pt idx="255">
                  <c:v>10356.039999999937</c:v>
                </c:pt>
                <c:pt idx="256">
                  <c:v>10356.039999999937</c:v>
                </c:pt>
                <c:pt idx="257">
                  <c:v>10356.039999999928</c:v>
                </c:pt>
                <c:pt idx="258">
                  <c:v>10620.919999999927</c:v>
                </c:pt>
                <c:pt idx="259">
                  <c:v>10417.079999999929</c:v>
                </c:pt>
                <c:pt idx="260">
                  <c:v>10389.079999999929</c:v>
                </c:pt>
                <c:pt idx="261">
                  <c:v>10389.079999999929</c:v>
                </c:pt>
                <c:pt idx="262">
                  <c:v>10389.079999999931</c:v>
                </c:pt>
                <c:pt idx="263">
                  <c:v>10575.109999999931</c:v>
                </c:pt>
                <c:pt idx="264">
                  <c:v>10547.019999999931</c:v>
                </c:pt>
                <c:pt idx="265">
                  <c:v>10199.86999999993</c:v>
                </c:pt>
                <c:pt idx="266">
                  <c:v>10199.86999999993</c:v>
                </c:pt>
                <c:pt idx="267">
                  <c:v>10199.86999999993</c:v>
                </c:pt>
                <c:pt idx="268">
                  <c:v>10199.86999999993</c:v>
                </c:pt>
                <c:pt idx="269">
                  <c:v>10199.86999999993</c:v>
                </c:pt>
                <c:pt idx="270">
                  <c:v>10199.86999999993</c:v>
                </c:pt>
                <c:pt idx="271">
                  <c:v>10199.86999999993</c:v>
                </c:pt>
                <c:pt idx="272">
                  <c:v>10199.86999999993</c:v>
                </c:pt>
                <c:pt idx="273">
                  <c:v>10199.86999999993</c:v>
                </c:pt>
                <c:pt idx="274">
                  <c:v>10199.86999999993</c:v>
                </c:pt>
                <c:pt idx="275">
                  <c:v>10199.869999999939</c:v>
                </c:pt>
                <c:pt idx="276">
                  <c:v>10227.40999999994</c:v>
                </c:pt>
                <c:pt idx="277">
                  <c:v>10170.799999999939</c:v>
                </c:pt>
                <c:pt idx="278">
                  <c:v>10421.209999999939</c:v>
                </c:pt>
                <c:pt idx="279">
                  <c:v>10433.449999999939</c:v>
                </c:pt>
                <c:pt idx="280">
                  <c:v>10742.509999999938</c:v>
                </c:pt>
                <c:pt idx="281">
                  <c:v>10686.919999999938</c:v>
                </c:pt>
                <c:pt idx="282">
                  <c:v>10725.169999999938</c:v>
                </c:pt>
                <c:pt idx="283">
                  <c:v>10974.559999999939</c:v>
                </c:pt>
                <c:pt idx="284">
                  <c:v>11290.24999999994</c:v>
                </c:pt>
                <c:pt idx="285">
                  <c:v>11300.959999999939</c:v>
                </c:pt>
                <c:pt idx="286">
                  <c:v>11042.89999999994</c:v>
                </c:pt>
                <c:pt idx="287">
                  <c:v>10992.40999999994</c:v>
                </c:pt>
                <c:pt idx="288">
                  <c:v>10992.40999999994</c:v>
                </c:pt>
                <c:pt idx="289">
                  <c:v>10992.409999999949</c:v>
                </c:pt>
                <c:pt idx="290">
                  <c:v>10980.889999999948</c:v>
                </c:pt>
                <c:pt idx="291">
                  <c:v>11089.369999999948</c:v>
                </c:pt>
                <c:pt idx="292">
                  <c:v>11198.329999999949</c:v>
                </c:pt>
                <c:pt idx="293">
                  <c:v>11130.649999999949</c:v>
                </c:pt>
                <c:pt idx="294">
                  <c:v>11123.929999999948</c:v>
                </c:pt>
                <c:pt idx="295">
                  <c:v>11123.929999999948</c:v>
                </c:pt>
                <c:pt idx="296">
                  <c:v>11123.929999999948</c:v>
                </c:pt>
                <c:pt idx="297">
                  <c:v>11123.929999999948</c:v>
                </c:pt>
                <c:pt idx="298">
                  <c:v>11123.929999999948</c:v>
                </c:pt>
                <c:pt idx="299">
                  <c:v>11123.929999999938</c:v>
                </c:pt>
                <c:pt idx="300">
                  <c:v>11167.57999999994</c:v>
                </c:pt>
                <c:pt idx="301">
                  <c:v>11356.129999999939</c:v>
                </c:pt>
                <c:pt idx="302">
                  <c:v>11612.17999999994</c:v>
                </c:pt>
                <c:pt idx="303">
                  <c:v>11605.879999999939</c:v>
                </c:pt>
                <c:pt idx="304">
                  <c:v>11517.679999999938</c:v>
                </c:pt>
                <c:pt idx="305">
                  <c:v>11517.679999999938</c:v>
                </c:pt>
                <c:pt idx="306">
                  <c:v>11517.679999999938</c:v>
                </c:pt>
                <c:pt idx="307">
                  <c:v>11517.679999999938</c:v>
                </c:pt>
                <c:pt idx="308">
                  <c:v>11517.679999999938</c:v>
                </c:pt>
                <c:pt idx="309">
                  <c:v>11517.679999999938</c:v>
                </c:pt>
                <c:pt idx="310">
                  <c:v>11517.679999999938</c:v>
                </c:pt>
                <c:pt idx="311">
                  <c:v>11517.679999999938</c:v>
                </c:pt>
                <c:pt idx="312">
                  <c:v>11517.679999999938</c:v>
                </c:pt>
                <c:pt idx="313">
                  <c:v>11517.679999999938</c:v>
                </c:pt>
                <c:pt idx="314">
                  <c:v>11517.679999999933</c:v>
                </c:pt>
                <c:pt idx="315">
                  <c:v>11518.939999999933</c:v>
                </c:pt>
                <c:pt idx="316">
                  <c:v>11996.479999999934</c:v>
                </c:pt>
                <c:pt idx="317">
                  <c:v>12012.439999999933</c:v>
                </c:pt>
                <c:pt idx="318">
                  <c:v>11961.199999999933</c:v>
                </c:pt>
                <c:pt idx="319">
                  <c:v>11507.179999999933</c:v>
                </c:pt>
                <c:pt idx="320">
                  <c:v>11507.179999999933</c:v>
                </c:pt>
                <c:pt idx="321">
                  <c:v>11507.179999999935</c:v>
                </c:pt>
                <c:pt idx="322">
                  <c:v>11348.099999999937</c:v>
                </c:pt>
                <c:pt idx="323">
                  <c:v>10629.779999999937</c:v>
                </c:pt>
                <c:pt idx="324">
                  <c:v>10629.779999999937</c:v>
                </c:pt>
                <c:pt idx="325">
                  <c:v>10629.779999999937</c:v>
                </c:pt>
                <c:pt idx="326">
                  <c:v>10629.779999999937</c:v>
                </c:pt>
                <c:pt idx="327">
                  <c:v>10629.779999999926</c:v>
                </c:pt>
                <c:pt idx="328">
                  <c:v>10649.099999999926</c:v>
                </c:pt>
                <c:pt idx="329">
                  <c:v>10694.879999999926</c:v>
                </c:pt>
                <c:pt idx="330">
                  <c:v>10679.759999999926</c:v>
                </c:pt>
                <c:pt idx="331">
                  <c:v>10569.719999999927</c:v>
                </c:pt>
                <c:pt idx="332">
                  <c:v>10569.719999999927</c:v>
                </c:pt>
                <c:pt idx="333">
                  <c:v>10569.719999999927</c:v>
                </c:pt>
                <c:pt idx="334">
                  <c:v>10569.719999999927</c:v>
                </c:pt>
                <c:pt idx="335">
                  <c:v>10569.719999999927</c:v>
                </c:pt>
                <c:pt idx="336">
                  <c:v>10569.719999999927</c:v>
                </c:pt>
                <c:pt idx="337">
                  <c:v>10478.919999999925</c:v>
                </c:pt>
                <c:pt idx="338">
                  <c:v>10731.719999999927</c:v>
                </c:pt>
                <c:pt idx="339">
                  <c:v>10709.719999999927</c:v>
                </c:pt>
                <c:pt idx="340">
                  <c:v>10726.519999999928</c:v>
                </c:pt>
                <c:pt idx="341">
                  <c:v>10276.919999999927</c:v>
                </c:pt>
                <c:pt idx="342">
                  <c:v>10450.119999999926</c:v>
                </c:pt>
                <c:pt idx="343">
                  <c:v>10440.919999999927</c:v>
                </c:pt>
                <c:pt idx="344">
                  <c:v>10776.119999999928</c:v>
                </c:pt>
                <c:pt idx="345">
                  <c:v>11058.519999999928</c:v>
                </c:pt>
                <c:pt idx="346">
                  <c:v>11347.719999999927</c:v>
                </c:pt>
                <c:pt idx="347">
                  <c:v>11344.919999999927</c:v>
                </c:pt>
                <c:pt idx="348">
                  <c:v>11366.519999999928</c:v>
                </c:pt>
                <c:pt idx="349">
                  <c:v>11381.719999999927</c:v>
                </c:pt>
                <c:pt idx="350">
                  <c:v>12190.519999999926</c:v>
                </c:pt>
                <c:pt idx="351">
                  <c:v>12397.719999999927</c:v>
                </c:pt>
                <c:pt idx="352">
                  <c:v>12049.719999999927</c:v>
                </c:pt>
                <c:pt idx="353">
                  <c:v>12197.719999999927</c:v>
                </c:pt>
                <c:pt idx="354">
                  <c:v>12351.319999999927</c:v>
                </c:pt>
                <c:pt idx="355">
                  <c:v>12745.319999999925</c:v>
                </c:pt>
                <c:pt idx="356">
                  <c:v>12598.119999999926</c:v>
                </c:pt>
                <c:pt idx="357">
                  <c:v>12123.319999999925</c:v>
                </c:pt>
                <c:pt idx="358">
                  <c:v>12123.319999999925</c:v>
                </c:pt>
                <c:pt idx="359">
                  <c:v>12123.319999999925</c:v>
                </c:pt>
                <c:pt idx="360">
                  <c:v>12123.319999999925</c:v>
                </c:pt>
                <c:pt idx="361">
                  <c:v>12123.319999999925</c:v>
                </c:pt>
                <c:pt idx="362">
                  <c:v>12123.319999999925</c:v>
                </c:pt>
                <c:pt idx="363">
                  <c:v>12123.319999999925</c:v>
                </c:pt>
                <c:pt idx="364">
                  <c:v>12123.319999999921</c:v>
                </c:pt>
                <c:pt idx="365">
                  <c:v>12347.959999999925</c:v>
                </c:pt>
                <c:pt idx="366">
                  <c:v>12206.779999999924</c:v>
                </c:pt>
                <c:pt idx="367">
                  <c:v>12146.719999999923</c:v>
                </c:pt>
                <c:pt idx="368">
                  <c:v>12146.719999999923</c:v>
                </c:pt>
                <c:pt idx="369">
                  <c:v>12146.719999999925</c:v>
                </c:pt>
                <c:pt idx="370">
                  <c:v>12000.939999999926</c:v>
                </c:pt>
                <c:pt idx="371">
                  <c:v>11709.749999999925</c:v>
                </c:pt>
                <c:pt idx="372">
                  <c:v>11709.749999999925</c:v>
                </c:pt>
                <c:pt idx="373">
                  <c:v>11709.749999999925</c:v>
                </c:pt>
                <c:pt idx="374">
                  <c:v>11709.749999999925</c:v>
                </c:pt>
                <c:pt idx="375">
                  <c:v>11709.749999999925</c:v>
                </c:pt>
                <c:pt idx="376">
                  <c:v>11709.749999999929</c:v>
                </c:pt>
                <c:pt idx="377">
                  <c:v>11633.429999999928</c:v>
                </c:pt>
                <c:pt idx="378">
                  <c:v>11694.989999999927</c:v>
                </c:pt>
                <c:pt idx="379">
                  <c:v>11373.509999999927</c:v>
                </c:pt>
                <c:pt idx="380">
                  <c:v>11414.189999999928</c:v>
                </c:pt>
                <c:pt idx="381">
                  <c:v>11021.789999999928</c:v>
                </c:pt>
                <c:pt idx="382">
                  <c:v>11271.989999999927</c:v>
                </c:pt>
                <c:pt idx="383">
                  <c:v>11191.709999999926</c:v>
                </c:pt>
                <c:pt idx="384">
                  <c:v>11174.429999999928</c:v>
                </c:pt>
                <c:pt idx="385">
                  <c:v>11174.429999999928</c:v>
                </c:pt>
                <c:pt idx="386">
                  <c:v>11174.429999999928</c:v>
                </c:pt>
                <c:pt idx="387">
                  <c:v>11174.429999999929</c:v>
                </c:pt>
                <c:pt idx="388">
                  <c:v>11465.27999999993</c:v>
                </c:pt>
                <c:pt idx="389">
                  <c:v>11813.87999999993</c:v>
                </c:pt>
                <c:pt idx="390">
                  <c:v>12020.72999999993</c:v>
                </c:pt>
                <c:pt idx="391">
                  <c:v>11998.329999999931</c:v>
                </c:pt>
                <c:pt idx="392">
                  <c:v>11980.12999999993</c:v>
                </c:pt>
                <c:pt idx="393">
                  <c:v>11980.12999999993</c:v>
                </c:pt>
                <c:pt idx="394">
                  <c:v>11980.129999999925</c:v>
                </c:pt>
                <c:pt idx="395">
                  <c:v>12204.529999999922</c:v>
                </c:pt>
                <c:pt idx="396">
                  <c:v>12546.079999999924</c:v>
                </c:pt>
                <c:pt idx="397">
                  <c:v>12127.639999999923</c:v>
                </c:pt>
                <c:pt idx="398">
                  <c:v>12183.409999999923</c:v>
                </c:pt>
                <c:pt idx="399">
                  <c:v>12742.429999999924</c:v>
                </c:pt>
                <c:pt idx="400">
                  <c:v>12897.859999999924</c:v>
                </c:pt>
                <c:pt idx="401">
                  <c:v>12722.299999999923</c:v>
                </c:pt>
                <c:pt idx="402">
                  <c:v>12592.279999999922</c:v>
                </c:pt>
                <c:pt idx="403">
                  <c:v>12592.279999999922</c:v>
                </c:pt>
                <c:pt idx="404">
                  <c:v>12592.279999999922</c:v>
                </c:pt>
                <c:pt idx="405">
                  <c:v>12592.279999999928</c:v>
                </c:pt>
                <c:pt idx="406">
                  <c:v>12797.20999999993</c:v>
                </c:pt>
                <c:pt idx="407">
                  <c:v>12824.929999999929</c:v>
                </c:pt>
                <c:pt idx="408">
                  <c:v>12628.249999999929</c:v>
                </c:pt>
                <c:pt idx="409">
                  <c:v>12129.28999999993</c:v>
                </c:pt>
                <c:pt idx="410">
                  <c:v>12129.28999999993</c:v>
                </c:pt>
                <c:pt idx="411">
                  <c:v>12129.28999999993</c:v>
                </c:pt>
                <c:pt idx="412">
                  <c:v>12129.28999999993</c:v>
                </c:pt>
                <c:pt idx="413">
                  <c:v>12129.28999999993</c:v>
                </c:pt>
                <c:pt idx="414">
                  <c:v>12129.28999999993</c:v>
                </c:pt>
                <c:pt idx="415">
                  <c:v>12129.28999999993</c:v>
                </c:pt>
                <c:pt idx="416">
                  <c:v>12129.28999999993</c:v>
                </c:pt>
                <c:pt idx="417">
                  <c:v>12129.289999999935</c:v>
                </c:pt>
                <c:pt idx="418">
                  <c:v>12553.749999999936</c:v>
                </c:pt>
                <c:pt idx="419">
                  <c:v>12641.149999999934</c:v>
                </c:pt>
                <c:pt idx="420">
                  <c:v>12408.969999999937</c:v>
                </c:pt>
                <c:pt idx="421">
                  <c:v>12575.029999999935</c:v>
                </c:pt>
                <c:pt idx="422">
                  <c:v>12263.049999999936</c:v>
                </c:pt>
                <c:pt idx="423">
                  <c:v>12592.509999999937</c:v>
                </c:pt>
                <c:pt idx="424">
                  <c:v>12479.269999999935</c:v>
                </c:pt>
                <c:pt idx="425">
                  <c:v>12656.349999999937</c:v>
                </c:pt>
                <c:pt idx="426">
                  <c:v>12598.589999999935</c:v>
                </c:pt>
                <c:pt idx="427">
                  <c:v>13135.149999999934</c:v>
                </c:pt>
                <c:pt idx="428">
                  <c:v>13024.189999999937</c:v>
                </c:pt>
                <c:pt idx="429">
                  <c:v>13185.689999999937</c:v>
                </c:pt>
                <c:pt idx="430">
                  <c:v>12828.869999999935</c:v>
                </c:pt>
                <c:pt idx="431">
                  <c:v>12852.049999999936</c:v>
                </c:pt>
                <c:pt idx="432">
                  <c:v>12411.249999999936</c:v>
                </c:pt>
                <c:pt idx="433">
                  <c:v>12263.049999999936</c:v>
                </c:pt>
                <c:pt idx="434">
                  <c:v>12263.049999999936</c:v>
                </c:pt>
                <c:pt idx="435">
                  <c:v>12263.049999999932</c:v>
                </c:pt>
                <c:pt idx="436">
                  <c:v>12606.749999999933</c:v>
                </c:pt>
                <c:pt idx="437">
                  <c:v>12545.849999999933</c:v>
                </c:pt>
                <c:pt idx="438">
                  <c:v>12897.599999999933</c:v>
                </c:pt>
                <c:pt idx="439">
                  <c:v>12838.449999999932</c:v>
                </c:pt>
                <c:pt idx="440">
                  <c:v>12553.899999999932</c:v>
                </c:pt>
                <c:pt idx="441">
                  <c:v>12553.899999999932</c:v>
                </c:pt>
                <c:pt idx="442">
                  <c:v>12553.899999999938</c:v>
                </c:pt>
                <c:pt idx="443">
                  <c:v>12503.919999999936</c:v>
                </c:pt>
                <c:pt idx="444">
                  <c:v>12523.639999999938</c:v>
                </c:pt>
                <c:pt idx="445">
                  <c:v>12149.979999999938</c:v>
                </c:pt>
                <c:pt idx="446">
                  <c:v>11998.339999999936</c:v>
                </c:pt>
                <c:pt idx="447">
                  <c:v>11998.339999999936</c:v>
                </c:pt>
                <c:pt idx="448">
                  <c:v>11998.339999999936</c:v>
                </c:pt>
                <c:pt idx="449">
                  <c:v>11998.339999999927</c:v>
                </c:pt>
                <c:pt idx="450">
                  <c:v>12003.779999999928</c:v>
                </c:pt>
                <c:pt idx="451">
                  <c:v>11837.859999999928</c:v>
                </c:pt>
                <c:pt idx="452">
                  <c:v>11756.599999999928</c:v>
                </c:pt>
                <c:pt idx="453">
                  <c:v>11756.599999999928</c:v>
                </c:pt>
                <c:pt idx="454">
                  <c:v>11756.599999999922</c:v>
                </c:pt>
                <c:pt idx="455">
                  <c:v>11846.359999999921</c:v>
                </c:pt>
                <c:pt idx="456">
                  <c:v>11829.859999999921</c:v>
                </c:pt>
                <c:pt idx="457">
                  <c:v>11638.129999999921</c:v>
                </c:pt>
                <c:pt idx="458">
                  <c:v>11638.129999999921</c:v>
                </c:pt>
                <c:pt idx="459">
                  <c:v>11638.129999999921</c:v>
                </c:pt>
                <c:pt idx="460">
                  <c:v>11638.129999999921</c:v>
                </c:pt>
                <c:pt idx="461">
                  <c:v>11638.129999999921</c:v>
                </c:pt>
                <c:pt idx="462">
                  <c:v>11638.129999999921</c:v>
                </c:pt>
                <c:pt idx="463">
                  <c:v>11638.129999999921</c:v>
                </c:pt>
                <c:pt idx="464">
                  <c:v>11638.129999999923</c:v>
                </c:pt>
                <c:pt idx="465">
                  <c:v>11703.229999999923</c:v>
                </c:pt>
                <c:pt idx="466">
                  <c:v>11858.929999999924</c:v>
                </c:pt>
                <c:pt idx="467">
                  <c:v>11561.929999999924</c:v>
                </c:pt>
                <c:pt idx="468">
                  <c:v>11526.229999999925</c:v>
                </c:pt>
                <c:pt idx="469">
                  <c:v>11526.229999999925</c:v>
                </c:pt>
                <c:pt idx="470">
                  <c:v>11526.229999999925</c:v>
                </c:pt>
                <c:pt idx="471">
                  <c:v>11526.229999999925</c:v>
                </c:pt>
                <c:pt idx="472">
                  <c:v>11526.229999999925</c:v>
                </c:pt>
                <c:pt idx="473">
                  <c:v>11526.229999999925</c:v>
                </c:pt>
                <c:pt idx="474">
                  <c:v>11526.229999999925</c:v>
                </c:pt>
                <c:pt idx="475">
                  <c:v>11526.229999999925</c:v>
                </c:pt>
                <c:pt idx="476">
                  <c:v>11526.229999999923</c:v>
                </c:pt>
                <c:pt idx="477">
                  <c:v>11744.359999999922</c:v>
                </c:pt>
                <c:pt idx="478">
                  <c:v>11971.069999999923</c:v>
                </c:pt>
                <c:pt idx="479">
                  <c:v>11981.629999999923</c:v>
                </c:pt>
                <c:pt idx="480">
                  <c:v>12032.779999999922</c:v>
                </c:pt>
                <c:pt idx="481">
                  <c:v>11572.759999999924</c:v>
                </c:pt>
                <c:pt idx="482">
                  <c:v>11990.209999999923</c:v>
                </c:pt>
                <c:pt idx="483">
                  <c:v>11957.539999999924</c:v>
                </c:pt>
                <c:pt idx="484">
                  <c:v>11993.179999999924</c:v>
                </c:pt>
                <c:pt idx="485">
                  <c:v>11989.549999999923</c:v>
                </c:pt>
                <c:pt idx="486">
                  <c:v>11825.539999999924</c:v>
                </c:pt>
                <c:pt idx="487">
                  <c:v>11825.539999999924</c:v>
                </c:pt>
                <c:pt idx="488">
                  <c:v>11825.53999999993</c:v>
                </c:pt>
                <c:pt idx="489">
                  <c:v>11574.659999999931</c:v>
                </c:pt>
                <c:pt idx="490">
                  <c:v>11359.939999999931</c:v>
                </c:pt>
                <c:pt idx="491">
                  <c:v>11359.939999999931</c:v>
                </c:pt>
                <c:pt idx="492">
                  <c:v>11359.939999999931</c:v>
                </c:pt>
                <c:pt idx="493">
                  <c:v>11359.939999999931</c:v>
                </c:pt>
                <c:pt idx="494">
                  <c:v>11359.939999999931</c:v>
                </c:pt>
                <c:pt idx="495">
                  <c:v>11359.939999999931</c:v>
                </c:pt>
                <c:pt idx="496">
                  <c:v>11359.939999999931</c:v>
                </c:pt>
                <c:pt idx="497">
                  <c:v>11359.939999999931</c:v>
                </c:pt>
                <c:pt idx="498">
                  <c:v>11359.939999999931</c:v>
                </c:pt>
                <c:pt idx="499">
                  <c:v>11359.939999999931</c:v>
                </c:pt>
                <c:pt idx="500">
                  <c:v>11359.939999999931</c:v>
                </c:pt>
                <c:pt idx="501">
                  <c:v>11359.939999999931</c:v>
                </c:pt>
                <c:pt idx="502">
                  <c:v>11359.939999999931</c:v>
                </c:pt>
                <c:pt idx="503">
                  <c:v>11359.939999999931</c:v>
                </c:pt>
                <c:pt idx="504">
                  <c:v>11359.939999999931</c:v>
                </c:pt>
                <c:pt idx="505">
                  <c:v>11359.939999999931</c:v>
                </c:pt>
                <c:pt idx="506">
                  <c:v>11359.939999999931</c:v>
                </c:pt>
                <c:pt idx="507">
                  <c:v>11359.939999999931</c:v>
                </c:pt>
                <c:pt idx="508">
                  <c:v>11359.939999999931</c:v>
                </c:pt>
                <c:pt idx="509">
                  <c:v>11359.939999999931</c:v>
                </c:pt>
                <c:pt idx="510">
                  <c:v>11451.739999999932</c:v>
                </c:pt>
                <c:pt idx="511">
                  <c:v>11224.579999999931</c:v>
                </c:pt>
                <c:pt idx="512">
                  <c:v>11551.099999999931</c:v>
                </c:pt>
                <c:pt idx="513">
                  <c:v>11363.539999999932</c:v>
                </c:pt>
                <c:pt idx="514">
                  <c:v>11469.739999999932</c:v>
                </c:pt>
                <c:pt idx="515">
                  <c:v>11515.099999999931</c:v>
                </c:pt>
                <c:pt idx="516">
                  <c:v>11541.739999999932</c:v>
                </c:pt>
                <c:pt idx="517">
                  <c:v>11181.379999999932</c:v>
                </c:pt>
                <c:pt idx="518">
                  <c:v>11228.539999999932</c:v>
                </c:pt>
                <c:pt idx="519">
                  <c:v>11145.019999999929</c:v>
                </c:pt>
                <c:pt idx="520">
                  <c:v>11097.13999999993</c:v>
                </c:pt>
                <c:pt idx="521">
                  <c:v>11097.13999999993</c:v>
                </c:pt>
                <c:pt idx="522">
                  <c:v>11097.13999999993</c:v>
                </c:pt>
                <c:pt idx="523">
                  <c:v>11097.13999999993</c:v>
                </c:pt>
                <c:pt idx="524">
                  <c:v>11097.13999999993</c:v>
                </c:pt>
                <c:pt idx="525">
                  <c:v>11097.139999999934</c:v>
                </c:pt>
                <c:pt idx="526">
                  <c:v>11497.099999999933</c:v>
                </c:pt>
                <c:pt idx="527">
                  <c:v>11431.099999999933</c:v>
                </c:pt>
                <c:pt idx="528">
                  <c:v>11393.479999999932</c:v>
                </c:pt>
                <c:pt idx="529">
                  <c:v>11393.479999999932</c:v>
                </c:pt>
                <c:pt idx="530">
                  <c:v>11393.479999999932</c:v>
                </c:pt>
                <c:pt idx="531">
                  <c:v>11393.479999999932</c:v>
                </c:pt>
                <c:pt idx="532">
                  <c:v>11393.479999999932</c:v>
                </c:pt>
                <c:pt idx="533">
                  <c:v>11393.479999999932</c:v>
                </c:pt>
                <c:pt idx="534">
                  <c:v>11393.479999999932</c:v>
                </c:pt>
                <c:pt idx="535">
                  <c:v>11393.479999999932</c:v>
                </c:pt>
                <c:pt idx="536">
                  <c:v>11393.479999999932</c:v>
                </c:pt>
                <c:pt idx="537">
                  <c:v>11393.479999999932</c:v>
                </c:pt>
                <c:pt idx="538">
                  <c:v>11393.479999999932</c:v>
                </c:pt>
                <c:pt idx="539">
                  <c:v>11393.479999999932</c:v>
                </c:pt>
                <c:pt idx="540">
                  <c:v>11393.479999999932</c:v>
                </c:pt>
                <c:pt idx="541">
                  <c:v>11393.479999999932</c:v>
                </c:pt>
                <c:pt idx="542">
                  <c:v>11393.479999999932</c:v>
                </c:pt>
                <c:pt idx="543">
                  <c:v>11393.479999999936</c:v>
                </c:pt>
                <c:pt idx="544">
                  <c:v>11303.719999999936</c:v>
                </c:pt>
                <c:pt idx="545">
                  <c:v>11340.349999999935</c:v>
                </c:pt>
                <c:pt idx="546">
                  <c:v>11444.299999999936</c:v>
                </c:pt>
                <c:pt idx="547">
                  <c:v>11387.209999999935</c:v>
                </c:pt>
                <c:pt idx="548">
                  <c:v>11513.929999999935</c:v>
                </c:pt>
                <c:pt idx="549">
                  <c:v>11748.229999999936</c:v>
                </c:pt>
                <c:pt idx="550">
                  <c:v>11662.759999999935</c:v>
                </c:pt>
                <c:pt idx="551">
                  <c:v>11842.609999999935</c:v>
                </c:pt>
                <c:pt idx="552">
                  <c:v>11893.429999999935</c:v>
                </c:pt>
                <c:pt idx="553">
                  <c:v>11934.019999999937</c:v>
                </c:pt>
                <c:pt idx="554">
                  <c:v>11706.319999999934</c:v>
                </c:pt>
                <c:pt idx="555">
                  <c:v>11434.069999999934</c:v>
                </c:pt>
                <c:pt idx="556">
                  <c:v>11434.069999999934</c:v>
                </c:pt>
                <c:pt idx="557">
                  <c:v>11434.069999999932</c:v>
                </c:pt>
                <c:pt idx="558">
                  <c:v>11315.349999999933</c:v>
                </c:pt>
                <c:pt idx="559">
                  <c:v>11587.029999999933</c:v>
                </c:pt>
                <c:pt idx="560">
                  <c:v>11425.109999999933</c:v>
                </c:pt>
                <c:pt idx="561">
                  <c:v>11249.109999999933</c:v>
                </c:pt>
                <c:pt idx="562">
                  <c:v>11249.109999999933</c:v>
                </c:pt>
                <c:pt idx="563">
                  <c:v>11249.109999999933</c:v>
                </c:pt>
                <c:pt idx="564">
                  <c:v>11249.109999999933</c:v>
                </c:pt>
                <c:pt idx="565">
                  <c:v>10296.469999999934</c:v>
                </c:pt>
                <c:pt idx="566">
                  <c:v>10142.549999999934</c:v>
                </c:pt>
                <c:pt idx="567">
                  <c:v>10142.549999999934</c:v>
                </c:pt>
                <c:pt idx="568">
                  <c:v>10142.549999999937</c:v>
                </c:pt>
                <c:pt idx="569">
                  <c:v>10100.699999999937</c:v>
                </c:pt>
                <c:pt idx="570">
                  <c:v>10465.104999999936</c:v>
                </c:pt>
                <c:pt idx="571">
                  <c:v>10509.279999999937</c:v>
                </c:pt>
                <c:pt idx="572">
                  <c:v>10486.959999999935</c:v>
                </c:pt>
                <c:pt idx="573">
                  <c:v>10441.389999999938</c:v>
                </c:pt>
                <c:pt idx="574">
                  <c:v>10441.389999999938</c:v>
                </c:pt>
                <c:pt idx="575">
                  <c:v>10441.389999999939</c:v>
                </c:pt>
                <c:pt idx="576">
                  <c:v>10597.119999999939</c:v>
                </c:pt>
                <c:pt idx="577">
                  <c:v>10410.64999999994</c:v>
                </c:pt>
                <c:pt idx="578">
                  <c:v>10180.679999999938</c:v>
                </c:pt>
                <c:pt idx="579">
                  <c:v>10180.679999999938</c:v>
                </c:pt>
                <c:pt idx="580">
                  <c:v>10180.679999999938</c:v>
                </c:pt>
                <c:pt idx="581">
                  <c:v>10180.679999999938</c:v>
                </c:pt>
                <c:pt idx="582">
                  <c:v>10180.679999999938</c:v>
                </c:pt>
                <c:pt idx="583">
                  <c:v>10180.679999999938</c:v>
                </c:pt>
                <c:pt idx="584">
                  <c:v>10180.679999999938</c:v>
                </c:pt>
                <c:pt idx="585">
                  <c:v>10180.679999999938</c:v>
                </c:pt>
                <c:pt idx="586">
                  <c:v>10180.679999999938</c:v>
                </c:pt>
                <c:pt idx="587">
                  <c:v>10180.679999999938</c:v>
                </c:pt>
                <c:pt idx="588">
                  <c:v>10180.679999999938</c:v>
                </c:pt>
                <c:pt idx="589">
                  <c:v>10180.679999999938</c:v>
                </c:pt>
                <c:pt idx="590">
                  <c:v>10180.679999999938</c:v>
                </c:pt>
                <c:pt idx="591">
                  <c:v>10180.679999999938</c:v>
                </c:pt>
                <c:pt idx="592">
                  <c:v>10180.679999999938</c:v>
                </c:pt>
                <c:pt idx="593">
                  <c:v>10180.679999999938</c:v>
                </c:pt>
                <c:pt idx="594">
                  <c:v>10180.679999999938</c:v>
                </c:pt>
                <c:pt idx="595">
                  <c:v>10180.679999999938</c:v>
                </c:pt>
                <c:pt idx="596">
                  <c:v>10180.679999999938</c:v>
                </c:pt>
                <c:pt idx="597">
                  <c:v>10180.679999999938</c:v>
                </c:pt>
                <c:pt idx="598">
                  <c:v>10180.679999999938</c:v>
                </c:pt>
                <c:pt idx="599">
                  <c:v>10180.679999999938</c:v>
                </c:pt>
                <c:pt idx="600">
                  <c:v>10180.679999999938</c:v>
                </c:pt>
                <c:pt idx="601">
                  <c:v>10180.679999999938</c:v>
                </c:pt>
                <c:pt idx="602">
                  <c:v>10180.67999999994</c:v>
                </c:pt>
                <c:pt idx="603">
                  <c:v>10837.979999999941</c:v>
                </c:pt>
                <c:pt idx="604">
                  <c:v>10613.279999999941</c:v>
                </c:pt>
                <c:pt idx="605">
                  <c:v>10275.879999999941</c:v>
                </c:pt>
                <c:pt idx="606">
                  <c:v>10275.879999999941</c:v>
                </c:pt>
                <c:pt idx="607">
                  <c:v>10275.879999999941</c:v>
                </c:pt>
                <c:pt idx="608">
                  <c:v>10275.879999999941</c:v>
                </c:pt>
                <c:pt idx="609">
                  <c:v>10275.879999999941</c:v>
                </c:pt>
                <c:pt idx="610">
                  <c:v>10275.879999999941</c:v>
                </c:pt>
                <c:pt idx="611">
                  <c:v>10275.879999999941</c:v>
                </c:pt>
                <c:pt idx="612">
                  <c:v>10275.879999999941</c:v>
                </c:pt>
                <c:pt idx="613">
                  <c:v>10275.879999999943</c:v>
                </c:pt>
                <c:pt idx="614">
                  <c:v>9941.3199999999433</c:v>
                </c:pt>
                <c:pt idx="615">
                  <c:v>9707.7399999999434</c:v>
                </c:pt>
                <c:pt idx="616">
                  <c:v>9707.7399999999434</c:v>
                </c:pt>
                <c:pt idx="617">
                  <c:v>9707.7399999999434</c:v>
                </c:pt>
                <c:pt idx="618">
                  <c:v>9707.7399999999434</c:v>
                </c:pt>
                <c:pt idx="619">
                  <c:v>9707.7399999999434</c:v>
                </c:pt>
                <c:pt idx="620">
                  <c:v>9701.9649999999419</c:v>
                </c:pt>
                <c:pt idx="621">
                  <c:v>9900.6249999999436</c:v>
                </c:pt>
                <c:pt idx="622">
                  <c:v>9941.2149999999419</c:v>
                </c:pt>
                <c:pt idx="623">
                  <c:v>9390.1149999999434</c:v>
                </c:pt>
                <c:pt idx="624">
                  <c:v>9708.2349999999424</c:v>
                </c:pt>
                <c:pt idx="625">
                  <c:v>9994.6749999999429</c:v>
                </c:pt>
                <c:pt idx="626">
                  <c:v>9968.2749999999432</c:v>
                </c:pt>
                <c:pt idx="627">
                  <c:v>10129.314999999944</c:v>
                </c:pt>
                <c:pt idx="628">
                  <c:v>10068.924999999943</c:v>
                </c:pt>
                <c:pt idx="629">
                  <c:v>9938.2449999999426</c:v>
                </c:pt>
                <c:pt idx="630">
                  <c:v>9938.2449999999426</c:v>
                </c:pt>
                <c:pt idx="631">
                  <c:v>9938.2449999999426</c:v>
                </c:pt>
                <c:pt idx="632">
                  <c:v>9938.2449999999426</c:v>
                </c:pt>
                <c:pt idx="633">
                  <c:v>9938.2449999999426</c:v>
                </c:pt>
                <c:pt idx="634">
                  <c:v>9938.2449999999426</c:v>
                </c:pt>
                <c:pt idx="635">
                  <c:v>9938.2449999999426</c:v>
                </c:pt>
                <c:pt idx="636">
                  <c:v>9938.2449999999426</c:v>
                </c:pt>
                <c:pt idx="637">
                  <c:v>9938.2449999999426</c:v>
                </c:pt>
                <c:pt idx="638">
                  <c:v>9938.2449999999426</c:v>
                </c:pt>
                <c:pt idx="639">
                  <c:v>9938.2449999999426</c:v>
                </c:pt>
                <c:pt idx="640">
                  <c:v>9938.2449999999371</c:v>
                </c:pt>
                <c:pt idx="641">
                  <c:v>10216.844999999937</c:v>
                </c:pt>
                <c:pt idx="642">
                  <c:v>9972.1949999999379</c:v>
                </c:pt>
                <c:pt idx="643">
                  <c:v>10220.344999999936</c:v>
                </c:pt>
                <c:pt idx="644">
                  <c:v>10392.544999999936</c:v>
                </c:pt>
                <c:pt idx="645">
                  <c:v>10196.194999999936</c:v>
                </c:pt>
                <c:pt idx="646">
                  <c:v>11189.144999999937</c:v>
                </c:pt>
                <c:pt idx="647">
                  <c:v>11069.794999999936</c:v>
                </c:pt>
                <c:pt idx="648">
                  <c:v>11124.744999999937</c:v>
                </c:pt>
                <c:pt idx="649">
                  <c:v>11630.144999999937</c:v>
                </c:pt>
                <c:pt idx="650">
                  <c:v>12003.594999999936</c:v>
                </c:pt>
                <c:pt idx="651">
                  <c:v>12073.944999999936</c:v>
                </c:pt>
                <c:pt idx="652">
                  <c:v>12526.844999999937</c:v>
                </c:pt>
                <c:pt idx="653">
                  <c:v>12542.594999999937</c:v>
                </c:pt>
                <c:pt idx="654">
                  <c:v>12985.694999999936</c:v>
                </c:pt>
                <c:pt idx="655">
                  <c:v>12345.894999999937</c:v>
                </c:pt>
                <c:pt idx="656">
                  <c:v>12684.344999999937</c:v>
                </c:pt>
                <c:pt idx="657">
                  <c:v>12169.494999999937</c:v>
                </c:pt>
                <c:pt idx="658">
                  <c:v>11683.694999999936</c:v>
                </c:pt>
                <c:pt idx="659">
                  <c:v>11683.694999999936</c:v>
                </c:pt>
                <c:pt idx="660">
                  <c:v>11683.694999999936</c:v>
                </c:pt>
                <c:pt idx="661">
                  <c:v>11683.694999999936</c:v>
                </c:pt>
                <c:pt idx="662">
                  <c:v>11862.884999999937</c:v>
                </c:pt>
                <c:pt idx="663">
                  <c:v>11632.544999999936</c:v>
                </c:pt>
                <c:pt idx="664">
                  <c:v>11372.504999999936</c:v>
                </c:pt>
                <c:pt idx="665">
                  <c:v>11372.504999999936</c:v>
                </c:pt>
                <c:pt idx="666">
                  <c:v>11372.504999999936</c:v>
                </c:pt>
                <c:pt idx="667">
                  <c:v>11372.504999999936</c:v>
                </c:pt>
                <c:pt idx="668">
                  <c:v>11372.504999999936</c:v>
                </c:pt>
                <c:pt idx="669">
                  <c:v>11372.504999999937</c:v>
                </c:pt>
                <c:pt idx="670">
                  <c:v>11249.654999999935</c:v>
                </c:pt>
                <c:pt idx="671">
                  <c:v>11170.904999999935</c:v>
                </c:pt>
                <c:pt idx="672">
                  <c:v>11170.904999999935</c:v>
                </c:pt>
                <c:pt idx="673">
                  <c:v>11170.904999999935</c:v>
                </c:pt>
                <c:pt idx="674">
                  <c:v>11170.904999999935</c:v>
                </c:pt>
                <c:pt idx="675">
                  <c:v>11170.90499999993</c:v>
                </c:pt>
                <c:pt idx="676">
                  <c:v>11047.824999999928</c:v>
                </c:pt>
                <c:pt idx="677">
                  <c:v>10821.724999999928</c:v>
                </c:pt>
                <c:pt idx="678">
                  <c:v>10821.724999999928</c:v>
                </c:pt>
                <c:pt idx="679">
                  <c:v>10821.724999999928</c:v>
                </c:pt>
                <c:pt idx="680">
                  <c:v>10821.724999999928</c:v>
                </c:pt>
                <c:pt idx="681">
                  <c:v>10821.724999999928</c:v>
                </c:pt>
                <c:pt idx="682">
                  <c:v>10821.724999999928</c:v>
                </c:pt>
                <c:pt idx="683">
                  <c:v>10821.724999999928</c:v>
                </c:pt>
                <c:pt idx="684">
                  <c:v>10821.724999999928</c:v>
                </c:pt>
                <c:pt idx="685">
                  <c:v>10821.724999999924</c:v>
                </c:pt>
                <c:pt idx="686">
                  <c:v>12526.224999999926</c:v>
                </c:pt>
                <c:pt idx="687">
                  <c:v>12478.274999999925</c:v>
                </c:pt>
                <c:pt idx="688">
                  <c:v>12261.974999999924</c:v>
                </c:pt>
                <c:pt idx="689">
                  <c:v>12261.974999999924</c:v>
                </c:pt>
                <c:pt idx="690">
                  <c:v>12261.974999999924</c:v>
                </c:pt>
                <c:pt idx="691">
                  <c:v>12261.974999999924</c:v>
                </c:pt>
                <c:pt idx="692">
                  <c:v>12261.974999999924</c:v>
                </c:pt>
                <c:pt idx="693">
                  <c:v>12261.974999999928</c:v>
                </c:pt>
                <c:pt idx="694">
                  <c:v>11963.794999999927</c:v>
                </c:pt>
                <c:pt idx="695">
                  <c:v>11659.494999999926</c:v>
                </c:pt>
                <c:pt idx="696">
                  <c:v>11659.494999999926</c:v>
                </c:pt>
                <c:pt idx="697">
                  <c:v>11659.494999999926</c:v>
                </c:pt>
                <c:pt idx="698">
                  <c:v>11659.494999999926</c:v>
                </c:pt>
                <c:pt idx="699">
                  <c:v>11659.494999999933</c:v>
                </c:pt>
                <c:pt idx="700">
                  <c:v>11650.134999999933</c:v>
                </c:pt>
                <c:pt idx="701">
                  <c:v>11594.694999999934</c:v>
                </c:pt>
                <c:pt idx="702">
                  <c:v>11594.694999999934</c:v>
                </c:pt>
                <c:pt idx="703">
                  <c:v>11594.694999999934</c:v>
                </c:pt>
                <c:pt idx="704">
                  <c:v>11594.694999999934</c:v>
                </c:pt>
                <c:pt idx="705">
                  <c:v>11594.694999999934</c:v>
                </c:pt>
                <c:pt idx="706">
                  <c:v>11594.694999999934</c:v>
                </c:pt>
                <c:pt idx="707">
                  <c:v>11594.694999999934</c:v>
                </c:pt>
                <c:pt idx="708">
                  <c:v>11594.694999999934</c:v>
                </c:pt>
                <c:pt idx="709">
                  <c:v>11594.694999999934</c:v>
                </c:pt>
                <c:pt idx="710">
                  <c:v>11594.694999999934</c:v>
                </c:pt>
                <c:pt idx="711">
                  <c:v>11594.694999999934</c:v>
                </c:pt>
                <c:pt idx="712">
                  <c:v>11594.694999999934</c:v>
                </c:pt>
                <c:pt idx="713">
                  <c:v>11594.694999999934</c:v>
                </c:pt>
                <c:pt idx="714">
                  <c:v>11594.694999999934</c:v>
                </c:pt>
                <c:pt idx="715">
                  <c:v>11594.694999999934</c:v>
                </c:pt>
                <c:pt idx="716">
                  <c:v>11594.694999999934</c:v>
                </c:pt>
                <c:pt idx="717">
                  <c:v>11594.694999999934</c:v>
                </c:pt>
                <c:pt idx="718">
                  <c:v>11594.694999999934</c:v>
                </c:pt>
                <c:pt idx="719">
                  <c:v>11594.694999999934</c:v>
                </c:pt>
                <c:pt idx="720">
                  <c:v>11594.694999999934</c:v>
                </c:pt>
                <c:pt idx="721">
                  <c:v>11594.694999999934</c:v>
                </c:pt>
                <c:pt idx="722">
                  <c:v>11594.694999999927</c:v>
                </c:pt>
                <c:pt idx="723">
                  <c:v>11644.474999999928</c:v>
                </c:pt>
                <c:pt idx="724">
                  <c:v>11970.894999999926</c:v>
                </c:pt>
                <c:pt idx="725">
                  <c:v>11892.614999999925</c:v>
                </c:pt>
                <c:pt idx="726">
                  <c:v>10268.114999999925</c:v>
                </c:pt>
                <c:pt idx="727">
                  <c:v>10268.114999999925</c:v>
                </c:pt>
                <c:pt idx="728">
                  <c:v>10268.114999999925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2-4DB3-BEF3-CA93420DF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921263"/>
        <c:axId val="312920015"/>
      </c:scatterChart>
      <c:valAx>
        <c:axId val="312921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20015"/>
        <c:crosses val="autoZero"/>
        <c:crossBetween val="midCat"/>
      </c:valAx>
      <c:valAx>
        <c:axId val="312920015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21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v>20-average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'tesla-stock-price (3)'!$A$22:$A$759</c:f>
              <c:numCache>
                <c:formatCode>General</c:formatCode>
                <c:ptCount val="738"/>
                <c:pt idx="0">
                  <c:v>42318</c:v>
                </c:pt>
                <c:pt idx="1">
                  <c:v>42319</c:v>
                </c:pt>
                <c:pt idx="2">
                  <c:v>42320</c:v>
                </c:pt>
                <c:pt idx="3">
                  <c:v>42321</c:v>
                </c:pt>
                <c:pt idx="4">
                  <c:v>42324</c:v>
                </c:pt>
                <c:pt idx="5">
                  <c:v>42325</c:v>
                </c:pt>
                <c:pt idx="6">
                  <c:v>42326</c:v>
                </c:pt>
                <c:pt idx="7">
                  <c:v>42327</c:v>
                </c:pt>
                <c:pt idx="8">
                  <c:v>42328</c:v>
                </c:pt>
                <c:pt idx="9">
                  <c:v>42331</c:v>
                </c:pt>
                <c:pt idx="10">
                  <c:v>42332</c:v>
                </c:pt>
                <c:pt idx="11">
                  <c:v>42333</c:v>
                </c:pt>
                <c:pt idx="12">
                  <c:v>42335</c:v>
                </c:pt>
                <c:pt idx="13">
                  <c:v>42338</c:v>
                </c:pt>
                <c:pt idx="14">
                  <c:v>42339</c:v>
                </c:pt>
                <c:pt idx="15">
                  <c:v>42340</c:v>
                </c:pt>
                <c:pt idx="16">
                  <c:v>42341</c:v>
                </c:pt>
                <c:pt idx="17">
                  <c:v>42342</c:v>
                </c:pt>
                <c:pt idx="18">
                  <c:v>42345</c:v>
                </c:pt>
                <c:pt idx="19">
                  <c:v>42346</c:v>
                </c:pt>
                <c:pt idx="20">
                  <c:v>42347</c:v>
                </c:pt>
                <c:pt idx="21">
                  <c:v>42348</c:v>
                </c:pt>
                <c:pt idx="22">
                  <c:v>42349</c:v>
                </c:pt>
                <c:pt idx="23">
                  <c:v>42352</c:v>
                </c:pt>
                <c:pt idx="24">
                  <c:v>42353</c:v>
                </c:pt>
                <c:pt idx="25">
                  <c:v>42354</c:v>
                </c:pt>
                <c:pt idx="26">
                  <c:v>42355</c:v>
                </c:pt>
                <c:pt idx="27">
                  <c:v>42356</c:v>
                </c:pt>
                <c:pt idx="28">
                  <c:v>42359</c:v>
                </c:pt>
                <c:pt idx="29">
                  <c:v>42360</c:v>
                </c:pt>
                <c:pt idx="30">
                  <c:v>42361</c:v>
                </c:pt>
                <c:pt idx="31">
                  <c:v>42362</c:v>
                </c:pt>
                <c:pt idx="32">
                  <c:v>42366</c:v>
                </c:pt>
                <c:pt idx="33">
                  <c:v>42367</c:v>
                </c:pt>
                <c:pt idx="34">
                  <c:v>42368</c:v>
                </c:pt>
                <c:pt idx="35">
                  <c:v>42369</c:v>
                </c:pt>
                <c:pt idx="36">
                  <c:v>42373</c:v>
                </c:pt>
                <c:pt idx="37">
                  <c:v>42374</c:v>
                </c:pt>
                <c:pt idx="38">
                  <c:v>42375</c:v>
                </c:pt>
                <c:pt idx="39">
                  <c:v>42376</c:v>
                </c:pt>
                <c:pt idx="40">
                  <c:v>42377</c:v>
                </c:pt>
                <c:pt idx="41">
                  <c:v>42380</c:v>
                </c:pt>
                <c:pt idx="42">
                  <c:v>42381</c:v>
                </c:pt>
                <c:pt idx="43">
                  <c:v>42382</c:v>
                </c:pt>
                <c:pt idx="44">
                  <c:v>42383</c:v>
                </c:pt>
                <c:pt idx="45">
                  <c:v>42384</c:v>
                </c:pt>
                <c:pt idx="46">
                  <c:v>42388</c:v>
                </c:pt>
                <c:pt idx="47">
                  <c:v>42389</c:v>
                </c:pt>
                <c:pt idx="48">
                  <c:v>42390</c:v>
                </c:pt>
                <c:pt idx="49">
                  <c:v>42391</c:v>
                </c:pt>
                <c:pt idx="50">
                  <c:v>42394</c:v>
                </c:pt>
                <c:pt idx="51">
                  <c:v>42395</c:v>
                </c:pt>
                <c:pt idx="52">
                  <c:v>42396</c:v>
                </c:pt>
                <c:pt idx="53">
                  <c:v>42397</c:v>
                </c:pt>
                <c:pt idx="54">
                  <c:v>42398</c:v>
                </c:pt>
                <c:pt idx="55">
                  <c:v>42401</c:v>
                </c:pt>
                <c:pt idx="56">
                  <c:v>42402</c:v>
                </c:pt>
                <c:pt idx="57">
                  <c:v>42403</c:v>
                </c:pt>
                <c:pt idx="58">
                  <c:v>42404</c:v>
                </c:pt>
                <c:pt idx="59">
                  <c:v>42405</c:v>
                </c:pt>
                <c:pt idx="60">
                  <c:v>42408</c:v>
                </c:pt>
                <c:pt idx="61">
                  <c:v>42409</c:v>
                </c:pt>
                <c:pt idx="62">
                  <c:v>42410</c:v>
                </c:pt>
                <c:pt idx="63">
                  <c:v>42411</c:v>
                </c:pt>
                <c:pt idx="64">
                  <c:v>42412</c:v>
                </c:pt>
                <c:pt idx="65">
                  <c:v>42416</c:v>
                </c:pt>
                <c:pt idx="66">
                  <c:v>42417</c:v>
                </c:pt>
                <c:pt idx="67">
                  <c:v>42418</c:v>
                </c:pt>
                <c:pt idx="68">
                  <c:v>42419</c:v>
                </c:pt>
                <c:pt idx="69">
                  <c:v>42422</c:v>
                </c:pt>
                <c:pt idx="70">
                  <c:v>42423</c:v>
                </c:pt>
                <c:pt idx="71">
                  <c:v>42424</c:v>
                </c:pt>
                <c:pt idx="72">
                  <c:v>42425</c:v>
                </c:pt>
                <c:pt idx="73">
                  <c:v>42426</c:v>
                </c:pt>
                <c:pt idx="74">
                  <c:v>42429</c:v>
                </c:pt>
                <c:pt idx="75">
                  <c:v>42430</c:v>
                </c:pt>
                <c:pt idx="76">
                  <c:v>42431</c:v>
                </c:pt>
                <c:pt idx="77">
                  <c:v>42432</c:v>
                </c:pt>
                <c:pt idx="78">
                  <c:v>42433</c:v>
                </c:pt>
                <c:pt idx="79">
                  <c:v>42436</c:v>
                </c:pt>
                <c:pt idx="80">
                  <c:v>42437</c:v>
                </c:pt>
                <c:pt idx="81">
                  <c:v>42438</c:v>
                </c:pt>
                <c:pt idx="82">
                  <c:v>42439</c:v>
                </c:pt>
                <c:pt idx="83">
                  <c:v>42440</c:v>
                </c:pt>
                <c:pt idx="84">
                  <c:v>42443</c:v>
                </c:pt>
                <c:pt idx="85">
                  <c:v>42444</c:v>
                </c:pt>
                <c:pt idx="86">
                  <c:v>42445</c:v>
                </c:pt>
                <c:pt idx="87">
                  <c:v>42446</c:v>
                </c:pt>
                <c:pt idx="88">
                  <c:v>42447</c:v>
                </c:pt>
                <c:pt idx="89">
                  <c:v>42450</c:v>
                </c:pt>
                <c:pt idx="90">
                  <c:v>42451</c:v>
                </c:pt>
                <c:pt idx="91">
                  <c:v>42452</c:v>
                </c:pt>
                <c:pt idx="92">
                  <c:v>42453</c:v>
                </c:pt>
                <c:pt idx="93">
                  <c:v>42457</c:v>
                </c:pt>
                <c:pt idx="94">
                  <c:v>42458</c:v>
                </c:pt>
                <c:pt idx="95">
                  <c:v>42459</c:v>
                </c:pt>
                <c:pt idx="96">
                  <c:v>42460</c:v>
                </c:pt>
                <c:pt idx="97">
                  <c:v>42461</c:v>
                </c:pt>
                <c:pt idx="98">
                  <c:v>42464</c:v>
                </c:pt>
                <c:pt idx="99">
                  <c:v>42465</c:v>
                </c:pt>
                <c:pt idx="100">
                  <c:v>42466</c:v>
                </c:pt>
                <c:pt idx="101">
                  <c:v>42467</c:v>
                </c:pt>
                <c:pt idx="102">
                  <c:v>42468</c:v>
                </c:pt>
                <c:pt idx="103">
                  <c:v>42471</c:v>
                </c:pt>
                <c:pt idx="104">
                  <c:v>42472</c:v>
                </c:pt>
                <c:pt idx="105">
                  <c:v>42473</c:v>
                </c:pt>
                <c:pt idx="106">
                  <c:v>42474</c:v>
                </c:pt>
                <c:pt idx="107">
                  <c:v>42475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42485</c:v>
                </c:pt>
                <c:pt idx="114">
                  <c:v>42486</c:v>
                </c:pt>
                <c:pt idx="115">
                  <c:v>42487</c:v>
                </c:pt>
                <c:pt idx="116">
                  <c:v>42488</c:v>
                </c:pt>
                <c:pt idx="117">
                  <c:v>42489</c:v>
                </c:pt>
                <c:pt idx="118">
                  <c:v>42492</c:v>
                </c:pt>
                <c:pt idx="119">
                  <c:v>42493</c:v>
                </c:pt>
                <c:pt idx="120">
                  <c:v>42494</c:v>
                </c:pt>
                <c:pt idx="121">
                  <c:v>42495</c:v>
                </c:pt>
                <c:pt idx="122">
                  <c:v>42496</c:v>
                </c:pt>
                <c:pt idx="123">
                  <c:v>42499</c:v>
                </c:pt>
                <c:pt idx="124">
                  <c:v>42500</c:v>
                </c:pt>
                <c:pt idx="125">
                  <c:v>42501</c:v>
                </c:pt>
                <c:pt idx="126">
                  <c:v>42502</c:v>
                </c:pt>
                <c:pt idx="127">
                  <c:v>42503</c:v>
                </c:pt>
                <c:pt idx="128">
                  <c:v>42506</c:v>
                </c:pt>
                <c:pt idx="129">
                  <c:v>42507</c:v>
                </c:pt>
                <c:pt idx="130">
                  <c:v>42508</c:v>
                </c:pt>
                <c:pt idx="131">
                  <c:v>42509</c:v>
                </c:pt>
                <c:pt idx="132">
                  <c:v>42510</c:v>
                </c:pt>
                <c:pt idx="133">
                  <c:v>42513</c:v>
                </c:pt>
                <c:pt idx="134">
                  <c:v>42514</c:v>
                </c:pt>
                <c:pt idx="135">
                  <c:v>42515</c:v>
                </c:pt>
                <c:pt idx="136">
                  <c:v>42516</c:v>
                </c:pt>
                <c:pt idx="137">
                  <c:v>42517</c:v>
                </c:pt>
                <c:pt idx="138">
                  <c:v>42521</c:v>
                </c:pt>
                <c:pt idx="139">
                  <c:v>42522</c:v>
                </c:pt>
                <c:pt idx="140">
                  <c:v>42523</c:v>
                </c:pt>
                <c:pt idx="141">
                  <c:v>42524</c:v>
                </c:pt>
                <c:pt idx="142">
                  <c:v>42527</c:v>
                </c:pt>
                <c:pt idx="143">
                  <c:v>42528</c:v>
                </c:pt>
                <c:pt idx="144">
                  <c:v>42529</c:v>
                </c:pt>
                <c:pt idx="145">
                  <c:v>42530</c:v>
                </c:pt>
                <c:pt idx="146">
                  <c:v>42531</c:v>
                </c:pt>
                <c:pt idx="147">
                  <c:v>42534</c:v>
                </c:pt>
                <c:pt idx="148">
                  <c:v>42535</c:v>
                </c:pt>
                <c:pt idx="149">
                  <c:v>42536</c:v>
                </c:pt>
                <c:pt idx="150">
                  <c:v>42537</c:v>
                </c:pt>
                <c:pt idx="151">
                  <c:v>42538</c:v>
                </c:pt>
                <c:pt idx="152">
                  <c:v>42541</c:v>
                </c:pt>
                <c:pt idx="153">
                  <c:v>42542</c:v>
                </c:pt>
                <c:pt idx="154">
                  <c:v>42543</c:v>
                </c:pt>
                <c:pt idx="155">
                  <c:v>42544</c:v>
                </c:pt>
                <c:pt idx="156">
                  <c:v>42545</c:v>
                </c:pt>
                <c:pt idx="157">
                  <c:v>42548</c:v>
                </c:pt>
                <c:pt idx="158">
                  <c:v>42549</c:v>
                </c:pt>
                <c:pt idx="159">
                  <c:v>42550</c:v>
                </c:pt>
                <c:pt idx="160">
                  <c:v>42551</c:v>
                </c:pt>
                <c:pt idx="161">
                  <c:v>42552</c:v>
                </c:pt>
                <c:pt idx="162">
                  <c:v>42556</c:v>
                </c:pt>
                <c:pt idx="163">
                  <c:v>42557</c:v>
                </c:pt>
                <c:pt idx="164">
                  <c:v>42558</c:v>
                </c:pt>
                <c:pt idx="165">
                  <c:v>42559</c:v>
                </c:pt>
                <c:pt idx="166">
                  <c:v>42562</c:v>
                </c:pt>
                <c:pt idx="167">
                  <c:v>42563</c:v>
                </c:pt>
                <c:pt idx="168">
                  <c:v>42564</c:v>
                </c:pt>
                <c:pt idx="169">
                  <c:v>42565</c:v>
                </c:pt>
                <c:pt idx="170">
                  <c:v>42566</c:v>
                </c:pt>
                <c:pt idx="171">
                  <c:v>42569</c:v>
                </c:pt>
                <c:pt idx="172">
                  <c:v>42570</c:v>
                </c:pt>
                <c:pt idx="173">
                  <c:v>42571</c:v>
                </c:pt>
                <c:pt idx="174">
                  <c:v>42572</c:v>
                </c:pt>
                <c:pt idx="175">
                  <c:v>42573</c:v>
                </c:pt>
                <c:pt idx="176">
                  <c:v>42576</c:v>
                </c:pt>
                <c:pt idx="177">
                  <c:v>42577</c:v>
                </c:pt>
                <c:pt idx="178">
                  <c:v>42578</c:v>
                </c:pt>
                <c:pt idx="179">
                  <c:v>42579</c:v>
                </c:pt>
                <c:pt idx="180">
                  <c:v>42580</c:v>
                </c:pt>
                <c:pt idx="181">
                  <c:v>42583</c:v>
                </c:pt>
                <c:pt idx="182">
                  <c:v>42584</c:v>
                </c:pt>
                <c:pt idx="183">
                  <c:v>42585</c:v>
                </c:pt>
                <c:pt idx="184">
                  <c:v>42586</c:v>
                </c:pt>
                <c:pt idx="185">
                  <c:v>42587</c:v>
                </c:pt>
                <c:pt idx="186">
                  <c:v>42590</c:v>
                </c:pt>
                <c:pt idx="187">
                  <c:v>42591</c:v>
                </c:pt>
                <c:pt idx="188">
                  <c:v>42592</c:v>
                </c:pt>
                <c:pt idx="189">
                  <c:v>42593</c:v>
                </c:pt>
                <c:pt idx="190">
                  <c:v>42594</c:v>
                </c:pt>
                <c:pt idx="191">
                  <c:v>42597</c:v>
                </c:pt>
                <c:pt idx="192">
                  <c:v>42598</c:v>
                </c:pt>
                <c:pt idx="193">
                  <c:v>42599</c:v>
                </c:pt>
                <c:pt idx="194">
                  <c:v>42600</c:v>
                </c:pt>
                <c:pt idx="195">
                  <c:v>42601</c:v>
                </c:pt>
                <c:pt idx="196">
                  <c:v>42604</c:v>
                </c:pt>
                <c:pt idx="197">
                  <c:v>42605</c:v>
                </c:pt>
                <c:pt idx="198">
                  <c:v>42606</c:v>
                </c:pt>
                <c:pt idx="199">
                  <c:v>42607</c:v>
                </c:pt>
                <c:pt idx="200">
                  <c:v>42608</c:v>
                </c:pt>
                <c:pt idx="201">
                  <c:v>42611</c:v>
                </c:pt>
                <c:pt idx="202">
                  <c:v>42612</c:v>
                </c:pt>
                <c:pt idx="203">
                  <c:v>42613</c:v>
                </c:pt>
                <c:pt idx="204">
                  <c:v>42614</c:v>
                </c:pt>
                <c:pt idx="205">
                  <c:v>42615</c:v>
                </c:pt>
                <c:pt idx="206">
                  <c:v>42619</c:v>
                </c:pt>
                <c:pt idx="207">
                  <c:v>42620</c:v>
                </c:pt>
                <c:pt idx="208">
                  <c:v>42621</c:v>
                </c:pt>
                <c:pt idx="209">
                  <c:v>42622</c:v>
                </c:pt>
                <c:pt idx="210">
                  <c:v>42625</c:v>
                </c:pt>
                <c:pt idx="211">
                  <c:v>42626</c:v>
                </c:pt>
                <c:pt idx="212">
                  <c:v>42627</c:v>
                </c:pt>
                <c:pt idx="213">
                  <c:v>42628</c:v>
                </c:pt>
                <c:pt idx="214">
                  <c:v>42629</c:v>
                </c:pt>
                <c:pt idx="215">
                  <c:v>42632</c:v>
                </c:pt>
                <c:pt idx="216">
                  <c:v>42633</c:v>
                </c:pt>
                <c:pt idx="217">
                  <c:v>42634</c:v>
                </c:pt>
                <c:pt idx="218">
                  <c:v>42635</c:v>
                </c:pt>
                <c:pt idx="219">
                  <c:v>42636</c:v>
                </c:pt>
                <c:pt idx="220">
                  <c:v>42639</c:v>
                </c:pt>
                <c:pt idx="221">
                  <c:v>42640</c:v>
                </c:pt>
                <c:pt idx="222">
                  <c:v>42641</c:v>
                </c:pt>
                <c:pt idx="223">
                  <c:v>42642</c:v>
                </c:pt>
                <c:pt idx="224">
                  <c:v>42643</c:v>
                </c:pt>
                <c:pt idx="225">
                  <c:v>42646</c:v>
                </c:pt>
                <c:pt idx="226">
                  <c:v>42647</c:v>
                </c:pt>
                <c:pt idx="227">
                  <c:v>42648</c:v>
                </c:pt>
                <c:pt idx="228">
                  <c:v>42649</c:v>
                </c:pt>
                <c:pt idx="229">
                  <c:v>42650</c:v>
                </c:pt>
                <c:pt idx="230">
                  <c:v>42653</c:v>
                </c:pt>
                <c:pt idx="231">
                  <c:v>42654</c:v>
                </c:pt>
                <c:pt idx="232">
                  <c:v>42655</c:v>
                </c:pt>
                <c:pt idx="233">
                  <c:v>42656</c:v>
                </c:pt>
                <c:pt idx="234">
                  <c:v>42657</c:v>
                </c:pt>
                <c:pt idx="235">
                  <c:v>42660</c:v>
                </c:pt>
                <c:pt idx="236">
                  <c:v>42661</c:v>
                </c:pt>
                <c:pt idx="237">
                  <c:v>42662</c:v>
                </c:pt>
                <c:pt idx="238">
                  <c:v>42663</c:v>
                </c:pt>
                <c:pt idx="239">
                  <c:v>42664</c:v>
                </c:pt>
                <c:pt idx="240">
                  <c:v>42667</c:v>
                </c:pt>
                <c:pt idx="241">
                  <c:v>42668</c:v>
                </c:pt>
                <c:pt idx="242">
                  <c:v>42669</c:v>
                </c:pt>
                <c:pt idx="243">
                  <c:v>42670</c:v>
                </c:pt>
                <c:pt idx="244">
                  <c:v>42671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42681</c:v>
                </c:pt>
                <c:pt idx="251">
                  <c:v>42682</c:v>
                </c:pt>
                <c:pt idx="252">
                  <c:v>42683</c:v>
                </c:pt>
                <c:pt idx="253">
                  <c:v>42684</c:v>
                </c:pt>
                <c:pt idx="254">
                  <c:v>42685</c:v>
                </c:pt>
                <c:pt idx="255">
                  <c:v>42688</c:v>
                </c:pt>
                <c:pt idx="256">
                  <c:v>42689</c:v>
                </c:pt>
                <c:pt idx="257">
                  <c:v>42690</c:v>
                </c:pt>
                <c:pt idx="258">
                  <c:v>42691</c:v>
                </c:pt>
                <c:pt idx="259">
                  <c:v>42692</c:v>
                </c:pt>
                <c:pt idx="260">
                  <c:v>42695</c:v>
                </c:pt>
                <c:pt idx="261">
                  <c:v>42696</c:v>
                </c:pt>
                <c:pt idx="262">
                  <c:v>42697</c:v>
                </c:pt>
                <c:pt idx="263">
                  <c:v>42699</c:v>
                </c:pt>
                <c:pt idx="264">
                  <c:v>42702</c:v>
                </c:pt>
                <c:pt idx="265">
                  <c:v>42703</c:v>
                </c:pt>
                <c:pt idx="266">
                  <c:v>42704</c:v>
                </c:pt>
                <c:pt idx="267">
                  <c:v>42705</c:v>
                </c:pt>
                <c:pt idx="268">
                  <c:v>42706</c:v>
                </c:pt>
                <c:pt idx="269">
                  <c:v>42709</c:v>
                </c:pt>
                <c:pt idx="270">
                  <c:v>42710</c:v>
                </c:pt>
                <c:pt idx="271">
                  <c:v>42711</c:v>
                </c:pt>
                <c:pt idx="272">
                  <c:v>42712</c:v>
                </c:pt>
                <c:pt idx="273">
                  <c:v>42713</c:v>
                </c:pt>
                <c:pt idx="274">
                  <c:v>42716</c:v>
                </c:pt>
                <c:pt idx="275">
                  <c:v>42717</c:v>
                </c:pt>
                <c:pt idx="276">
                  <c:v>42718</c:v>
                </c:pt>
                <c:pt idx="277">
                  <c:v>42719</c:v>
                </c:pt>
                <c:pt idx="278">
                  <c:v>42720</c:v>
                </c:pt>
                <c:pt idx="279">
                  <c:v>42723</c:v>
                </c:pt>
                <c:pt idx="280">
                  <c:v>42724</c:v>
                </c:pt>
                <c:pt idx="281">
                  <c:v>42725</c:v>
                </c:pt>
                <c:pt idx="282">
                  <c:v>42726</c:v>
                </c:pt>
                <c:pt idx="283">
                  <c:v>42727</c:v>
                </c:pt>
                <c:pt idx="284">
                  <c:v>42731</c:v>
                </c:pt>
                <c:pt idx="285">
                  <c:v>42732</c:v>
                </c:pt>
                <c:pt idx="286">
                  <c:v>42733</c:v>
                </c:pt>
                <c:pt idx="287">
                  <c:v>42734</c:v>
                </c:pt>
                <c:pt idx="288">
                  <c:v>42738</c:v>
                </c:pt>
                <c:pt idx="289">
                  <c:v>42739</c:v>
                </c:pt>
                <c:pt idx="290">
                  <c:v>42740</c:v>
                </c:pt>
                <c:pt idx="291">
                  <c:v>42741</c:v>
                </c:pt>
                <c:pt idx="292">
                  <c:v>42744</c:v>
                </c:pt>
                <c:pt idx="293">
                  <c:v>42745</c:v>
                </c:pt>
                <c:pt idx="294">
                  <c:v>42746</c:v>
                </c:pt>
                <c:pt idx="295">
                  <c:v>42747</c:v>
                </c:pt>
                <c:pt idx="296">
                  <c:v>42748</c:v>
                </c:pt>
                <c:pt idx="297">
                  <c:v>42752</c:v>
                </c:pt>
                <c:pt idx="298">
                  <c:v>42753</c:v>
                </c:pt>
                <c:pt idx="299">
                  <c:v>42754</c:v>
                </c:pt>
                <c:pt idx="300">
                  <c:v>42755</c:v>
                </c:pt>
                <c:pt idx="301">
                  <c:v>42758</c:v>
                </c:pt>
                <c:pt idx="302">
                  <c:v>42759</c:v>
                </c:pt>
                <c:pt idx="303">
                  <c:v>42760</c:v>
                </c:pt>
                <c:pt idx="304">
                  <c:v>42761</c:v>
                </c:pt>
                <c:pt idx="305">
                  <c:v>42762</c:v>
                </c:pt>
                <c:pt idx="306">
                  <c:v>42765</c:v>
                </c:pt>
                <c:pt idx="307">
                  <c:v>42766</c:v>
                </c:pt>
                <c:pt idx="308">
                  <c:v>42767</c:v>
                </c:pt>
                <c:pt idx="309">
                  <c:v>42768</c:v>
                </c:pt>
                <c:pt idx="310">
                  <c:v>42769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42779</c:v>
                </c:pt>
                <c:pt idx="317">
                  <c:v>42780</c:v>
                </c:pt>
                <c:pt idx="318">
                  <c:v>42781</c:v>
                </c:pt>
                <c:pt idx="319">
                  <c:v>42782</c:v>
                </c:pt>
                <c:pt idx="320">
                  <c:v>42783</c:v>
                </c:pt>
                <c:pt idx="321">
                  <c:v>42787</c:v>
                </c:pt>
                <c:pt idx="322">
                  <c:v>42788</c:v>
                </c:pt>
                <c:pt idx="323">
                  <c:v>42789</c:v>
                </c:pt>
                <c:pt idx="324">
                  <c:v>42790</c:v>
                </c:pt>
                <c:pt idx="325">
                  <c:v>42793</c:v>
                </c:pt>
                <c:pt idx="326">
                  <c:v>42794</c:v>
                </c:pt>
                <c:pt idx="327">
                  <c:v>42795</c:v>
                </c:pt>
                <c:pt idx="328">
                  <c:v>42796</c:v>
                </c:pt>
                <c:pt idx="329">
                  <c:v>42797</c:v>
                </c:pt>
                <c:pt idx="330">
                  <c:v>42800</c:v>
                </c:pt>
                <c:pt idx="331">
                  <c:v>42801</c:v>
                </c:pt>
                <c:pt idx="332">
                  <c:v>42802</c:v>
                </c:pt>
                <c:pt idx="333">
                  <c:v>42803</c:v>
                </c:pt>
                <c:pt idx="334">
                  <c:v>42804</c:v>
                </c:pt>
                <c:pt idx="335">
                  <c:v>42807</c:v>
                </c:pt>
                <c:pt idx="336">
                  <c:v>42808</c:v>
                </c:pt>
                <c:pt idx="337">
                  <c:v>42809</c:v>
                </c:pt>
                <c:pt idx="338">
                  <c:v>42810</c:v>
                </c:pt>
                <c:pt idx="339">
                  <c:v>42811</c:v>
                </c:pt>
                <c:pt idx="340">
                  <c:v>42814</c:v>
                </c:pt>
                <c:pt idx="341">
                  <c:v>42815</c:v>
                </c:pt>
                <c:pt idx="342">
                  <c:v>42816</c:v>
                </c:pt>
                <c:pt idx="343">
                  <c:v>42817</c:v>
                </c:pt>
                <c:pt idx="344">
                  <c:v>42818</c:v>
                </c:pt>
                <c:pt idx="345">
                  <c:v>42821</c:v>
                </c:pt>
                <c:pt idx="346">
                  <c:v>42822</c:v>
                </c:pt>
                <c:pt idx="347">
                  <c:v>42823</c:v>
                </c:pt>
                <c:pt idx="348">
                  <c:v>42824</c:v>
                </c:pt>
                <c:pt idx="349">
                  <c:v>42825</c:v>
                </c:pt>
                <c:pt idx="350">
                  <c:v>42828</c:v>
                </c:pt>
                <c:pt idx="351">
                  <c:v>42829</c:v>
                </c:pt>
                <c:pt idx="352">
                  <c:v>42830</c:v>
                </c:pt>
                <c:pt idx="353">
                  <c:v>42831</c:v>
                </c:pt>
                <c:pt idx="354">
                  <c:v>42832</c:v>
                </c:pt>
                <c:pt idx="355">
                  <c:v>42835</c:v>
                </c:pt>
                <c:pt idx="356">
                  <c:v>42836</c:v>
                </c:pt>
                <c:pt idx="357">
                  <c:v>42837</c:v>
                </c:pt>
                <c:pt idx="358">
                  <c:v>42838</c:v>
                </c:pt>
                <c:pt idx="359">
                  <c:v>42842</c:v>
                </c:pt>
                <c:pt idx="360">
                  <c:v>42843</c:v>
                </c:pt>
                <c:pt idx="361">
                  <c:v>42844</c:v>
                </c:pt>
                <c:pt idx="362">
                  <c:v>42845</c:v>
                </c:pt>
                <c:pt idx="363">
                  <c:v>42846</c:v>
                </c:pt>
                <c:pt idx="364">
                  <c:v>42849</c:v>
                </c:pt>
                <c:pt idx="365">
                  <c:v>42850</c:v>
                </c:pt>
                <c:pt idx="366">
                  <c:v>42851</c:v>
                </c:pt>
                <c:pt idx="367">
                  <c:v>42852</c:v>
                </c:pt>
                <c:pt idx="368">
                  <c:v>42853</c:v>
                </c:pt>
                <c:pt idx="369">
                  <c:v>42856</c:v>
                </c:pt>
                <c:pt idx="370">
                  <c:v>42857</c:v>
                </c:pt>
                <c:pt idx="371">
                  <c:v>42858</c:v>
                </c:pt>
                <c:pt idx="372">
                  <c:v>42859</c:v>
                </c:pt>
                <c:pt idx="373">
                  <c:v>42860</c:v>
                </c:pt>
                <c:pt idx="374">
                  <c:v>42863</c:v>
                </c:pt>
                <c:pt idx="375">
                  <c:v>42864</c:v>
                </c:pt>
                <c:pt idx="376">
                  <c:v>42865</c:v>
                </c:pt>
                <c:pt idx="377">
                  <c:v>42866</c:v>
                </c:pt>
                <c:pt idx="378">
                  <c:v>42867</c:v>
                </c:pt>
                <c:pt idx="379">
                  <c:v>42870</c:v>
                </c:pt>
                <c:pt idx="380">
                  <c:v>42871</c:v>
                </c:pt>
                <c:pt idx="381">
                  <c:v>42872</c:v>
                </c:pt>
                <c:pt idx="382">
                  <c:v>42873</c:v>
                </c:pt>
                <c:pt idx="383">
                  <c:v>42874</c:v>
                </c:pt>
                <c:pt idx="384">
                  <c:v>42877</c:v>
                </c:pt>
                <c:pt idx="385">
                  <c:v>42878</c:v>
                </c:pt>
                <c:pt idx="386">
                  <c:v>42879</c:v>
                </c:pt>
                <c:pt idx="387">
                  <c:v>42880</c:v>
                </c:pt>
                <c:pt idx="388">
                  <c:v>42881</c:v>
                </c:pt>
                <c:pt idx="389">
                  <c:v>42885</c:v>
                </c:pt>
                <c:pt idx="390">
                  <c:v>42886</c:v>
                </c:pt>
                <c:pt idx="391">
                  <c:v>42887</c:v>
                </c:pt>
                <c:pt idx="392">
                  <c:v>42888</c:v>
                </c:pt>
                <c:pt idx="393">
                  <c:v>42891</c:v>
                </c:pt>
                <c:pt idx="394">
                  <c:v>42892</c:v>
                </c:pt>
                <c:pt idx="395">
                  <c:v>42893</c:v>
                </c:pt>
                <c:pt idx="396">
                  <c:v>42894</c:v>
                </c:pt>
                <c:pt idx="397">
                  <c:v>42895</c:v>
                </c:pt>
                <c:pt idx="398">
                  <c:v>42898</c:v>
                </c:pt>
                <c:pt idx="399">
                  <c:v>42899</c:v>
                </c:pt>
                <c:pt idx="400">
                  <c:v>42900</c:v>
                </c:pt>
                <c:pt idx="401">
                  <c:v>42901</c:v>
                </c:pt>
                <c:pt idx="402">
                  <c:v>42902</c:v>
                </c:pt>
                <c:pt idx="403">
                  <c:v>42905</c:v>
                </c:pt>
                <c:pt idx="404">
                  <c:v>42906</c:v>
                </c:pt>
                <c:pt idx="405">
                  <c:v>42907</c:v>
                </c:pt>
                <c:pt idx="406">
                  <c:v>42908</c:v>
                </c:pt>
                <c:pt idx="407">
                  <c:v>42909</c:v>
                </c:pt>
                <c:pt idx="408">
                  <c:v>42912</c:v>
                </c:pt>
                <c:pt idx="409">
                  <c:v>42913</c:v>
                </c:pt>
                <c:pt idx="410">
                  <c:v>42914</c:v>
                </c:pt>
                <c:pt idx="411">
                  <c:v>42915</c:v>
                </c:pt>
                <c:pt idx="412">
                  <c:v>42916</c:v>
                </c:pt>
                <c:pt idx="413">
                  <c:v>42919</c:v>
                </c:pt>
                <c:pt idx="414">
                  <c:v>42921</c:v>
                </c:pt>
                <c:pt idx="415">
                  <c:v>42922</c:v>
                </c:pt>
                <c:pt idx="416">
                  <c:v>42923</c:v>
                </c:pt>
                <c:pt idx="417">
                  <c:v>42926</c:v>
                </c:pt>
                <c:pt idx="418">
                  <c:v>42927</c:v>
                </c:pt>
                <c:pt idx="419">
                  <c:v>42928</c:v>
                </c:pt>
                <c:pt idx="420">
                  <c:v>42929</c:v>
                </c:pt>
                <c:pt idx="421">
                  <c:v>42930</c:v>
                </c:pt>
                <c:pt idx="422">
                  <c:v>42933</c:v>
                </c:pt>
                <c:pt idx="423">
                  <c:v>42934</c:v>
                </c:pt>
                <c:pt idx="424">
                  <c:v>42935</c:v>
                </c:pt>
                <c:pt idx="425">
                  <c:v>42936</c:v>
                </c:pt>
                <c:pt idx="426">
                  <c:v>42937</c:v>
                </c:pt>
                <c:pt idx="427">
                  <c:v>42940</c:v>
                </c:pt>
                <c:pt idx="428">
                  <c:v>42941</c:v>
                </c:pt>
                <c:pt idx="429">
                  <c:v>42942</c:v>
                </c:pt>
                <c:pt idx="430">
                  <c:v>42943</c:v>
                </c:pt>
                <c:pt idx="431">
                  <c:v>42944</c:v>
                </c:pt>
                <c:pt idx="432">
                  <c:v>42947</c:v>
                </c:pt>
                <c:pt idx="433">
                  <c:v>42948</c:v>
                </c:pt>
                <c:pt idx="434">
                  <c:v>42949</c:v>
                </c:pt>
                <c:pt idx="435">
                  <c:v>42950</c:v>
                </c:pt>
                <c:pt idx="436">
                  <c:v>42951</c:v>
                </c:pt>
                <c:pt idx="437">
                  <c:v>42954</c:v>
                </c:pt>
                <c:pt idx="438">
                  <c:v>42955</c:v>
                </c:pt>
                <c:pt idx="439">
                  <c:v>42956</c:v>
                </c:pt>
                <c:pt idx="440">
                  <c:v>42957</c:v>
                </c:pt>
                <c:pt idx="441">
                  <c:v>42958</c:v>
                </c:pt>
                <c:pt idx="442">
                  <c:v>42961</c:v>
                </c:pt>
                <c:pt idx="443">
                  <c:v>42962</c:v>
                </c:pt>
                <c:pt idx="444">
                  <c:v>42963</c:v>
                </c:pt>
                <c:pt idx="445">
                  <c:v>42964</c:v>
                </c:pt>
                <c:pt idx="446">
                  <c:v>42965</c:v>
                </c:pt>
                <c:pt idx="447">
                  <c:v>42968</c:v>
                </c:pt>
                <c:pt idx="448">
                  <c:v>42969</c:v>
                </c:pt>
                <c:pt idx="449">
                  <c:v>42970</c:v>
                </c:pt>
                <c:pt idx="450">
                  <c:v>42971</c:v>
                </c:pt>
                <c:pt idx="451">
                  <c:v>42972</c:v>
                </c:pt>
                <c:pt idx="452">
                  <c:v>42975</c:v>
                </c:pt>
                <c:pt idx="453">
                  <c:v>42976</c:v>
                </c:pt>
                <c:pt idx="454">
                  <c:v>42977</c:v>
                </c:pt>
                <c:pt idx="455">
                  <c:v>42978</c:v>
                </c:pt>
                <c:pt idx="456">
                  <c:v>42979</c:v>
                </c:pt>
                <c:pt idx="457">
                  <c:v>42983</c:v>
                </c:pt>
                <c:pt idx="458">
                  <c:v>42984</c:v>
                </c:pt>
                <c:pt idx="459">
                  <c:v>42985</c:v>
                </c:pt>
                <c:pt idx="460">
                  <c:v>42986</c:v>
                </c:pt>
                <c:pt idx="461">
                  <c:v>42989</c:v>
                </c:pt>
                <c:pt idx="462">
                  <c:v>42990</c:v>
                </c:pt>
                <c:pt idx="463">
                  <c:v>42991</c:v>
                </c:pt>
                <c:pt idx="464">
                  <c:v>42992</c:v>
                </c:pt>
                <c:pt idx="465">
                  <c:v>42993</c:v>
                </c:pt>
                <c:pt idx="466">
                  <c:v>42996</c:v>
                </c:pt>
                <c:pt idx="467">
                  <c:v>42997</c:v>
                </c:pt>
                <c:pt idx="468">
                  <c:v>42998</c:v>
                </c:pt>
                <c:pt idx="469">
                  <c:v>42999</c:v>
                </c:pt>
                <c:pt idx="470">
                  <c:v>43000</c:v>
                </c:pt>
                <c:pt idx="471">
                  <c:v>43003</c:v>
                </c:pt>
                <c:pt idx="472">
                  <c:v>43004</c:v>
                </c:pt>
                <c:pt idx="473">
                  <c:v>43005</c:v>
                </c:pt>
                <c:pt idx="474">
                  <c:v>43006</c:v>
                </c:pt>
                <c:pt idx="475">
                  <c:v>43007</c:v>
                </c:pt>
                <c:pt idx="476">
                  <c:v>43010</c:v>
                </c:pt>
                <c:pt idx="477">
                  <c:v>43011</c:v>
                </c:pt>
                <c:pt idx="478">
                  <c:v>43012</c:v>
                </c:pt>
                <c:pt idx="479">
                  <c:v>43013</c:v>
                </c:pt>
                <c:pt idx="480">
                  <c:v>43014</c:v>
                </c:pt>
                <c:pt idx="481">
                  <c:v>43017</c:v>
                </c:pt>
                <c:pt idx="482">
                  <c:v>43018</c:v>
                </c:pt>
                <c:pt idx="483">
                  <c:v>43019</c:v>
                </c:pt>
                <c:pt idx="484">
                  <c:v>43020</c:v>
                </c:pt>
                <c:pt idx="485">
                  <c:v>43021</c:v>
                </c:pt>
                <c:pt idx="486">
                  <c:v>43024</c:v>
                </c:pt>
                <c:pt idx="487">
                  <c:v>43025</c:v>
                </c:pt>
                <c:pt idx="488">
                  <c:v>43026</c:v>
                </c:pt>
                <c:pt idx="489">
                  <c:v>43027</c:v>
                </c:pt>
                <c:pt idx="490">
                  <c:v>43028</c:v>
                </c:pt>
                <c:pt idx="491">
                  <c:v>43031</c:v>
                </c:pt>
                <c:pt idx="492">
                  <c:v>43032</c:v>
                </c:pt>
                <c:pt idx="493">
                  <c:v>43033</c:v>
                </c:pt>
                <c:pt idx="494">
                  <c:v>43034</c:v>
                </c:pt>
                <c:pt idx="495">
                  <c:v>43035</c:v>
                </c:pt>
                <c:pt idx="496">
                  <c:v>43038</c:v>
                </c:pt>
                <c:pt idx="497">
                  <c:v>43039</c:v>
                </c:pt>
                <c:pt idx="498">
                  <c:v>43040</c:v>
                </c:pt>
                <c:pt idx="499">
                  <c:v>43041</c:v>
                </c:pt>
                <c:pt idx="500">
                  <c:v>43042</c:v>
                </c:pt>
                <c:pt idx="501">
                  <c:v>43045</c:v>
                </c:pt>
                <c:pt idx="502">
                  <c:v>43046</c:v>
                </c:pt>
                <c:pt idx="503">
                  <c:v>43047</c:v>
                </c:pt>
                <c:pt idx="504">
                  <c:v>43048</c:v>
                </c:pt>
                <c:pt idx="505">
                  <c:v>43049</c:v>
                </c:pt>
                <c:pt idx="506">
                  <c:v>43052</c:v>
                </c:pt>
                <c:pt idx="507">
                  <c:v>43053</c:v>
                </c:pt>
                <c:pt idx="508">
                  <c:v>43054</c:v>
                </c:pt>
                <c:pt idx="509">
                  <c:v>43055</c:v>
                </c:pt>
                <c:pt idx="510">
                  <c:v>43056</c:v>
                </c:pt>
                <c:pt idx="511">
                  <c:v>43059</c:v>
                </c:pt>
                <c:pt idx="512">
                  <c:v>43060</c:v>
                </c:pt>
                <c:pt idx="513">
                  <c:v>43061</c:v>
                </c:pt>
                <c:pt idx="514">
                  <c:v>43063</c:v>
                </c:pt>
                <c:pt idx="515">
                  <c:v>43066</c:v>
                </c:pt>
                <c:pt idx="516">
                  <c:v>43067</c:v>
                </c:pt>
                <c:pt idx="517">
                  <c:v>43068</c:v>
                </c:pt>
                <c:pt idx="518">
                  <c:v>43069</c:v>
                </c:pt>
                <c:pt idx="519">
                  <c:v>43070</c:v>
                </c:pt>
                <c:pt idx="520">
                  <c:v>43073</c:v>
                </c:pt>
                <c:pt idx="521">
                  <c:v>43074</c:v>
                </c:pt>
                <c:pt idx="522">
                  <c:v>43075</c:v>
                </c:pt>
                <c:pt idx="523">
                  <c:v>43076</c:v>
                </c:pt>
                <c:pt idx="524">
                  <c:v>43077</c:v>
                </c:pt>
                <c:pt idx="525">
                  <c:v>43080</c:v>
                </c:pt>
                <c:pt idx="526">
                  <c:v>43081</c:v>
                </c:pt>
                <c:pt idx="527">
                  <c:v>43082</c:v>
                </c:pt>
                <c:pt idx="528">
                  <c:v>43083</c:v>
                </c:pt>
                <c:pt idx="529">
                  <c:v>43084</c:v>
                </c:pt>
                <c:pt idx="530">
                  <c:v>43087</c:v>
                </c:pt>
                <c:pt idx="531">
                  <c:v>43088</c:v>
                </c:pt>
                <c:pt idx="532">
                  <c:v>43089</c:v>
                </c:pt>
                <c:pt idx="533">
                  <c:v>43090</c:v>
                </c:pt>
                <c:pt idx="534">
                  <c:v>43091</c:v>
                </c:pt>
                <c:pt idx="535">
                  <c:v>43095</c:v>
                </c:pt>
                <c:pt idx="536">
                  <c:v>43096</c:v>
                </c:pt>
                <c:pt idx="537">
                  <c:v>43097</c:v>
                </c:pt>
                <c:pt idx="538">
                  <c:v>43098</c:v>
                </c:pt>
                <c:pt idx="539">
                  <c:v>43102</c:v>
                </c:pt>
                <c:pt idx="540">
                  <c:v>43103</c:v>
                </c:pt>
                <c:pt idx="541">
                  <c:v>43104</c:v>
                </c:pt>
                <c:pt idx="542">
                  <c:v>43105</c:v>
                </c:pt>
                <c:pt idx="543">
                  <c:v>43108</c:v>
                </c:pt>
                <c:pt idx="544">
                  <c:v>43109</c:v>
                </c:pt>
                <c:pt idx="545">
                  <c:v>43110</c:v>
                </c:pt>
                <c:pt idx="546">
                  <c:v>43111</c:v>
                </c:pt>
                <c:pt idx="547">
                  <c:v>43112</c:v>
                </c:pt>
                <c:pt idx="548">
                  <c:v>43116</c:v>
                </c:pt>
                <c:pt idx="549">
                  <c:v>43117</c:v>
                </c:pt>
                <c:pt idx="550">
                  <c:v>43118</c:v>
                </c:pt>
                <c:pt idx="551">
                  <c:v>43119</c:v>
                </c:pt>
                <c:pt idx="552">
                  <c:v>43122</c:v>
                </c:pt>
                <c:pt idx="553">
                  <c:v>43123</c:v>
                </c:pt>
                <c:pt idx="554">
                  <c:v>43124</c:v>
                </c:pt>
                <c:pt idx="555">
                  <c:v>43125</c:v>
                </c:pt>
                <c:pt idx="556">
                  <c:v>43126</c:v>
                </c:pt>
                <c:pt idx="557">
                  <c:v>43129</c:v>
                </c:pt>
                <c:pt idx="558">
                  <c:v>43130</c:v>
                </c:pt>
                <c:pt idx="559">
                  <c:v>43131</c:v>
                </c:pt>
                <c:pt idx="560">
                  <c:v>43132</c:v>
                </c:pt>
                <c:pt idx="561">
                  <c:v>43133</c:v>
                </c:pt>
                <c:pt idx="562">
                  <c:v>43136</c:v>
                </c:pt>
                <c:pt idx="563">
                  <c:v>43137</c:v>
                </c:pt>
                <c:pt idx="564">
                  <c:v>43138</c:v>
                </c:pt>
                <c:pt idx="565">
                  <c:v>43139</c:v>
                </c:pt>
                <c:pt idx="566">
                  <c:v>43140</c:v>
                </c:pt>
                <c:pt idx="567">
                  <c:v>43143</c:v>
                </c:pt>
                <c:pt idx="568">
                  <c:v>43144</c:v>
                </c:pt>
                <c:pt idx="569">
                  <c:v>43145</c:v>
                </c:pt>
                <c:pt idx="570">
                  <c:v>43146</c:v>
                </c:pt>
                <c:pt idx="571">
                  <c:v>43147</c:v>
                </c:pt>
                <c:pt idx="572">
                  <c:v>43151</c:v>
                </c:pt>
                <c:pt idx="573">
                  <c:v>43152</c:v>
                </c:pt>
                <c:pt idx="574">
                  <c:v>43153</c:v>
                </c:pt>
                <c:pt idx="575">
                  <c:v>43154</c:v>
                </c:pt>
                <c:pt idx="576">
                  <c:v>43157</c:v>
                </c:pt>
                <c:pt idx="577">
                  <c:v>43158</c:v>
                </c:pt>
                <c:pt idx="578">
                  <c:v>43159</c:v>
                </c:pt>
                <c:pt idx="579">
                  <c:v>43160</c:v>
                </c:pt>
                <c:pt idx="580">
                  <c:v>43161</c:v>
                </c:pt>
                <c:pt idx="581">
                  <c:v>43164</c:v>
                </c:pt>
                <c:pt idx="582">
                  <c:v>43165</c:v>
                </c:pt>
                <c:pt idx="583">
                  <c:v>43166</c:v>
                </c:pt>
                <c:pt idx="584">
                  <c:v>43167</c:v>
                </c:pt>
                <c:pt idx="585">
                  <c:v>43168</c:v>
                </c:pt>
                <c:pt idx="586">
                  <c:v>43171</c:v>
                </c:pt>
                <c:pt idx="587">
                  <c:v>43172</c:v>
                </c:pt>
                <c:pt idx="588">
                  <c:v>43173</c:v>
                </c:pt>
                <c:pt idx="589">
                  <c:v>43174</c:v>
                </c:pt>
                <c:pt idx="590">
                  <c:v>43175</c:v>
                </c:pt>
                <c:pt idx="591">
                  <c:v>43178</c:v>
                </c:pt>
                <c:pt idx="592">
                  <c:v>43179</c:v>
                </c:pt>
                <c:pt idx="593">
                  <c:v>43180</c:v>
                </c:pt>
                <c:pt idx="594">
                  <c:v>43181</c:v>
                </c:pt>
                <c:pt idx="595">
                  <c:v>43182</c:v>
                </c:pt>
                <c:pt idx="596">
                  <c:v>43185</c:v>
                </c:pt>
                <c:pt idx="597">
                  <c:v>43186</c:v>
                </c:pt>
                <c:pt idx="598">
                  <c:v>43187</c:v>
                </c:pt>
                <c:pt idx="599">
                  <c:v>43188</c:v>
                </c:pt>
                <c:pt idx="600">
                  <c:v>43192</c:v>
                </c:pt>
                <c:pt idx="601">
                  <c:v>43193</c:v>
                </c:pt>
                <c:pt idx="602">
                  <c:v>43194</c:v>
                </c:pt>
                <c:pt idx="603">
                  <c:v>43195</c:v>
                </c:pt>
                <c:pt idx="604">
                  <c:v>43196</c:v>
                </c:pt>
                <c:pt idx="605">
                  <c:v>43199</c:v>
                </c:pt>
                <c:pt idx="606">
                  <c:v>43200</c:v>
                </c:pt>
                <c:pt idx="607">
                  <c:v>43201</c:v>
                </c:pt>
                <c:pt idx="608">
                  <c:v>43202</c:v>
                </c:pt>
                <c:pt idx="609">
                  <c:v>43203</c:v>
                </c:pt>
                <c:pt idx="610">
                  <c:v>43206</c:v>
                </c:pt>
                <c:pt idx="611">
                  <c:v>43207</c:v>
                </c:pt>
                <c:pt idx="612">
                  <c:v>43208</c:v>
                </c:pt>
                <c:pt idx="613">
                  <c:v>43209</c:v>
                </c:pt>
                <c:pt idx="614">
                  <c:v>43210</c:v>
                </c:pt>
                <c:pt idx="615">
                  <c:v>43213</c:v>
                </c:pt>
                <c:pt idx="616">
                  <c:v>43214</c:v>
                </c:pt>
                <c:pt idx="617">
                  <c:v>43215</c:v>
                </c:pt>
                <c:pt idx="618">
                  <c:v>43216</c:v>
                </c:pt>
                <c:pt idx="619">
                  <c:v>43217</c:v>
                </c:pt>
                <c:pt idx="620">
                  <c:v>43220</c:v>
                </c:pt>
                <c:pt idx="621">
                  <c:v>43221</c:v>
                </c:pt>
                <c:pt idx="622">
                  <c:v>43222</c:v>
                </c:pt>
                <c:pt idx="623">
                  <c:v>43223</c:v>
                </c:pt>
                <c:pt idx="624">
                  <c:v>43224</c:v>
                </c:pt>
                <c:pt idx="625">
                  <c:v>43227</c:v>
                </c:pt>
                <c:pt idx="626">
                  <c:v>43228</c:v>
                </c:pt>
                <c:pt idx="627">
                  <c:v>43229</c:v>
                </c:pt>
                <c:pt idx="628">
                  <c:v>43230</c:v>
                </c:pt>
                <c:pt idx="629">
                  <c:v>43231</c:v>
                </c:pt>
                <c:pt idx="630">
                  <c:v>43234</c:v>
                </c:pt>
                <c:pt idx="631">
                  <c:v>43235</c:v>
                </c:pt>
                <c:pt idx="632">
                  <c:v>43236</c:v>
                </c:pt>
                <c:pt idx="633">
                  <c:v>43237</c:v>
                </c:pt>
                <c:pt idx="634">
                  <c:v>43238</c:v>
                </c:pt>
                <c:pt idx="635">
                  <c:v>43241</c:v>
                </c:pt>
                <c:pt idx="636">
                  <c:v>43242</c:v>
                </c:pt>
                <c:pt idx="637">
                  <c:v>43243</c:v>
                </c:pt>
                <c:pt idx="638">
                  <c:v>43244</c:v>
                </c:pt>
                <c:pt idx="639">
                  <c:v>43245</c:v>
                </c:pt>
                <c:pt idx="640">
                  <c:v>43249</c:v>
                </c:pt>
                <c:pt idx="641">
                  <c:v>43250</c:v>
                </c:pt>
                <c:pt idx="642">
                  <c:v>43251</c:v>
                </c:pt>
                <c:pt idx="643">
                  <c:v>43252</c:v>
                </c:pt>
                <c:pt idx="644">
                  <c:v>43255</c:v>
                </c:pt>
                <c:pt idx="645">
                  <c:v>43256</c:v>
                </c:pt>
                <c:pt idx="646">
                  <c:v>43257</c:v>
                </c:pt>
                <c:pt idx="647">
                  <c:v>43258</c:v>
                </c:pt>
                <c:pt idx="648">
                  <c:v>43259</c:v>
                </c:pt>
                <c:pt idx="649">
                  <c:v>43262</c:v>
                </c:pt>
                <c:pt idx="650">
                  <c:v>43263</c:v>
                </c:pt>
                <c:pt idx="651">
                  <c:v>43264</c:v>
                </c:pt>
                <c:pt idx="652">
                  <c:v>43265</c:v>
                </c:pt>
                <c:pt idx="653">
                  <c:v>43266</c:v>
                </c:pt>
                <c:pt idx="654">
                  <c:v>43269</c:v>
                </c:pt>
                <c:pt idx="655">
                  <c:v>43270</c:v>
                </c:pt>
                <c:pt idx="656">
                  <c:v>43271</c:v>
                </c:pt>
                <c:pt idx="657">
                  <c:v>43272</c:v>
                </c:pt>
                <c:pt idx="658">
                  <c:v>43273</c:v>
                </c:pt>
                <c:pt idx="659">
                  <c:v>43276</c:v>
                </c:pt>
                <c:pt idx="660">
                  <c:v>43277</c:v>
                </c:pt>
                <c:pt idx="661">
                  <c:v>43278</c:v>
                </c:pt>
                <c:pt idx="662">
                  <c:v>43279</c:v>
                </c:pt>
                <c:pt idx="663">
                  <c:v>43280</c:v>
                </c:pt>
                <c:pt idx="664">
                  <c:v>43283</c:v>
                </c:pt>
                <c:pt idx="665">
                  <c:v>43284</c:v>
                </c:pt>
                <c:pt idx="666">
                  <c:v>43286</c:v>
                </c:pt>
                <c:pt idx="667">
                  <c:v>43287</c:v>
                </c:pt>
                <c:pt idx="668">
                  <c:v>43290</c:v>
                </c:pt>
                <c:pt idx="669">
                  <c:v>43291</c:v>
                </c:pt>
                <c:pt idx="670">
                  <c:v>43292</c:v>
                </c:pt>
                <c:pt idx="671">
                  <c:v>43293</c:v>
                </c:pt>
                <c:pt idx="672">
                  <c:v>43294</c:v>
                </c:pt>
                <c:pt idx="673">
                  <c:v>43297</c:v>
                </c:pt>
                <c:pt idx="674">
                  <c:v>43298</c:v>
                </c:pt>
                <c:pt idx="675">
                  <c:v>43299</c:v>
                </c:pt>
                <c:pt idx="676">
                  <c:v>43300</c:v>
                </c:pt>
                <c:pt idx="677">
                  <c:v>43301</c:v>
                </c:pt>
                <c:pt idx="678">
                  <c:v>43304</c:v>
                </c:pt>
                <c:pt idx="679">
                  <c:v>43305</c:v>
                </c:pt>
                <c:pt idx="680">
                  <c:v>43306</c:v>
                </c:pt>
                <c:pt idx="681">
                  <c:v>43307</c:v>
                </c:pt>
                <c:pt idx="682">
                  <c:v>43308</c:v>
                </c:pt>
                <c:pt idx="683">
                  <c:v>43311</c:v>
                </c:pt>
                <c:pt idx="684">
                  <c:v>43312</c:v>
                </c:pt>
                <c:pt idx="685">
                  <c:v>43313</c:v>
                </c:pt>
                <c:pt idx="686">
                  <c:v>43314</c:v>
                </c:pt>
                <c:pt idx="687">
                  <c:v>43315</c:v>
                </c:pt>
                <c:pt idx="688">
                  <c:v>43318</c:v>
                </c:pt>
                <c:pt idx="689">
                  <c:v>43319</c:v>
                </c:pt>
                <c:pt idx="690">
                  <c:v>43320</c:v>
                </c:pt>
                <c:pt idx="691">
                  <c:v>43321</c:v>
                </c:pt>
                <c:pt idx="692">
                  <c:v>43322</c:v>
                </c:pt>
                <c:pt idx="693">
                  <c:v>43325</c:v>
                </c:pt>
                <c:pt idx="694">
                  <c:v>43326</c:v>
                </c:pt>
                <c:pt idx="695">
                  <c:v>43327</c:v>
                </c:pt>
                <c:pt idx="696">
                  <c:v>43328</c:v>
                </c:pt>
                <c:pt idx="697">
                  <c:v>43329</c:v>
                </c:pt>
                <c:pt idx="698">
                  <c:v>43332</c:v>
                </c:pt>
                <c:pt idx="699">
                  <c:v>43333</c:v>
                </c:pt>
                <c:pt idx="700">
                  <c:v>43334</c:v>
                </c:pt>
                <c:pt idx="701">
                  <c:v>43335</c:v>
                </c:pt>
                <c:pt idx="702">
                  <c:v>43336</c:v>
                </c:pt>
                <c:pt idx="703">
                  <c:v>43339</c:v>
                </c:pt>
                <c:pt idx="704">
                  <c:v>43340</c:v>
                </c:pt>
                <c:pt idx="705">
                  <c:v>43341</c:v>
                </c:pt>
                <c:pt idx="706">
                  <c:v>43342</c:v>
                </c:pt>
                <c:pt idx="707">
                  <c:v>43343</c:v>
                </c:pt>
                <c:pt idx="708">
                  <c:v>43347</c:v>
                </c:pt>
                <c:pt idx="709">
                  <c:v>43348</c:v>
                </c:pt>
                <c:pt idx="710">
                  <c:v>43349</c:v>
                </c:pt>
                <c:pt idx="711">
                  <c:v>43350</c:v>
                </c:pt>
                <c:pt idx="712">
                  <c:v>43353</c:v>
                </c:pt>
                <c:pt idx="713">
                  <c:v>43354</c:v>
                </c:pt>
                <c:pt idx="714">
                  <c:v>43355</c:v>
                </c:pt>
                <c:pt idx="715">
                  <c:v>43356</c:v>
                </c:pt>
                <c:pt idx="716">
                  <c:v>43357</c:v>
                </c:pt>
                <c:pt idx="717">
                  <c:v>43360</c:v>
                </c:pt>
                <c:pt idx="718">
                  <c:v>43361</c:v>
                </c:pt>
                <c:pt idx="719">
                  <c:v>43362</c:v>
                </c:pt>
                <c:pt idx="720">
                  <c:v>43363</c:v>
                </c:pt>
                <c:pt idx="721">
                  <c:v>43364</c:v>
                </c:pt>
                <c:pt idx="722">
                  <c:v>43367</c:v>
                </c:pt>
                <c:pt idx="723">
                  <c:v>43368</c:v>
                </c:pt>
                <c:pt idx="724">
                  <c:v>43369</c:v>
                </c:pt>
                <c:pt idx="725">
                  <c:v>43370</c:v>
                </c:pt>
                <c:pt idx="726">
                  <c:v>43371</c:v>
                </c:pt>
                <c:pt idx="727">
                  <c:v>43374</c:v>
                </c:pt>
                <c:pt idx="728">
                  <c:v>43375</c:v>
                </c:pt>
                <c:pt idx="729">
                  <c:v>43376</c:v>
                </c:pt>
                <c:pt idx="730">
                  <c:v>43377</c:v>
                </c:pt>
                <c:pt idx="731">
                  <c:v>43378</c:v>
                </c:pt>
                <c:pt idx="732">
                  <c:v>43381</c:v>
                </c:pt>
                <c:pt idx="733">
                  <c:v>43382</c:v>
                </c:pt>
                <c:pt idx="734">
                  <c:v>43383</c:v>
                </c:pt>
                <c:pt idx="735">
                  <c:v>43384</c:v>
                </c:pt>
                <c:pt idx="736">
                  <c:v>43385</c:v>
                </c:pt>
                <c:pt idx="737">
                  <c:v>43388</c:v>
                </c:pt>
              </c:numCache>
            </c:numRef>
          </c:xVal>
          <c:yVal>
            <c:numRef>
              <c:f>'tesla-stock-price (3)'!$C$22:$C$759</c:f>
              <c:numCache>
                <c:formatCode>General</c:formatCode>
                <c:ptCount val="738"/>
                <c:pt idx="0">
                  <c:v>9.5699999999999932</c:v>
                </c:pt>
                <c:pt idx="1">
                  <c:v>5.2900000000000205</c:v>
                </c:pt>
                <c:pt idx="2">
                  <c:v>4.5900000000000034</c:v>
                </c:pt>
                <c:pt idx="3">
                  <c:v>-24.439999999999998</c:v>
                </c:pt>
                <c:pt idx="4">
                  <c:v>-17.460000000000008</c:v>
                </c:pt>
                <c:pt idx="5">
                  <c:v>-18.360000000000014</c:v>
                </c:pt>
                <c:pt idx="6">
                  <c:v>-4.2600000000000193</c:v>
                </c:pt>
                <c:pt idx="7">
                  <c:v>5.3000000000000114</c:v>
                </c:pt>
                <c:pt idx="8">
                  <c:v>0.9299999999999784</c:v>
                </c:pt>
                <c:pt idx="9">
                  <c:v>4.8100000000000023</c:v>
                </c:pt>
                <c:pt idx="10">
                  <c:v>11.060000000000002</c:v>
                </c:pt>
                <c:pt idx="11">
                  <c:v>15.329999999999984</c:v>
                </c:pt>
                <c:pt idx="12">
                  <c:v>17.610000000000014</c:v>
                </c:pt>
                <c:pt idx="13">
                  <c:v>9.1899999999999977</c:v>
                </c:pt>
                <c:pt idx="14">
                  <c:v>15.389999999999986</c:v>
                </c:pt>
                <c:pt idx="15">
                  <c:v>11.980000000000018</c:v>
                </c:pt>
                <c:pt idx="16">
                  <c:v>14.960000000000008</c:v>
                </c:pt>
                <c:pt idx="17">
                  <c:v>12.129999999999995</c:v>
                </c:pt>
                <c:pt idx="18">
                  <c:v>1.4900000000000091</c:v>
                </c:pt>
                <c:pt idx="19">
                  <c:v>-4.8900000000000148</c:v>
                </c:pt>
                <c:pt idx="20">
                  <c:v>-5.7399999999999807</c:v>
                </c:pt>
                <c:pt idx="21">
                  <c:v>-10.120000000000005</c:v>
                </c:pt>
                <c:pt idx="22">
                  <c:v>-14.969999999999999</c:v>
                </c:pt>
                <c:pt idx="23">
                  <c:v>-14.129999999999995</c:v>
                </c:pt>
                <c:pt idx="24">
                  <c:v>-9.289999999999992</c:v>
                </c:pt>
                <c:pt idx="25">
                  <c:v>3.3799999999999955</c:v>
                </c:pt>
                <c:pt idx="26">
                  <c:v>6.6699999999999875</c:v>
                </c:pt>
                <c:pt idx="27">
                  <c:v>5.9399999999999977</c:v>
                </c:pt>
                <c:pt idx="28">
                  <c:v>5.4900000000000091</c:v>
                </c:pt>
                <c:pt idx="29">
                  <c:v>12.929999999999978</c:v>
                </c:pt>
                <c:pt idx="30">
                  <c:v>11.119999999999976</c:v>
                </c:pt>
                <c:pt idx="31">
                  <c:v>9.4799999999999898</c:v>
                </c:pt>
                <c:pt idx="32">
                  <c:v>-5.5600000000000023</c:v>
                </c:pt>
                <c:pt idx="33">
                  <c:v>3.8000000000000114</c:v>
                </c:pt>
                <c:pt idx="34">
                  <c:v>7.6299999999999955</c:v>
                </c:pt>
                <c:pt idx="35">
                  <c:v>7.4499999999999886</c:v>
                </c:pt>
                <c:pt idx="36">
                  <c:v>-6.539999999999992</c:v>
                </c:pt>
                <c:pt idx="37">
                  <c:v>-6.2699999999999818</c:v>
                </c:pt>
                <c:pt idx="38">
                  <c:v>-11.530000000000001</c:v>
                </c:pt>
                <c:pt idx="39">
                  <c:v>-13.299999999999983</c:v>
                </c:pt>
                <c:pt idx="40">
                  <c:v>-26.189999999999998</c:v>
                </c:pt>
                <c:pt idx="41">
                  <c:v>-30.240000000000009</c:v>
                </c:pt>
                <c:pt idx="42">
                  <c:v>-30.039999999999992</c:v>
                </c:pt>
                <c:pt idx="43">
                  <c:v>-23.099999999999994</c:v>
                </c:pt>
                <c:pt idx="44">
                  <c:v>-17.25</c:v>
                </c:pt>
                <c:pt idx="45">
                  <c:v>-14.049999999999983</c:v>
                </c:pt>
                <c:pt idx="46">
                  <c:v>-10.930000000000007</c:v>
                </c:pt>
                <c:pt idx="47">
                  <c:v>-12.300000000000011</c:v>
                </c:pt>
                <c:pt idx="48">
                  <c:v>-7.8799999999999955</c:v>
                </c:pt>
                <c:pt idx="49">
                  <c:v>-7.4199999999999875</c:v>
                </c:pt>
                <c:pt idx="50">
                  <c:v>-3.9300000000000068</c:v>
                </c:pt>
                <c:pt idx="51">
                  <c:v>-12.620000000000005</c:v>
                </c:pt>
                <c:pt idx="52">
                  <c:v>-16.920000000000016</c:v>
                </c:pt>
                <c:pt idx="53">
                  <c:v>-15.02000000000001</c:v>
                </c:pt>
                <c:pt idx="54">
                  <c:v>-7.5</c:v>
                </c:pt>
                <c:pt idx="55">
                  <c:v>-3.0300000000000011</c:v>
                </c:pt>
                <c:pt idx="56">
                  <c:v>-19.77000000000001</c:v>
                </c:pt>
                <c:pt idx="57">
                  <c:v>-22.900000000000006</c:v>
                </c:pt>
                <c:pt idx="58">
                  <c:v>-18.22999999999999</c:v>
                </c:pt>
                <c:pt idx="59">
                  <c:v>-25.47</c:v>
                </c:pt>
                <c:pt idx="60">
                  <c:v>-41.70999999999998</c:v>
                </c:pt>
                <c:pt idx="61">
                  <c:v>-42.949999999999989</c:v>
                </c:pt>
                <c:pt idx="62">
                  <c:v>-53.27000000000001</c:v>
                </c:pt>
                <c:pt idx="63">
                  <c:v>-32.31</c:v>
                </c:pt>
                <c:pt idx="64">
                  <c:v>-22.439999999999998</c:v>
                </c:pt>
                <c:pt idx="65">
                  <c:v>-20.160000000000025</c:v>
                </c:pt>
                <c:pt idx="66">
                  <c:v>6.0800000000000125</c:v>
                </c:pt>
                <c:pt idx="67">
                  <c:v>18.78</c:v>
                </c:pt>
                <c:pt idx="68">
                  <c:v>18.330000000000013</c:v>
                </c:pt>
                <c:pt idx="69">
                  <c:v>34.070000000000022</c:v>
                </c:pt>
                <c:pt idx="70">
                  <c:v>26.740000000000009</c:v>
                </c:pt>
                <c:pt idx="71">
                  <c:v>27.960000000000008</c:v>
                </c:pt>
                <c:pt idx="72">
                  <c:v>32.260000000000019</c:v>
                </c:pt>
                <c:pt idx="73">
                  <c:v>21.659999999999997</c:v>
                </c:pt>
                <c:pt idx="74">
                  <c:v>25.159999999999997</c:v>
                </c:pt>
                <c:pt idx="75">
                  <c:v>19.769999999999982</c:v>
                </c:pt>
                <c:pt idx="76">
                  <c:v>10.599999999999994</c:v>
                </c:pt>
                <c:pt idx="77">
                  <c:v>18.53</c:v>
                </c:pt>
                <c:pt idx="78">
                  <c:v>22.039999999999992</c:v>
                </c:pt>
                <c:pt idx="79">
                  <c:v>17.859999999999985</c:v>
                </c:pt>
                <c:pt idx="80">
                  <c:v>12.259999999999991</c:v>
                </c:pt>
                <c:pt idx="81">
                  <c:v>16.789999999999992</c:v>
                </c:pt>
                <c:pt idx="82">
                  <c:v>18.830000000000013</c:v>
                </c:pt>
                <c:pt idx="83">
                  <c:v>19.159999999999997</c:v>
                </c:pt>
                <c:pt idx="84">
                  <c:v>19.409999999999997</c:v>
                </c:pt>
                <c:pt idx="85">
                  <c:v>17.300000000000011</c:v>
                </c:pt>
                <c:pt idx="86">
                  <c:v>16.640000000000015</c:v>
                </c:pt>
                <c:pt idx="87">
                  <c:v>23.78</c:v>
                </c:pt>
                <c:pt idx="88">
                  <c:v>24.02000000000001</c:v>
                </c:pt>
                <c:pt idx="89">
                  <c:v>33.139999999999986</c:v>
                </c:pt>
                <c:pt idx="90">
                  <c:v>26.740000000000009</c:v>
                </c:pt>
                <c:pt idx="91">
                  <c:v>7.4300000000000068</c:v>
                </c:pt>
                <c:pt idx="92">
                  <c:v>9.4099999999999966</c:v>
                </c:pt>
                <c:pt idx="93">
                  <c:v>8.3299999999999841</c:v>
                </c:pt>
                <c:pt idx="94">
                  <c:v>3.75</c:v>
                </c:pt>
                <c:pt idx="95">
                  <c:v>-5.8500000000000227</c:v>
                </c:pt>
                <c:pt idx="96">
                  <c:v>-8.5499999999999829</c:v>
                </c:pt>
                <c:pt idx="97">
                  <c:v>3.3499999999999943</c:v>
                </c:pt>
                <c:pt idx="98">
                  <c:v>24.409999999999997</c:v>
                </c:pt>
                <c:pt idx="99">
                  <c:v>27.72</c:v>
                </c:pt>
                <c:pt idx="100">
                  <c:v>35.160000000000025</c:v>
                </c:pt>
                <c:pt idx="101">
                  <c:v>27.069999999999993</c:v>
                </c:pt>
                <c:pt idx="102">
                  <c:v>23.180000000000007</c:v>
                </c:pt>
                <c:pt idx="103">
                  <c:v>20.149999999999977</c:v>
                </c:pt>
                <c:pt idx="104">
                  <c:v>10.22999999999999</c:v>
                </c:pt>
                <c:pt idx="105">
                  <c:v>7.539999999999992</c:v>
                </c:pt>
                <c:pt idx="106">
                  <c:v>-3.6099999999999852</c:v>
                </c:pt>
                <c:pt idx="107">
                  <c:v>-10.910000000000025</c:v>
                </c:pt>
                <c:pt idx="108">
                  <c:v>-3.3199999999999932</c:v>
                </c:pt>
                <c:pt idx="109">
                  <c:v>-2.6999999999999886</c:v>
                </c:pt>
                <c:pt idx="110">
                  <c:v>5.0000000000011369E-2</c:v>
                </c:pt>
                <c:pt idx="111">
                  <c:v>0.46999999999999886</c:v>
                </c:pt>
                <c:pt idx="112">
                  <c:v>-0.78000000000000114</c:v>
                </c:pt>
                <c:pt idx="113">
                  <c:v>-4.0000000000020464E-2</c:v>
                </c:pt>
                <c:pt idx="114">
                  <c:v>-0.76999999999998181</c:v>
                </c:pt>
                <c:pt idx="115">
                  <c:v>-2.4099999999999966</c:v>
                </c:pt>
                <c:pt idx="116">
                  <c:v>0.34000000000000341</c:v>
                </c:pt>
                <c:pt idx="117">
                  <c:v>-9.210000000000008</c:v>
                </c:pt>
                <c:pt idx="118">
                  <c:v>-6.4899999999999807</c:v>
                </c:pt>
                <c:pt idx="119">
                  <c:v>-21.430000000000007</c:v>
                </c:pt>
                <c:pt idx="120">
                  <c:v>-29.259999999999991</c:v>
                </c:pt>
                <c:pt idx="121">
                  <c:v>-42.210000000000008</c:v>
                </c:pt>
                <c:pt idx="122">
                  <c:v>-36.539999999999992</c:v>
                </c:pt>
                <c:pt idx="123">
                  <c:v>-38.79000000000002</c:v>
                </c:pt>
                <c:pt idx="124">
                  <c:v>-32.069999999999993</c:v>
                </c:pt>
                <c:pt idx="125">
                  <c:v>-32.840000000000003</c:v>
                </c:pt>
                <c:pt idx="126">
                  <c:v>-25.039999999999992</c:v>
                </c:pt>
                <c:pt idx="127">
                  <c:v>-14.949999999999989</c:v>
                </c:pt>
                <c:pt idx="128">
                  <c:v>-3.2400000000000091</c:v>
                </c:pt>
                <c:pt idx="129">
                  <c:v>-10.27000000000001</c:v>
                </c:pt>
                <c:pt idx="130">
                  <c:v>2.25</c:v>
                </c:pt>
                <c:pt idx="131">
                  <c:v>6.5200000000000102</c:v>
                </c:pt>
                <c:pt idx="132">
                  <c:v>11.319999999999993</c:v>
                </c:pt>
                <c:pt idx="133">
                  <c:v>8.9399999999999977</c:v>
                </c:pt>
                <c:pt idx="134">
                  <c:v>10.299999999999983</c:v>
                </c:pt>
                <c:pt idx="135">
                  <c:v>11.29000000000002</c:v>
                </c:pt>
                <c:pt idx="136">
                  <c:v>20.460000000000008</c:v>
                </c:pt>
                <c:pt idx="137">
                  <c:v>11.870000000000005</c:v>
                </c:pt>
                <c:pt idx="138">
                  <c:v>8.0199999999999818</c:v>
                </c:pt>
                <c:pt idx="139">
                  <c:v>-0.71999999999999886</c:v>
                </c:pt>
                <c:pt idx="140">
                  <c:v>2.7400000000000091</c:v>
                </c:pt>
                <c:pt idx="141">
                  <c:v>1.0800000000000125</c:v>
                </c:pt>
                <c:pt idx="142">
                  <c:v>1.0999999999999943</c:v>
                </c:pt>
                <c:pt idx="143">
                  <c:v>7.2199999999999989</c:v>
                </c:pt>
                <c:pt idx="144">
                  <c:v>12.480000000000018</c:v>
                </c:pt>
                <c:pt idx="145">
                  <c:v>6.1300000000000239</c:v>
                </c:pt>
                <c:pt idx="146">
                  <c:v>-0.77000000000001023</c:v>
                </c:pt>
                <c:pt idx="147">
                  <c:v>-1.0900000000000034</c:v>
                </c:pt>
                <c:pt idx="148">
                  <c:v>-4.0300000000000011</c:v>
                </c:pt>
                <c:pt idx="149">
                  <c:v>-2.9800000000000182</c:v>
                </c:pt>
                <c:pt idx="150">
                  <c:v>-14.409999999999997</c:v>
                </c:pt>
                <c:pt idx="151">
                  <c:v>-20.050000000000011</c:v>
                </c:pt>
                <c:pt idx="152">
                  <c:v>-9.660000000000025</c:v>
                </c:pt>
                <c:pt idx="153">
                  <c:v>0.8200000000000216</c:v>
                </c:pt>
                <c:pt idx="154">
                  <c:v>-21.210000000000008</c:v>
                </c:pt>
                <c:pt idx="155">
                  <c:v>-18.560000000000002</c:v>
                </c:pt>
                <c:pt idx="156">
                  <c:v>-24.549999999999983</c:v>
                </c:pt>
                <c:pt idx="157">
                  <c:v>-19.379999999999995</c:v>
                </c:pt>
                <c:pt idx="158">
                  <c:v>-13.680000000000007</c:v>
                </c:pt>
                <c:pt idx="159">
                  <c:v>-9.5099999999999909</c:v>
                </c:pt>
                <c:pt idx="160">
                  <c:v>-7.3300000000000125</c:v>
                </c:pt>
                <c:pt idx="161">
                  <c:v>19.840000000000003</c:v>
                </c:pt>
                <c:pt idx="162">
                  <c:v>17.579999999999984</c:v>
                </c:pt>
                <c:pt idx="163">
                  <c:v>21.289999999999992</c:v>
                </c:pt>
                <c:pt idx="164">
                  <c:v>17.389999999999986</c:v>
                </c:pt>
                <c:pt idx="165">
                  <c:v>14.990000000000009</c:v>
                </c:pt>
                <c:pt idx="166">
                  <c:v>14.590000000000003</c:v>
                </c:pt>
                <c:pt idx="167">
                  <c:v>12.370000000000005</c:v>
                </c:pt>
                <c:pt idx="168">
                  <c:v>6.0300000000000011</c:v>
                </c:pt>
                <c:pt idx="169">
                  <c:v>7.5500000000000114</c:v>
                </c:pt>
                <c:pt idx="170">
                  <c:v>5.960000000000008</c:v>
                </c:pt>
                <c:pt idx="171">
                  <c:v>10.310000000000002</c:v>
                </c:pt>
                <c:pt idx="172">
                  <c:v>8.4799999999999898</c:v>
                </c:pt>
                <c:pt idx="173">
                  <c:v>3.5800000000000125</c:v>
                </c:pt>
                <c:pt idx="174">
                  <c:v>-4.1500000000000057</c:v>
                </c:pt>
                <c:pt idx="175">
                  <c:v>-0.25999999999999091</c:v>
                </c:pt>
                <c:pt idx="176">
                  <c:v>8.4799999999999898</c:v>
                </c:pt>
                <c:pt idx="177">
                  <c:v>9.1099999999999852</c:v>
                </c:pt>
                <c:pt idx="178">
                  <c:v>2.2400000000000091</c:v>
                </c:pt>
                <c:pt idx="179">
                  <c:v>5.3500000000000227</c:v>
                </c:pt>
                <c:pt idx="180">
                  <c:v>6.4299999999999784</c:v>
                </c:pt>
                <c:pt idx="181">
                  <c:v>9.5099999999999909</c:v>
                </c:pt>
                <c:pt idx="182">
                  <c:v>4.9299999999999784</c:v>
                </c:pt>
                <c:pt idx="183">
                  <c:v>-4.2199999999999989</c:v>
                </c:pt>
                <c:pt idx="184">
                  <c:v>1.1000000000000227</c:v>
                </c:pt>
                <c:pt idx="185">
                  <c:v>1.539999999999992</c:v>
                </c:pt>
                <c:pt idx="186">
                  <c:v>-4.4500000000000171</c:v>
                </c:pt>
                <c:pt idx="187">
                  <c:v>-5.7099999999999795</c:v>
                </c:pt>
                <c:pt idx="188">
                  <c:v>-4.3599999999999852</c:v>
                </c:pt>
                <c:pt idx="189">
                  <c:v>-2.289999999999992</c:v>
                </c:pt>
                <c:pt idx="190">
                  <c:v>-0.1799999999999784</c:v>
                </c:pt>
                <c:pt idx="191">
                  <c:v>-5.0200000000000102</c:v>
                </c:pt>
                <c:pt idx="192">
                  <c:v>-6.4199999999999875</c:v>
                </c:pt>
                <c:pt idx="193">
                  <c:v>-2.9199999999999875</c:v>
                </c:pt>
                <c:pt idx="194">
                  <c:v>-5.5700000000000216</c:v>
                </c:pt>
                <c:pt idx="195">
                  <c:v>-0.65000000000000568</c:v>
                </c:pt>
                <c:pt idx="196">
                  <c:v>-1.9799999999999898</c:v>
                </c:pt>
                <c:pt idx="197">
                  <c:v>-0.77000000000001023</c:v>
                </c:pt>
                <c:pt idx="198">
                  <c:v>-2.9699999999999989</c:v>
                </c:pt>
                <c:pt idx="199">
                  <c:v>-2.6500000000000057</c:v>
                </c:pt>
                <c:pt idx="200">
                  <c:v>-3.25</c:v>
                </c:pt>
                <c:pt idx="201">
                  <c:v>-8.3100000000000023</c:v>
                </c:pt>
                <c:pt idx="202">
                  <c:v>-13.659999999999997</c:v>
                </c:pt>
                <c:pt idx="203">
                  <c:v>-10.920000000000016</c:v>
                </c:pt>
                <c:pt idx="204">
                  <c:v>-24.069999999999993</c:v>
                </c:pt>
                <c:pt idx="205">
                  <c:v>-24.840000000000003</c:v>
                </c:pt>
                <c:pt idx="206">
                  <c:v>-18.129999999999995</c:v>
                </c:pt>
                <c:pt idx="207">
                  <c:v>-18.28</c:v>
                </c:pt>
                <c:pt idx="208">
                  <c:v>-17.839999999999975</c:v>
                </c:pt>
                <c:pt idx="209">
                  <c:v>-16.870000000000005</c:v>
                </c:pt>
                <c:pt idx="210">
                  <c:v>-13.70999999999998</c:v>
                </c:pt>
                <c:pt idx="211">
                  <c:v>-4.7199999999999989</c:v>
                </c:pt>
                <c:pt idx="212">
                  <c:v>-1.3700000000000045</c:v>
                </c:pt>
                <c:pt idx="213">
                  <c:v>-2.410000000000025</c:v>
                </c:pt>
                <c:pt idx="214">
                  <c:v>3.6899999999999977</c:v>
                </c:pt>
                <c:pt idx="215">
                  <c:v>8.9799999999999898</c:v>
                </c:pt>
                <c:pt idx="216">
                  <c:v>10.169999999999987</c:v>
                </c:pt>
                <c:pt idx="217">
                  <c:v>6.9199999999999875</c:v>
                </c:pt>
                <c:pt idx="218">
                  <c:v>10.379999999999995</c:v>
                </c:pt>
                <c:pt idx="219">
                  <c:v>11.039999999999992</c:v>
                </c:pt>
                <c:pt idx="220">
                  <c:v>8.5700000000000216</c:v>
                </c:pt>
                <c:pt idx="221">
                  <c:v>0.40999999999999659</c:v>
                </c:pt>
                <c:pt idx="222">
                  <c:v>-6.9999999999993179E-2</c:v>
                </c:pt>
                <c:pt idx="223">
                  <c:v>-3.9399999999999977</c:v>
                </c:pt>
                <c:pt idx="224">
                  <c:v>-1.1899999999999977</c:v>
                </c:pt>
                <c:pt idx="225">
                  <c:v>7.2699999999999818</c:v>
                </c:pt>
                <c:pt idx="226">
                  <c:v>3.960000000000008</c:v>
                </c:pt>
                <c:pt idx="227">
                  <c:v>-0.53000000000000114</c:v>
                </c:pt>
                <c:pt idx="228">
                  <c:v>-4.8100000000000023</c:v>
                </c:pt>
                <c:pt idx="229">
                  <c:v>-9.6599999999999966</c:v>
                </c:pt>
                <c:pt idx="230">
                  <c:v>0.25</c:v>
                </c:pt>
                <c:pt idx="231">
                  <c:v>-3.9300000000000068</c:v>
                </c:pt>
                <c:pt idx="232">
                  <c:v>-12.189999999999998</c:v>
                </c:pt>
                <c:pt idx="233">
                  <c:v>-11.169999999999987</c:v>
                </c:pt>
                <c:pt idx="234">
                  <c:v>-11.950000000000017</c:v>
                </c:pt>
                <c:pt idx="235">
                  <c:v>-7.039999999999992</c:v>
                </c:pt>
                <c:pt idx="236">
                  <c:v>2.4899999999999807</c:v>
                </c:pt>
                <c:pt idx="237">
                  <c:v>2.6100000000000136</c:v>
                </c:pt>
                <c:pt idx="238">
                  <c:v>-1</c:v>
                </c:pt>
                <c:pt idx="239">
                  <c:v>-1.4199999999999875</c:v>
                </c:pt>
                <c:pt idx="240">
                  <c:v>2.5199999999999818</c:v>
                </c:pt>
                <c:pt idx="241">
                  <c:v>5.8300000000000125</c:v>
                </c:pt>
                <c:pt idx="242">
                  <c:v>8.2800000000000011</c:v>
                </c:pt>
                <c:pt idx="243">
                  <c:v>4.9099999999999966</c:v>
                </c:pt>
                <c:pt idx="244">
                  <c:v>-3.5900000000000034</c:v>
                </c:pt>
                <c:pt idx="245">
                  <c:v>-1.3700000000000045</c:v>
                </c:pt>
                <c:pt idx="246">
                  <c:v>-9.3000000000000114</c:v>
                </c:pt>
                <c:pt idx="247">
                  <c:v>-14.739999999999981</c:v>
                </c:pt>
                <c:pt idx="248">
                  <c:v>-14.920000000000016</c:v>
                </c:pt>
                <c:pt idx="249">
                  <c:v>-11.680000000000007</c:v>
                </c:pt>
                <c:pt idx="250">
                  <c:v>-10.799999999999983</c:v>
                </c:pt>
                <c:pt idx="251">
                  <c:v>-5.0300000000000011</c:v>
                </c:pt>
                <c:pt idx="252">
                  <c:v>-7.6699999999999875</c:v>
                </c:pt>
                <c:pt idx="253">
                  <c:v>-5.4399999999999977</c:v>
                </c:pt>
                <c:pt idx="254">
                  <c:v>0.53999999999999204</c:v>
                </c:pt>
                <c:pt idx="255">
                  <c:v>-5.9699999999999989</c:v>
                </c:pt>
                <c:pt idx="256">
                  <c:v>-6.789999999999992</c:v>
                </c:pt>
                <c:pt idx="257">
                  <c:v>-9.2800000000000011</c:v>
                </c:pt>
                <c:pt idx="258">
                  <c:v>-6.2800000000000011</c:v>
                </c:pt>
                <c:pt idx="259">
                  <c:v>-5.039999999999992</c:v>
                </c:pt>
                <c:pt idx="260">
                  <c:v>-0.82999999999998408</c:v>
                </c:pt>
                <c:pt idx="261">
                  <c:v>2.6099999999999852</c:v>
                </c:pt>
                <c:pt idx="262">
                  <c:v>11.689999999999998</c:v>
                </c:pt>
                <c:pt idx="263">
                  <c:v>12.879999999999995</c:v>
                </c:pt>
                <c:pt idx="264">
                  <c:v>12.189999999999998</c:v>
                </c:pt>
                <c:pt idx="265">
                  <c:v>0.90999999999999659</c:v>
                </c:pt>
                <c:pt idx="266">
                  <c:v>4.3799999999999955</c:v>
                </c:pt>
                <c:pt idx="267">
                  <c:v>-2.6400000000000148</c:v>
                </c:pt>
                <c:pt idx="268">
                  <c:v>-9.6999999999999886</c:v>
                </c:pt>
                <c:pt idx="269">
                  <c:v>-6.339999999999975</c:v>
                </c:pt>
                <c:pt idx="270">
                  <c:v>-10.800000000000011</c:v>
                </c:pt>
                <c:pt idx="271">
                  <c:v>-2.9699999999999989</c:v>
                </c:pt>
                <c:pt idx="272">
                  <c:v>2.7199999999999989</c:v>
                </c:pt>
                <c:pt idx="273">
                  <c:v>2.7800000000000011</c:v>
                </c:pt>
                <c:pt idx="274">
                  <c:v>10.550000000000011</c:v>
                </c:pt>
                <c:pt idx="275">
                  <c:v>16.680000000000007</c:v>
                </c:pt>
                <c:pt idx="276">
                  <c:v>11.889999999999986</c:v>
                </c:pt>
                <c:pt idx="277">
                  <c:v>11.730000000000018</c:v>
                </c:pt>
                <c:pt idx="278">
                  <c:v>9.3400000000000034</c:v>
                </c:pt>
                <c:pt idx="279">
                  <c:v>10.439999999999998</c:v>
                </c:pt>
                <c:pt idx="280">
                  <c:v>16.609999999999985</c:v>
                </c:pt>
                <c:pt idx="281">
                  <c:v>15.269999999999982</c:v>
                </c:pt>
                <c:pt idx="282">
                  <c:v>10.299999999999983</c:v>
                </c:pt>
                <c:pt idx="283">
                  <c:v>14.650000000000006</c:v>
                </c:pt>
                <c:pt idx="284">
                  <c:v>21.949999999999989</c:v>
                </c:pt>
                <c:pt idx="285">
                  <c:v>17.25</c:v>
                </c:pt>
                <c:pt idx="286">
                  <c:v>11.950000000000017</c:v>
                </c:pt>
                <c:pt idx="287">
                  <c:v>4.9000000000000057</c:v>
                </c:pt>
                <c:pt idx="288">
                  <c:v>9.2900000000000205</c:v>
                </c:pt>
                <c:pt idx="289">
                  <c:v>18.54000000000002</c:v>
                </c:pt>
                <c:pt idx="290">
                  <c:v>13.409999999999997</c:v>
                </c:pt>
                <c:pt idx="291">
                  <c:v>9.4799999999999898</c:v>
                </c:pt>
                <c:pt idx="292">
                  <c:v>11.539999999999992</c:v>
                </c:pt>
                <c:pt idx="293">
                  <c:v>15.189999999999998</c:v>
                </c:pt>
                <c:pt idx="294">
                  <c:v>16.039999999999992</c:v>
                </c:pt>
                <c:pt idx="295">
                  <c:v>12.599999999999994</c:v>
                </c:pt>
                <c:pt idx="296">
                  <c:v>10.759999999999991</c:v>
                </c:pt>
                <c:pt idx="297">
                  <c:v>8.8300000000000125</c:v>
                </c:pt>
                <c:pt idx="298">
                  <c:v>9.3500000000000227</c:v>
                </c:pt>
                <c:pt idx="299">
                  <c:v>12.47999999999999</c:v>
                </c:pt>
                <c:pt idx="300">
                  <c:v>14.859999999999985</c:v>
                </c:pt>
                <c:pt idx="301">
                  <c:v>19.189999999999998</c:v>
                </c:pt>
                <c:pt idx="302">
                  <c:v>25.02000000000001</c:v>
                </c:pt>
                <c:pt idx="303">
                  <c:v>16.72</c:v>
                </c:pt>
                <c:pt idx="304">
                  <c:v>16.929999999999978</c:v>
                </c:pt>
                <c:pt idx="305">
                  <c:v>14.589999999999975</c:v>
                </c:pt>
                <c:pt idx="306">
                  <c:v>6.8700000000000045</c:v>
                </c:pt>
                <c:pt idx="307">
                  <c:v>7.2000000000000171</c:v>
                </c:pt>
                <c:pt idx="308">
                  <c:v>0.3200000000000216</c:v>
                </c:pt>
                <c:pt idx="309">
                  <c:v>-3.0600000000000023</c:v>
                </c:pt>
                <c:pt idx="310">
                  <c:v>-3.1399999999999864</c:v>
                </c:pt>
                <c:pt idx="311">
                  <c:v>5.2599999999999909</c:v>
                </c:pt>
                <c:pt idx="312">
                  <c:v>4.5300000000000296</c:v>
                </c:pt>
                <c:pt idx="313">
                  <c:v>11.449999999999989</c:v>
                </c:pt>
                <c:pt idx="314">
                  <c:v>17.269999999999982</c:v>
                </c:pt>
                <c:pt idx="315">
                  <c:v>19.990000000000009</c:v>
                </c:pt>
                <c:pt idx="316">
                  <c:v>29.050000000000011</c:v>
                </c:pt>
                <c:pt idx="317">
                  <c:v>29.650000000000006</c:v>
                </c:pt>
                <c:pt idx="318">
                  <c:v>21.990000000000009</c:v>
                </c:pt>
                <c:pt idx="319">
                  <c:v>11.46999999999997</c:v>
                </c:pt>
                <c:pt idx="320">
                  <c:v>10.150000000000034</c:v>
                </c:pt>
                <c:pt idx="321">
                  <c:v>8.1899999999999977</c:v>
                </c:pt>
                <c:pt idx="322">
                  <c:v>4.2799999999999727</c:v>
                </c:pt>
                <c:pt idx="323">
                  <c:v>-24.610000000000014</c:v>
                </c:pt>
                <c:pt idx="324">
                  <c:v>-23.980000000000018</c:v>
                </c:pt>
                <c:pt idx="325">
                  <c:v>-33.53</c:v>
                </c:pt>
                <c:pt idx="326">
                  <c:v>-18.95999999999998</c:v>
                </c:pt>
                <c:pt idx="327">
                  <c:v>-22.210000000000008</c:v>
                </c:pt>
                <c:pt idx="328">
                  <c:v>-26.909999999999997</c:v>
                </c:pt>
                <c:pt idx="329">
                  <c:v>-21.939999999999998</c:v>
                </c:pt>
                <c:pt idx="330">
                  <c:v>-4.7800000000000011</c:v>
                </c:pt>
                <c:pt idx="331">
                  <c:v>-8.4099999999999966</c:v>
                </c:pt>
                <c:pt idx="332">
                  <c:v>0.64000000000001478</c:v>
                </c:pt>
                <c:pt idx="333">
                  <c:v>-5.0900000000000034</c:v>
                </c:pt>
                <c:pt idx="334">
                  <c:v>-6.3300000000000125</c:v>
                </c:pt>
                <c:pt idx="335">
                  <c:v>-4.3100000000000023</c:v>
                </c:pt>
                <c:pt idx="336">
                  <c:v>6.4300000000000068</c:v>
                </c:pt>
                <c:pt idx="337">
                  <c:v>4.5199999999999818</c:v>
                </c:pt>
                <c:pt idx="338">
                  <c:v>13.460000000000008</c:v>
                </c:pt>
                <c:pt idx="339">
                  <c:v>14.629999999999995</c:v>
                </c:pt>
                <c:pt idx="340">
                  <c:v>17.02000000000001</c:v>
                </c:pt>
                <c:pt idx="341">
                  <c:v>6.9900000000000091</c:v>
                </c:pt>
                <c:pt idx="342">
                  <c:v>8.8400000000000034</c:v>
                </c:pt>
                <c:pt idx="343">
                  <c:v>-3.2199999999999989</c:v>
                </c:pt>
                <c:pt idx="344">
                  <c:v>7.4300000000000352</c:v>
                </c:pt>
                <c:pt idx="345">
                  <c:v>8.1700000000000159</c:v>
                </c:pt>
                <c:pt idx="346">
                  <c:v>15.949999999999989</c:v>
                </c:pt>
                <c:pt idx="347">
                  <c:v>15.45999999999998</c:v>
                </c:pt>
                <c:pt idx="348">
                  <c:v>27.240000000000009</c:v>
                </c:pt>
                <c:pt idx="349">
                  <c:v>23.29000000000002</c:v>
                </c:pt>
                <c:pt idx="350">
                  <c:v>43.739999999999981</c:v>
                </c:pt>
                <c:pt idx="351">
                  <c:v>40.539999999999964</c:v>
                </c:pt>
                <c:pt idx="352">
                  <c:v>24.779999999999973</c:v>
                </c:pt>
                <c:pt idx="353">
                  <c:v>21.25</c:v>
                </c:pt>
                <c:pt idx="354">
                  <c:v>25.160000000000025</c:v>
                </c:pt>
                <c:pt idx="355">
                  <c:v>34.46999999999997</c:v>
                </c:pt>
                <c:pt idx="356">
                  <c:v>30.409999999999968</c:v>
                </c:pt>
                <c:pt idx="357">
                  <c:v>-1.6800000000000068</c:v>
                </c:pt>
                <c:pt idx="358">
                  <c:v>0.30000000000001137</c:v>
                </c:pt>
                <c:pt idx="359">
                  <c:v>6.4399999999999977</c:v>
                </c:pt>
                <c:pt idx="360">
                  <c:v>1.5500000000000114</c:v>
                </c:pt>
                <c:pt idx="361">
                  <c:v>2.9799999999999613</c:v>
                </c:pt>
                <c:pt idx="362">
                  <c:v>-9.8799999999999955</c:v>
                </c:pt>
                <c:pt idx="363">
                  <c:v>-3.1099999999999568</c:v>
                </c:pt>
                <c:pt idx="364">
                  <c:v>11.189999999999998</c:v>
                </c:pt>
                <c:pt idx="365">
                  <c:v>9.7900000000000205</c:v>
                </c:pt>
                <c:pt idx="366">
                  <c:v>8.7300000000000182</c:v>
                </c:pt>
                <c:pt idx="367">
                  <c:v>8.3799999999999955</c:v>
                </c:pt>
                <c:pt idx="368">
                  <c:v>8.5500000000000114</c:v>
                </c:pt>
                <c:pt idx="369">
                  <c:v>20.319999999999993</c:v>
                </c:pt>
                <c:pt idx="370">
                  <c:v>13.289999999999964</c:v>
                </c:pt>
                <c:pt idx="371">
                  <c:v>2.9900000000000091</c:v>
                </c:pt>
                <c:pt idx="372">
                  <c:v>-18.330000000000041</c:v>
                </c:pt>
                <c:pt idx="373">
                  <c:v>-1.8199999999999932</c:v>
                </c:pt>
                <c:pt idx="374">
                  <c:v>-1.4399999999999977</c:v>
                </c:pt>
                <c:pt idx="375">
                  <c:v>7.1899999999999977</c:v>
                </c:pt>
                <c:pt idx="376">
                  <c:v>2.3900000000000432</c:v>
                </c:pt>
                <c:pt idx="377">
                  <c:v>4.2100000000000364</c:v>
                </c:pt>
                <c:pt idx="378">
                  <c:v>13.79000000000002</c:v>
                </c:pt>
                <c:pt idx="379">
                  <c:v>20.420000000000016</c:v>
                </c:pt>
                <c:pt idx="380">
                  <c:v>8.6599999999999682</c:v>
                </c:pt>
                <c:pt idx="381">
                  <c:v>-1.0799999999999841</c:v>
                </c:pt>
                <c:pt idx="382">
                  <c:v>-8.1999999999999886</c:v>
                </c:pt>
                <c:pt idx="383">
                  <c:v>-14.390000000000043</c:v>
                </c:pt>
                <c:pt idx="384">
                  <c:v>-12.75</c:v>
                </c:pt>
                <c:pt idx="385">
                  <c:v>-20.949999999999989</c:v>
                </c:pt>
                <c:pt idx="386">
                  <c:v>-5.6599999999999682</c:v>
                </c:pt>
                <c:pt idx="387">
                  <c:v>-0.18000000000000682</c:v>
                </c:pt>
                <c:pt idx="388">
                  <c:v>19.029999999999973</c:v>
                </c:pt>
                <c:pt idx="389">
                  <c:v>22.04000000000002</c:v>
                </c:pt>
                <c:pt idx="390">
                  <c:v>30.180000000000007</c:v>
                </c:pt>
                <c:pt idx="391">
                  <c:v>30.019999999999982</c:v>
                </c:pt>
                <c:pt idx="392">
                  <c:v>35.990000000000009</c:v>
                </c:pt>
                <c:pt idx="393">
                  <c:v>37.099999999999966</c:v>
                </c:pt>
                <c:pt idx="394">
                  <c:v>36.020000000000039</c:v>
                </c:pt>
                <c:pt idx="395">
                  <c:v>34.509999999999991</c:v>
                </c:pt>
                <c:pt idx="396">
                  <c:v>34.899999999999977</c:v>
                </c:pt>
                <c:pt idx="397">
                  <c:v>16.310000000000002</c:v>
                </c:pt>
                <c:pt idx="398">
                  <c:v>18.639999999999986</c:v>
                </c:pt>
                <c:pt idx="399">
                  <c:v>36.099999999999966</c:v>
                </c:pt>
                <c:pt idx="400">
                  <c:v>33.340000000000032</c:v>
                </c:pt>
                <c:pt idx="401">
                  <c:v>22.489999999999952</c:v>
                </c:pt>
                <c:pt idx="402">
                  <c:v>11.75</c:v>
                </c:pt>
                <c:pt idx="403">
                  <c:v>-0.19999999999998863</c:v>
                </c:pt>
                <c:pt idx="404">
                  <c:v>14.920000000000016</c:v>
                </c:pt>
                <c:pt idx="405">
                  <c:v>17.389999999999986</c:v>
                </c:pt>
                <c:pt idx="406">
                  <c:v>6.660000000000025</c:v>
                </c:pt>
                <c:pt idx="407">
                  <c:v>2.7899999999999636</c:v>
                </c:pt>
                <c:pt idx="408">
                  <c:v>2.1500000000000341</c:v>
                </c:pt>
                <c:pt idx="409">
                  <c:v>-9.0299999999999727</c:v>
                </c:pt>
                <c:pt idx="410">
                  <c:v>1.4399999999999977</c:v>
                </c:pt>
                <c:pt idx="411">
                  <c:v>-11.490000000000009</c:v>
                </c:pt>
                <c:pt idx="412">
                  <c:v>-14.789999999999964</c:v>
                </c:pt>
                <c:pt idx="413">
                  <c:v>-29.990000000000009</c:v>
                </c:pt>
                <c:pt idx="414">
                  <c:v>-56.360000000000014</c:v>
                </c:pt>
                <c:pt idx="415">
                  <c:v>-68.660000000000025</c:v>
                </c:pt>
                <c:pt idx="416">
                  <c:v>-49.149999999999977</c:v>
                </c:pt>
                <c:pt idx="417">
                  <c:v>-55.19</c:v>
                </c:pt>
                <c:pt idx="418">
                  <c:v>-33.529999999999973</c:v>
                </c:pt>
                <c:pt idx="419">
                  <c:v>-32.090000000000032</c:v>
                </c:pt>
                <c:pt idx="420">
                  <c:v>-29.20999999999998</c:v>
                </c:pt>
                <c:pt idx="421">
                  <c:v>0.68999999999999773</c:v>
                </c:pt>
                <c:pt idx="422">
                  <c:v>10.740000000000009</c:v>
                </c:pt>
                <c:pt idx="423">
                  <c:v>15.019999999999982</c:v>
                </c:pt>
                <c:pt idx="424">
                  <c:v>9.2099999999999795</c:v>
                </c:pt>
                <c:pt idx="425">
                  <c:v>2.6999999999999886</c:v>
                </c:pt>
                <c:pt idx="426">
                  <c:v>-1.1200000000000045</c:v>
                </c:pt>
                <c:pt idx="427">
                  <c:v>19.109999999999957</c:v>
                </c:pt>
                <c:pt idx="428">
                  <c:v>11.82000000000005</c:v>
                </c:pt>
                <c:pt idx="429">
                  <c:v>24.28000000000003</c:v>
                </c:pt>
                <c:pt idx="430">
                  <c:v>6.2199999999999704</c:v>
                </c:pt>
                <c:pt idx="431">
                  <c:v>9.8100000000000023</c:v>
                </c:pt>
                <c:pt idx="432">
                  <c:v>-6.4499999999999886</c:v>
                </c:pt>
                <c:pt idx="433">
                  <c:v>-8.8299999999999841</c:v>
                </c:pt>
                <c:pt idx="434">
                  <c:v>-16.629999999999995</c:v>
                </c:pt>
                <c:pt idx="435">
                  <c:v>7.4899999999999523</c:v>
                </c:pt>
                <c:pt idx="436">
                  <c:v>13.060000000000002</c:v>
                </c:pt>
                <c:pt idx="437">
                  <c:v>20.710000000000036</c:v>
                </c:pt>
                <c:pt idx="438">
                  <c:v>30.150000000000034</c:v>
                </c:pt>
                <c:pt idx="439">
                  <c:v>40.059999999999945</c:v>
                </c:pt>
                <c:pt idx="440">
                  <c:v>35.829999999999984</c:v>
                </c:pt>
                <c:pt idx="441">
                  <c:v>31.980000000000018</c:v>
                </c:pt>
                <c:pt idx="442">
                  <c:v>16.710000000000036</c:v>
                </c:pt>
                <c:pt idx="443">
                  <c:v>5.4199999999999591</c:v>
                </c:pt>
                <c:pt idx="444">
                  <c:v>7.7400000000000091</c:v>
                </c:pt>
                <c:pt idx="445">
                  <c:v>-13.300000000000011</c:v>
                </c:pt>
                <c:pt idx="446">
                  <c:v>-16.069999999999993</c:v>
                </c:pt>
                <c:pt idx="447">
                  <c:v>-17.539999999999964</c:v>
                </c:pt>
                <c:pt idx="448">
                  <c:v>-16.519999999999982</c:v>
                </c:pt>
                <c:pt idx="449">
                  <c:v>-11.03000000000003</c:v>
                </c:pt>
                <c:pt idx="450">
                  <c:v>-9.3999999999999773</c:v>
                </c:pt>
                <c:pt idx="451">
                  <c:v>-14.860000000000014</c:v>
                </c:pt>
                <c:pt idx="452">
                  <c:v>-6.2599999999999909</c:v>
                </c:pt>
                <c:pt idx="453">
                  <c:v>-9.9999999999965894E-2</c:v>
                </c:pt>
                <c:pt idx="454">
                  <c:v>15.319999999999993</c:v>
                </c:pt>
                <c:pt idx="455">
                  <c:v>14.549999999999955</c:v>
                </c:pt>
                <c:pt idx="456">
                  <c:v>2.6299999999999955</c:v>
                </c:pt>
                <c:pt idx="457">
                  <c:v>-3.3400000000000318</c:v>
                </c:pt>
                <c:pt idx="458">
                  <c:v>-3.5200000000000387</c:v>
                </c:pt>
                <c:pt idx="459">
                  <c:v>4.9499999999999886</c:v>
                </c:pt>
                <c:pt idx="460">
                  <c:v>-3.9600000000000364</c:v>
                </c:pt>
                <c:pt idx="461">
                  <c:v>10.509999999999991</c:v>
                </c:pt>
                <c:pt idx="462">
                  <c:v>6.8500000000000227</c:v>
                </c:pt>
                <c:pt idx="463">
                  <c:v>10.830000000000041</c:v>
                </c:pt>
                <c:pt idx="464">
                  <c:v>28.050000000000011</c:v>
                </c:pt>
                <c:pt idx="465">
                  <c:v>35.28000000000003</c:v>
                </c:pt>
                <c:pt idx="466">
                  <c:v>34.389999999999986</c:v>
                </c:pt>
                <c:pt idx="467">
                  <c:v>31.700000000000045</c:v>
                </c:pt>
                <c:pt idx="468">
                  <c:v>10.220000000000027</c:v>
                </c:pt>
                <c:pt idx="469">
                  <c:v>3.7300000000000182</c:v>
                </c:pt>
                <c:pt idx="470">
                  <c:v>-15.140000000000043</c:v>
                </c:pt>
                <c:pt idx="471">
                  <c:v>-32.649999999999977</c:v>
                </c:pt>
                <c:pt idx="472">
                  <c:v>-34.56</c:v>
                </c:pt>
                <c:pt idx="473">
                  <c:v>-44.029999999999973</c:v>
                </c:pt>
                <c:pt idx="474">
                  <c:v>-35.5</c:v>
                </c:pt>
                <c:pt idx="475">
                  <c:v>-32.81</c:v>
                </c:pt>
                <c:pt idx="476">
                  <c:v>-24.950000000000045</c:v>
                </c:pt>
                <c:pt idx="477">
                  <c:v>-2.9499999999999886</c:v>
                </c:pt>
                <c:pt idx="478">
                  <c:v>10.019999999999982</c:v>
                </c:pt>
                <c:pt idx="479">
                  <c:v>10.079999999999984</c:v>
                </c:pt>
                <c:pt idx="480">
                  <c:v>15.909999999999968</c:v>
                </c:pt>
                <c:pt idx="481">
                  <c:v>3.339999999999975</c:v>
                </c:pt>
                <c:pt idx="482">
                  <c:v>14.489999999999952</c:v>
                </c:pt>
                <c:pt idx="483">
                  <c:v>13.07000000000005</c:v>
                </c:pt>
                <c:pt idx="484">
                  <c:v>7.5400000000000205</c:v>
                </c:pt>
                <c:pt idx="485">
                  <c:v>0.56000000000000227</c:v>
                </c:pt>
                <c:pt idx="486">
                  <c:v>-4.7299999999999613</c:v>
                </c:pt>
                <c:pt idx="487">
                  <c:v>-1.1299999999999955</c:v>
                </c:pt>
                <c:pt idx="488">
                  <c:v>16.70999999999998</c:v>
                </c:pt>
                <c:pt idx="489">
                  <c:v>-3.7799999999999727</c:v>
                </c:pt>
                <c:pt idx="490">
                  <c:v>-9.5</c:v>
                </c:pt>
                <c:pt idx="491">
                  <c:v>-18.660000000000025</c:v>
                </c:pt>
                <c:pt idx="492">
                  <c:v>-18.230000000000018</c:v>
                </c:pt>
                <c:pt idx="493">
                  <c:v>-24.760000000000048</c:v>
                </c:pt>
                <c:pt idx="494">
                  <c:v>-29.579999999999984</c:v>
                </c:pt>
                <c:pt idx="495">
                  <c:v>-38.779999999999973</c:v>
                </c:pt>
                <c:pt idx="496">
                  <c:v>-31.730000000000018</c:v>
                </c:pt>
                <c:pt idx="497">
                  <c:v>-13.57000000000005</c:v>
                </c:pt>
                <c:pt idx="498">
                  <c:v>-15.939999999999998</c:v>
                </c:pt>
                <c:pt idx="499">
                  <c:v>-38.079999999999984</c:v>
                </c:pt>
                <c:pt idx="500">
                  <c:v>-19.75</c:v>
                </c:pt>
                <c:pt idx="501">
                  <c:v>-23.390000000000043</c:v>
                </c:pt>
                <c:pt idx="502">
                  <c:v>-14.819999999999993</c:v>
                </c:pt>
                <c:pt idx="503">
                  <c:v>-15.689999999999998</c:v>
                </c:pt>
                <c:pt idx="504">
                  <c:v>-28.539999999999964</c:v>
                </c:pt>
                <c:pt idx="505">
                  <c:v>-18.089999999999975</c:v>
                </c:pt>
                <c:pt idx="506">
                  <c:v>16.139999999999986</c:v>
                </c:pt>
                <c:pt idx="507">
                  <c:v>2.6100000000000136</c:v>
                </c:pt>
                <c:pt idx="508">
                  <c:v>8.5200000000000387</c:v>
                </c:pt>
                <c:pt idx="509">
                  <c:v>6.4499999999999886</c:v>
                </c:pt>
                <c:pt idx="510">
                  <c:v>10.660000000000025</c:v>
                </c:pt>
                <c:pt idx="511">
                  <c:v>5.75</c:v>
                </c:pt>
                <c:pt idx="512">
                  <c:v>14.819999999999993</c:v>
                </c:pt>
                <c:pt idx="513">
                  <c:v>-2.7999999999999545</c:v>
                </c:pt>
                <c:pt idx="514">
                  <c:v>6.8500000000000227</c:v>
                </c:pt>
                <c:pt idx="515">
                  <c:v>5.5099999999999909</c:v>
                </c:pt>
                <c:pt idx="516">
                  <c:v>5.0500000000000114</c:v>
                </c:pt>
                <c:pt idx="517">
                  <c:v>-7.5099999999999909</c:v>
                </c:pt>
                <c:pt idx="518">
                  <c:v>0.11000000000001364</c:v>
                </c:pt>
                <c:pt idx="519">
                  <c:v>-11.28000000000003</c:v>
                </c:pt>
                <c:pt idx="520">
                  <c:v>-7.4000000000000341</c:v>
                </c:pt>
                <c:pt idx="521">
                  <c:v>-11.850000000000023</c:v>
                </c:pt>
                <c:pt idx="522">
                  <c:v>-3.5500000000000114</c:v>
                </c:pt>
                <c:pt idx="523">
                  <c:v>-6.3100000000000023</c:v>
                </c:pt>
                <c:pt idx="524">
                  <c:v>7.589999999999975</c:v>
                </c:pt>
                <c:pt idx="525">
                  <c:v>20.060000000000002</c:v>
                </c:pt>
                <c:pt idx="526">
                  <c:v>34.5</c:v>
                </c:pt>
                <c:pt idx="527">
                  <c:v>33.829999999999984</c:v>
                </c:pt>
                <c:pt idx="528">
                  <c:v>34.19</c:v>
                </c:pt>
                <c:pt idx="529">
                  <c:v>30.189999999999998</c:v>
                </c:pt>
                <c:pt idx="530">
                  <c:v>27.629999999999995</c:v>
                </c:pt>
                <c:pt idx="531">
                  <c:v>15.970000000000027</c:v>
                </c:pt>
                <c:pt idx="532">
                  <c:v>6.9999999999993179E-2</c:v>
                </c:pt>
                <c:pt idx="533">
                  <c:v>-9.3699999999999477</c:v>
                </c:pt>
                <c:pt idx="534">
                  <c:v>-13.829999999999984</c:v>
                </c:pt>
                <c:pt idx="535">
                  <c:v>-20.599999999999966</c:v>
                </c:pt>
                <c:pt idx="536">
                  <c:v>-31.810000000000002</c:v>
                </c:pt>
                <c:pt idx="537">
                  <c:v>-23.509999999999991</c:v>
                </c:pt>
                <c:pt idx="538">
                  <c:v>-19.75</c:v>
                </c:pt>
                <c:pt idx="539">
                  <c:v>-8.4500000000000455</c:v>
                </c:pt>
                <c:pt idx="540">
                  <c:v>-14.410000000000025</c:v>
                </c:pt>
                <c:pt idx="541">
                  <c:v>-10.579999999999984</c:v>
                </c:pt>
                <c:pt idx="542">
                  <c:v>-0.71000000000003638</c:v>
                </c:pt>
                <c:pt idx="543">
                  <c:v>24.770000000000039</c:v>
                </c:pt>
                <c:pt idx="544">
                  <c:v>18.329999999999984</c:v>
                </c:pt>
                <c:pt idx="545">
                  <c:v>23.449999999999989</c:v>
                </c:pt>
                <c:pt idx="546">
                  <c:v>17.420000000000016</c:v>
                </c:pt>
                <c:pt idx="547">
                  <c:v>18.970000000000027</c:v>
                </c:pt>
                <c:pt idx="548">
                  <c:v>25.439999999999998</c:v>
                </c:pt>
                <c:pt idx="549">
                  <c:v>30.580000000000041</c:v>
                </c:pt>
                <c:pt idx="550">
                  <c:v>8.1599999999999682</c:v>
                </c:pt>
                <c:pt idx="551">
                  <c:v>16.329999999999984</c:v>
                </c:pt>
                <c:pt idx="552">
                  <c:v>16.759999999999991</c:v>
                </c:pt>
                <c:pt idx="553">
                  <c:v>14.840000000000032</c:v>
                </c:pt>
                <c:pt idx="554">
                  <c:v>9.6699999999999591</c:v>
                </c:pt>
                <c:pt idx="555">
                  <c:v>-2.4200000000000159</c:v>
                </c:pt>
                <c:pt idx="556">
                  <c:v>-4.3100000000000023</c:v>
                </c:pt>
                <c:pt idx="557">
                  <c:v>4.9599999999999795</c:v>
                </c:pt>
                <c:pt idx="558">
                  <c:v>-4.1999999999999886</c:v>
                </c:pt>
                <c:pt idx="559">
                  <c:v>2.75</c:v>
                </c:pt>
                <c:pt idx="560">
                  <c:v>-3.5400000000000205</c:v>
                </c:pt>
                <c:pt idx="561">
                  <c:v>-2.1399999999999864</c:v>
                </c:pt>
                <c:pt idx="562">
                  <c:v>-4.5099999999999909</c:v>
                </c:pt>
                <c:pt idx="563">
                  <c:v>-8.8799999999999955</c:v>
                </c:pt>
                <c:pt idx="564">
                  <c:v>-4.5299999999999727</c:v>
                </c:pt>
                <c:pt idx="565">
                  <c:v>-30.589999999999975</c:v>
                </c:pt>
                <c:pt idx="566">
                  <c:v>-43.889999999999986</c:v>
                </c:pt>
                <c:pt idx="567">
                  <c:v>-33.519999999999982</c:v>
                </c:pt>
                <c:pt idx="568">
                  <c:v>-20.089999999999975</c:v>
                </c:pt>
                <c:pt idx="569">
                  <c:v>-10.819999999999993</c:v>
                </c:pt>
                <c:pt idx="570">
                  <c:v>9.4999999999970441E-2</c:v>
                </c:pt>
                <c:pt idx="571">
                  <c:v>-9.5099999999999909</c:v>
                </c:pt>
                <c:pt idx="572">
                  <c:v>19.539999999999964</c:v>
                </c:pt>
                <c:pt idx="573">
                  <c:v>22.879999999999995</c:v>
                </c:pt>
                <c:pt idx="574">
                  <c:v>30.439999999999998</c:v>
                </c:pt>
                <c:pt idx="575">
                  <c:v>28.389999999999986</c:v>
                </c:pt>
                <c:pt idx="576">
                  <c:v>35.110000000000014</c:v>
                </c:pt>
                <c:pt idx="577">
                  <c:v>16.925000000000011</c:v>
                </c:pt>
                <c:pt idx="578">
                  <c:v>7.5699999999999932</c:v>
                </c:pt>
                <c:pt idx="579">
                  <c:v>-3.839999999999975</c:v>
                </c:pt>
                <c:pt idx="580">
                  <c:v>1.8199999999999932</c:v>
                </c:pt>
                <c:pt idx="581">
                  <c:v>-12.819999999999993</c:v>
                </c:pt>
                <c:pt idx="582">
                  <c:v>-23.850000000000023</c:v>
                </c:pt>
                <c:pt idx="583">
                  <c:v>-25.120000000000005</c:v>
                </c:pt>
                <c:pt idx="584">
                  <c:v>-21.889999999999986</c:v>
                </c:pt>
                <c:pt idx="585">
                  <c:v>-15.889999999999986</c:v>
                </c:pt>
                <c:pt idx="586">
                  <c:v>14.579999999999984</c:v>
                </c:pt>
                <c:pt idx="587">
                  <c:v>6.7199999999999704</c:v>
                </c:pt>
                <c:pt idx="588">
                  <c:v>-6.7200000000000273</c:v>
                </c:pt>
                <c:pt idx="589">
                  <c:v>-2.5999999999999659</c:v>
                </c:pt>
                <c:pt idx="590">
                  <c:v>-10.949999999999989</c:v>
                </c:pt>
                <c:pt idx="591">
                  <c:v>-15.54000000000002</c:v>
                </c:pt>
                <c:pt idx="592">
                  <c:v>-16.620000000000005</c:v>
                </c:pt>
                <c:pt idx="593">
                  <c:v>-28.980000000000018</c:v>
                </c:pt>
                <c:pt idx="594">
                  <c:v>-32.739999999999952</c:v>
                </c:pt>
                <c:pt idx="595">
                  <c:v>-25.089999999999975</c:v>
                </c:pt>
                <c:pt idx="596">
                  <c:v>-21.420000000000016</c:v>
                </c:pt>
                <c:pt idx="597">
                  <c:v>-42.170000000000016</c:v>
                </c:pt>
                <c:pt idx="598">
                  <c:v>-55.78000000000003</c:v>
                </c:pt>
                <c:pt idx="599">
                  <c:v>-44.420000000000016</c:v>
                </c:pt>
                <c:pt idx="600">
                  <c:v>-64.049999999999983</c:v>
                </c:pt>
                <c:pt idx="601">
                  <c:v>-41.57000000000005</c:v>
                </c:pt>
                <c:pt idx="602">
                  <c:v>-14.600000000000023</c:v>
                </c:pt>
                <c:pt idx="603">
                  <c:v>1.5400000000000205</c:v>
                </c:pt>
                <c:pt idx="604">
                  <c:v>20.120000000000005</c:v>
                </c:pt>
                <c:pt idx="605">
                  <c:v>31.880000000000052</c:v>
                </c:pt>
                <c:pt idx="606">
                  <c:v>38.569999999999993</c:v>
                </c:pt>
                <c:pt idx="607">
                  <c:v>48.450000000000017</c:v>
                </c:pt>
                <c:pt idx="608">
                  <c:v>26.550000000000011</c:v>
                </c:pt>
                <c:pt idx="609">
                  <c:v>13.399999999999977</c:v>
                </c:pt>
                <c:pt idx="610">
                  <c:v>-14.510000000000048</c:v>
                </c:pt>
                <c:pt idx="611">
                  <c:v>-11.610000000000014</c:v>
                </c:pt>
                <c:pt idx="612">
                  <c:v>3.6899999999999977</c:v>
                </c:pt>
                <c:pt idx="613">
                  <c:v>-4.6200000000000045</c:v>
                </c:pt>
                <c:pt idx="614">
                  <c:v>-10.689999999999998</c:v>
                </c:pt>
                <c:pt idx="615">
                  <c:v>-10.70999999999998</c:v>
                </c:pt>
                <c:pt idx="616">
                  <c:v>-16.879999999999995</c:v>
                </c:pt>
                <c:pt idx="617">
                  <c:v>-10.519999999999982</c:v>
                </c:pt>
                <c:pt idx="618">
                  <c:v>-2.2099999999999795</c:v>
                </c:pt>
                <c:pt idx="619">
                  <c:v>0.72499999999996589</c:v>
                </c:pt>
                <c:pt idx="620">
                  <c:v>-6.1800000000000068</c:v>
                </c:pt>
                <c:pt idx="621">
                  <c:v>9.6800000000000068</c:v>
                </c:pt>
                <c:pt idx="622">
                  <c:v>17.779999999999973</c:v>
                </c:pt>
                <c:pt idx="623">
                  <c:v>0.99000000000000909</c:v>
                </c:pt>
                <c:pt idx="624">
                  <c:v>13.399999999999977</c:v>
                </c:pt>
                <c:pt idx="625">
                  <c:v>17.289999999999964</c:v>
                </c:pt>
                <c:pt idx="626">
                  <c:v>7.8950000000000387</c:v>
                </c:pt>
                <c:pt idx="627">
                  <c:v>12.950000000000045</c:v>
                </c:pt>
                <c:pt idx="628">
                  <c:v>5.0999999999999659</c:v>
                </c:pt>
                <c:pt idx="629">
                  <c:v>-8.9999999999974989E-2</c:v>
                </c:pt>
                <c:pt idx="630">
                  <c:v>7.5200000000000387</c:v>
                </c:pt>
                <c:pt idx="631">
                  <c:v>-9.9099999999999682</c:v>
                </c:pt>
                <c:pt idx="632">
                  <c:v>-16.289999999999964</c:v>
                </c:pt>
                <c:pt idx="633">
                  <c:v>-17.430000000000007</c:v>
                </c:pt>
                <c:pt idx="634">
                  <c:v>-30.03000000000003</c:v>
                </c:pt>
                <c:pt idx="635">
                  <c:v>-20.529999999999973</c:v>
                </c:pt>
                <c:pt idx="636">
                  <c:v>-26.050000000000011</c:v>
                </c:pt>
                <c:pt idx="637">
                  <c:v>-12.900000000000034</c:v>
                </c:pt>
                <c:pt idx="638">
                  <c:v>-6.3299999999999841</c:v>
                </c:pt>
                <c:pt idx="639">
                  <c:v>-7.6299999999999955</c:v>
                </c:pt>
                <c:pt idx="640">
                  <c:v>-0.78000000000002956</c:v>
                </c:pt>
                <c:pt idx="641">
                  <c:v>14.900000000000034</c:v>
                </c:pt>
                <c:pt idx="642">
                  <c:v>0.24000000000000909</c:v>
                </c:pt>
                <c:pt idx="643">
                  <c:v>16.810000000000002</c:v>
                </c:pt>
                <c:pt idx="644">
                  <c:v>17.670000000000016</c:v>
                </c:pt>
                <c:pt idx="645">
                  <c:v>13.279999999999973</c:v>
                </c:pt>
                <c:pt idx="646">
                  <c:v>40.649999999999977</c:v>
                </c:pt>
                <c:pt idx="647">
                  <c:v>32.329999999999984</c:v>
                </c:pt>
                <c:pt idx="648">
                  <c:v>25.939999999999998</c:v>
                </c:pt>
                <c:pt idx="649">
                  <c:v>47.370000000000005</c:v>
                </c:pt>
                <c:pt idx="650">
                  <c:v>50.949999999999989</c:v>
                </c:pt>
                <c:pt idx="651">
                  <c:v>48.039999999999964</c:v>
                </c:pt>
                <c:pt idx="652">
                  <c:v>66.590000000000032</c:v>
                </c:pt>
                <c:pt idx="653">
                  <c:v>38.670000000000016</c:v>
                </c:pt>
                <c:pt idx="654">
                  <c:v>54.740000000000009</c:v>
                </c:pt>
                <c:pt idx="655">
                  <c:v>34.889999999999986</c:v>
                </c:pt>
                <c:pt idx="656">
                  <c:v>30.120000000000005</c:v>
                </c:pt>
                <c:pt idx="657">
                  <c:v>4.7400000000000091</c:v>
                </c:pt>
                <c:pt idx="658">
                  <c:v>-11.149999999999977</c:v>
                </c:pt>
                <c:pt idx="659">
                  <c:v>-24.710000000000036</c:v>
                </c:pt>
                <c:pt idx="660">
                  <c:v>-16.170000000000016</c:v>
                </c:pt>
                <c:pt idx="661">
                  <c:v>-26.329999999999984</c:v>
                </c:pt>
                <c:pt idx="662">
                  <c:v>-2.6200000000000045</c:v>
                </c:pt>
                <c:pt idx="663">
                  <c:v>-19.270000000000039</c:v>
                </c:pt>
                <c:pt idx="664">
                  <c:v>-12.439999999999998</c:v>
                </c:pt>
                <c:pt idx="665">
                  <c:v>-22.769999999999982</c:v>
                </c:pt>
                <c:pt idx="666">
                  <c:v>-23.849999999999966</c:v>
                </c:pt>
                <c:pt idx="667">
                  <c:v>-33.100000000000023</c:v>
                </c:pt>
                <c:pt idx="668">
                  <c:v>-25.990000000000009</c:v>
                </c:pt>
                <c:pt idx="669">
                  <c:v>-27.45999999999998</c:v>
                </c:pt>
                <c:pt idx="670">
                  <c:v>-23.990000000000009</c:v>
                </c:pt>
                <c:pt idx="671">
                  <c:v>-18.360000000000014</c:v>
                </c:pt>
                <c:pt idx="672">
                  <c:v>8.0099999999999909</c:v>
                </c:pt>
                <c:pt idx="673">
                  <c:v>0.93999999999999773</c:v>
                </c:pt>
                <c:pt idx="674">
                  <c:v>13.79000000000002</c:v>
                </c:pt>
                <c:pt idx="675">
                  <c:v>5.3400000000000318</c:v>
                </c:pt>
                <c:pt idx="676">
                  <c:v>-2.2400000000000091</c:v>
                </c:pt>
                <c:pt idx="677">
                  <c:v>-5.3799999999999955</c:v>
                </c:pt>
                <c:pt idx="678">
                  <c:v>-13.509999999999991</c:v>
                </c:pt>
                <c:pt idx="679">
                  <c:v>-21.439999999999998</c:v>
                </c:pt>
                <c:pt idx="680">
                  <c:v>-1.3600000000000136</c:v>
                </c:pt>
                <c:pt idx="681">
                  <c:v>-16.04000000000002</c:v>
                </c:pt>
                <c:pt idx="682">
                  <c:v>-26.670000000000016</c:v>
                </c:pt>
                <c:pt idx="683">
                  <c:v>-30.060000000000002</c:v>
                </c:pt>
                <c:pt idx="684">
                  <c:v>-15.439999999999998</c:v>
                </c:pt>
                <c:pt idx="685">
                  <c:v>-2.3600000000000136</c:v>
                </c:pt>
                <c:pt idx="686">
                  <c:v>52.110000000000014</c:v>
                </c:pt>
                <c:pt idx="687">
                  <c:v>39.430000000000007</c:v>
                </c:pt>
                <c:pt idx="688">
                  <c:v>35.340000000000032</c:v>
                </c:pt>
                <c:pt idx="689">
                  <c:v>82.389999999999986</c:v>
                </c:pt>
                <c:pt idx="690">
                  <c:v>80.169999999999959</c:v>
                </c:pt>
                <c:pt idx="691">
                  <c:v>54.31</c:v>
                </c:pt>
                <c:pt idx="692">
                  <c:v>54.650000000000034</c:v>
                </c:pt>
                <c:pt idx="693">
                  <c:v>6.8700000000000045</c:v>
                </c:pt>
                <c:pt idx="694">
                  <c:v>-0.53000000000002956</c:v>
                </c:pt>
                <c:pt idx="695">
                  <c:v>-3.3000000000000114</c:v>
                </c:pt>
                <c:pt idx="696">
                  <c:v>-44.120000000000005</c:v>
                </c:pt>
                <c:pt idx="697">
                  <c:v>-64.839999999999975</c:v>
                </c:pt>
                <c:pt idx="698">
                  <c:v>-44.009999999999991</c:v>
                </c:pt>
                <c:pt idx="699">
                  <c:v>-33.590000000000032</c:v>
                </c:pt>
                <c:pt idx="700">
                  <c:v>-34.770000000000039</c:v>
                </c:pt>
                <c:pt idx="701">
                  <c:v>-27.539999999999964</c:v>
                </c:pt>
                <c:pt idx="702">
                  <c:v>-15.870000000000005</c:v>
                </c:pt>
                <c:pt idx="703">
                  <c:v>-16.180000000000007</c:v>
                </c:pt>
                <c:pt idx="704">
                  <c:v>6.3600000000000136</c:v>
                </c:pt>
                <c:pt idx="705">
                  <c:v>-3.4300000000000068</c:v>
                </c:pt>
                <c:pt idx="706">
                  <c:v>-18.75</c:v>
                </c:pt>
                <c:pt idx="707">
                  <c:v>-19.979999999999961</c:v>
                </c:pt>
                <c:pt idx="708">
                  <c:v>-31.150000000000034</c:v>
                </c:pt>
                <c:pt idx="709">
                  <c:v>-42.079999999999984</c:v>
                </c:pt>
                <c:pt idx="710">
                  <c:v>-38.319999999999993</c:v>
                </c:pt>
                <c:pt idx="711">
                  <c:v>-48.620000000000005</c:v>
                </c:pt>
                <c:pt idx="712">
                  <c:v>-19.509999999999991</c:v>
                </c:pt>
                <c:pt idx="713">
                  <c:v>-23.70999999999998</c:v>
                </c:pt>
                <c:pt idx="714">
                  <c:v>-11.120000000000005</c:v>
                </c:pt>
                <c:pt idx="715">
                  <c:v>0.50999999999999091</c:v>
                </c:pt>
                <c:pt idx="716">
                  <c:v>14.45999999999998</c:v>
                </c:pt>
                <c:pt idx="717">
                  <c:v>13.889999999999986</c:v>
                </c:pt>
                <c:pt idx="718">
                  <c:v>21.71999999999997</c:v>
                </c:pt>
                <c:pt idx="719">
                  <c:v>13.519999999999982</c:v>
                </c:pt>
                <c:pt idx="720">
                  <c:v>18.889999999999986</c:v>
                </c:pt>
                <c:pt idx="721">
                  <c:v>8.5600000000000023</c:v>
                </c:pt>
                <c:pt idx="722">
                  <c:v>10.220000000000027</c:v>
                </c:pt>
                <c:pt idx="723">
                  <c:v>5.7900000000000205</c:v>
                </c:pt>
                <c:pt idx="724">
                  <c:v>14.740000000000009</c:v>
                </c:pt>
                <c:pt idx="725">
                  <c:v>22.560000000000002</c:v>
                </c:pt>
                <c:pt idx="726">
                  <c:v>-34.25</c:v>
                </c:pt>
                <c:pt idx="727">
                  <c:v>12.370000000000005</c:v>
                </c:pt>
                <c:pt idx="728">
                  <c:v>1.9199999999999591</c:v>
                </c:pt>
                <c:pt idx="729">
                  <c:v>-4.8799999999999955</c:v>
                </c:pt>
                <c:pt idx="730">
                  <c:v>-19.160000000000025</c:v>
                </c:pt>
                <c:pt idx="731">
                  <c:v>-47.629999999999995</c:v>
                </c:pt>
                <c:pt idx="732">
                  <c:v>-56.95999999999998</c:v>
                </c:pt>
                <c:pt idx="733">
                  <c:v>-1.9699999999999704</c:v>
                </c:pt>
                <c:pt idx="734">
                  <c:v>-53.819999999999993</c:v>
                </c:pt>
                <c:pt idx="735">
                  <c:v>-48.789999999999992</c:v>
                </c:pt>
                <c:pt idx="736">
                  <c:v>-36.020000000000039</c:v>
                </c:pt>
                <c:pt idx="737">
                  <c:v>-22.240000000000009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EF-426D-B9FC-1101F70036DD}"/>
            </c:ext>
          </c:extLst>
        </c:ser>
        <c:ser>
          <c:idx val="2"/>
          <c:order val="2"/>
          <c:tx>
            <c:v>3-average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'tesla-stock-price (3)'!$A$22:$A$759</c:f>
              <c:numCache>
                <c:formatCode>General</c:formatCode>
                <c:ptCount val="738"/>
                <c:pt idx="0">
                  <c:v>42318</c:v>
                </c:pt>
                <c:pt idx="1">
                  <c:v>42319</c:v>
                </c:pt>
                <c:pt idx="2">
                  <c:v>42320</c:v>
                </c:pt>
                <c:pt idx="3">
                  <c:v>42321</c:v>
                </c:pt>
                <c:pt idx="4">
                  <c:v>42324</c:v>
                </c:pt>
                <c:pt idx="5">
                  <c:v>42325</c:v>
                </c:pt>
                <c:pt idx="6">
                  <c:v>42326</c:v>
                </c:pt>
                <c:pt idx="7">
                  <c:v>42327</c:v>
                </c:pt>
                <c:pt idx="8">
                  <c:v>42328</c:v>
                </c:pt>
                <c:pt idx="9">
                  <c:v>42331</c:v>
                </c:pt>
                <c:pt idx="10">
                  <c:v>42332</c:v>
                </c:pt>
                <c:pt idx="11">
                  <c:v>42333</c:v>
                </c:pt>
                <c:pt idx="12">
                  <c:v>42335</c:v>
                </c:pt>
                <c:pt idx="13">
                  <c:v>42338</c:v>
                </c:pt>
                <c:pt idx="14">
                  <c:v>42339</c:v>
                </c:pt>
                <c:pt idx="15">
                  <c:v>42340</c:v>
                </c:pt>
                <c:pt idx="16">
                  <c:v>42341</c:v>
                </c:pt>
                <c:pt idx="17">
                  <c:v>42342</c:v>
                </c:pt>
                <c:pt idx="18">
                  <c:v>42345</c:v>
                </c:pt>
                <c:pt idx="19">
                  <c:v>42346</c:v>
                </c:pt>
                <c:pt idx="20">
                  <c:v>42347</c:v>
                </c:pt>
                <c:pt idx="21">
                  <c:v>42348</c:v>
                </c:pt>
                <c:pt idx="22">
                  <c:v>42349</c:v>
                </c:pt>
                <c:pt idx="23">
                  <c:v>42352</c:v>
                </c:pt>
                <c:pt idx="24">
                  <c:v>42353</c:v>
                </c:pt>
                <c:pt idx="25">
                  <c:v>42354</c:v>
                </c:pt>
                <c:pt idx="26">
                  <c:v>42355</c:v>
                </c:pt>
                <c:pt idx="27">
                  <c:v>42356</c:v>
                </c:pt>
                <c:pt idx="28">
                  <c:v>42359</c:v>
                </c:pt>
                <c:pt idx="29">
                  <c:v>42360</c:v>
                </c:pt>
                <c:pt idx="30">
                  <c:v>42361</c:v>
                </c:pt>
                <c:pt idx="31">
                  <c:v>42362</c:v>
                </c:pt>
                <c:pt idx="32">
                  <c:v>42366</c:v>
                </c:pt>
                <c:pt idx="33">
                  <c:v>42367</c:v>
                </c:pt>
                <c:pt idx="34">
                  <c:v>42368</c:v>
                </c:pt>
                <c:pt idx="35">
                  <c:v>42369</c:v>
                </c:pt>
                <c:pt idx="36">
                  <c:v>42373</c:v>
                </c:pt>
                <c:pt idx="37">
                  <c:v>42374</c:v>
                </c:pt>
                <c:pt idx="38">
                  <c:v>42375</c:v>
                </c:pt>
                <c:pt idx="39">
                  <c:v>42376</c:v>
                </c:pt>
                <c:pt idx="40">
                  <c:v>42377</c:v>
                </c:pt>
                <c:pt idx="41">
                  <c:v>42380</c:v>
                </c:pt>
                <c:pt idx="42">
                  <c:v>42381</c:v>
                </c:pt>
                <c:pt idx="43">
                  <c:v>42382</c:v>
                </c:pt>
                <c:pt idx="44">
                  <c:v>42383</c:v>
                </c:pt>
                <c:pt idx="45">
                  <c:v>42384</c:v>
                </c:pt>
                <c:pt idx="46">
                  <c:v>42388</c:v>
                </c:pt>
                <c:pt idx="47">
                  <c:v>42389</c:v>
                </c:pt>
                <c:pt idx="48">
                  <c:v>42390</c:v>
                </c:pt>
                <c:pt idx="49">
                  <c:v>42391</c:v>
                </c:pt>
                <c:pt idx="50">
                  <c:v>42394</c:v>
                </c:pt>
                <c:pt idx="51">
                  <c:v>42395</c:v>
                </c:pt>
                <c:pt idx="52">
                  <c:v>42396</c:v>
                </c:pt>
                <c:pt idx="53">
                  <c:v>42397</c:v>
                </c:pt>
                <c:pt idx="54">
                  <c:v>42398</c:v>
                </c:pt>
                <c:pt idx="55">
                  <c:v>42401</c:v>
                </c:pt>
                <c:pt idx="56">
                  <c:v>42402</c:v>
                </c:pt>
                <c:pt idx="57">
                  <c:v>42403</c:v>
                </c:pt>
                <c:pt idx="58">
                  <c:v>42404</c:v>
                </c:pt>
                <c:pt idx="59">
                  <c:v>42405</c:v>
                </c:pt>
                <c:pt idx="60">
                  <c:v>42408</c:v>
                </c:pt>
                <c:pt idx="61">
                  <c:v>42409</c:v>
                </c:pt>
                <c:pt idx="62">
                  <c:v>42410</c:v>
                </c:pt>
                <c:pt idx="63">
                  <c:v>42411</c:v>
                </c:pt>
                <c:pt idx="64">
                  <c:v>42412</c:v>
                </c:pt>
                <c:pt idx="65">
                  <c:v>42416</c:v>
                </c:pt>
                <c:pt idx="66">
                  <c:v>42417</c:v>
                </c:pt>
                <c:pt idx="67">
                  <c:v>42418</c:v>
                </c:pt>
                <c:pt idx="68">
                  <c:v>42419</c:v>
                </c:pt>
                <c:pt idx="69">
                  <c:v>42422</c:v>
                </c:pt>
                <c:pt idx="70">
                  <c:v>42423</c:v>
                </c:pt>
                <c:pt idx="71">
                  <c:v>42424</c:v>
                </c:pt>
                <c:pt idx="72">
                  <c:v>42425</c:v>
                </c:pt>
                <c:pt idx="73">
                  <c:v>42426</c:v>
                </c:pt>
                <c:pt idx="74">
                  <c:v>42429</c:v>
                </c:pt>
                <c:pt idx="75">
                  <c:v>42430</c:v>
                </c:pt>
                <c:pt idx="76">
                  <c:v>42431</c:v>
                </c:pt>
                <c:pt idx="77">
                  <c:v>42432</c:v>
                </c:pt>
                <c:pt idx="78">
                  <c:v>42433</c:v>
                </c:pt>
                <c:pt idx="79">
                  <c:v>42436</c:v>
                </c:pt>
                <c:pt idx="80">
                  <c:v>42437</c:v>
                </c:pt>
                <c:pt idx="81">
                  <c:v>42438</c:v>
                </c:pt>
                <c:pt idx="82">
                  <c:v>42439</c:v>
                </c:pt>
                <c:pt idx="83">
                  <c:v>42440</c:v>
                </c:pt>
                <c:pt idx="84">
                  <c:v>42443</c:v>
                </c:pt>
                <c:pt idx="85">
                  <c:v>42444</c:v>
                </c:pt>
                <c:pt idx="86">
                  <c:v>42445</c:v>
                </c:pt>
                <c:pt idx="87">
                  <c:v>42446</c:v>
                </c:pt>
                <c:pt idx="88">
                  <c:v>42447</c:v>
                </c:pt>
                <c:pt idx="89">
                  <c:v>42450</c:v>
                </c:pt>
                <c:pt idx="90">
                  <c:v>42451</c:v>
                </c:pt>
                <c:pt idx="91">
                  <c:v>42452</c:v>
                </c:pt>
                <c:pt idx="92">
                  <c:v>42453</c:v>
                </c:pt>
                <c:pt idx="93">
                  <c:v>42457</c:v>
                </c:pt>
                <c:pt idx="94">
                  <c:v>42458</c:v>
                </c:pt>
                <c:pt idx="95">
                  <c:v>42459</c:v>
                </c:pt>
                <c:pt idx="96">
                  <c:v>42460</c:v>
                </c:pt>
                <c:pt idx="97">
                  <c:v>42461</c:v>
                </c:pt>
                <c:pt idx="98">
                  <c:v>42464</c:v>
                </c:pt>
                <c:pt idx="99">
                  <c:v>42465</c:v>
                </c:pt>
                <c:pt idx="100">
                  <c:v>42466</c:v>
                </c:pt>
                <c:pt idx="101">
                  <c:v>42467</c:v>
                </c:pt>
                <c:pt idx="102">
                  <c:v>42468</c:v>
                </c:pt>
                <c:pt idx="103">
                  <c:v>42471</c:v>
                </c:pt>
                <c:pt idx="104">
                  <c:v>42472</c:v>
                </c:pt>
                <c:pt idx="105">
                  <c:v>42473</c:v>
                </c:pt>
                <c:pt idx="106">
                  <c:v>42474</c:v>
                </c:pt>
                <c:pt idx="107">
                  <c:v>42475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42485</c:v>
                </c:pt>
                <c:pt idx="114">
                  <c:v>42486</c:v>
                </c:pt>
                <c:pt idx="115">
                  <c:v>42487</c:v>
                </c:pt>
                <c:pt idx="116">
                  <c:v>42488</c:v>
                </c:pt>
                <c:pt idx="117">
                  <c:v>42489</c:v>
                </c:pt>
                <c:pt idx="118">
                  <c:v>42492</c:v>
                </c:pt>
                <c:pt idx="119">
                  <c:v>42493</c:v>
                </c:pt>
                <c:pt idx="120">
                  <c:v>42494</c:v>
                </c:pt>
                <c:pt idx="121">
                  <c:v>42495</c:v>
                </c:pt>
                <c:pt idx="122">
                  <c:v>42496</c:v>
                </c:pt>
                <c:pt idx="123">
                  <c:v>42499</c:v>
                </c:pt>
                <c:pt idx="124">
                  <c:v>42500</c:v>
                </c:pt>
                <c:pt idx="125">
                  <c:v>42501</c:v>
                </c:pt>
                <c:pt idx="126">
                  <c:v>42502</c:v>
                </c:pt>
                <c:pt idx="127">
                  <c:v>42503</c:v>
                </c:pt>
                <c:pt idx="128">
                  <c:v>42506</c:v>
                </c:pt>
                <c:pt idx="129">
                  <c:v>42507</c:v>
                </c:pt>
                <c:pt idx="130">
                  <c:v>42508</c:v>
                </c:pt>
                <c:pt idx="131">
                  <c:v>42509</c:v>
                </c:pt>
                <c:pt idx="132">
                  <c:v>42510</c:v>
                </c:pt>
                <c:pt idx="133">
                  <c:v>42513</c:v>
                </c:pt>
                <c:pt idx="134">
                  <c:v>42514</c:v>
                </c:pt>
                <c:pt idx="135">
                  <c:v>42515</c:v>
                </c:pt>
                <c:pt idx="136">
                  <c:v>42516</c:v>
                </c:pt>
                <c:pt idx="137">
                  <c:v>42517</c:v>
                </c:pt>
                <c:pt idx="138">
                  <c:v>42521</c:v>
                </c:pt>
                <c:pt idx="139">
                  <c:v>42522</c:v>
                </c:pt>
                <c:pt idx="140">
                  <c:v>42523</c:v>
                </c:pt>
                <c:pt idx="141">
                  <c:v>42524</c:v>
                </c:pt>
                <c:pt idx="142">
                  <c:v>42527</c:v>
                </c:pt>
                <c:pt idx="143">
                  <c:v>42528</c:v>
                </c:pt>
                <c:pt idx="144">
                  <c:v>42529</c:v>
                </c:pt>
                <c:pt idx="145">
                  <c:v>42530</c:v>
                </c:pt>
                <c:pt idx="146">
                  <c:v>42531</c:v>
                </c:pt>
                <c:pt idx="147">
                  <c:v>42534</c:v>
                </c:pt>
                <c:pt idx="148">
                  <c:v>42535</c:v>
                </c:pt>
                <c:pt idx="149">
                  <c:v>42536</c:v>
                </c:pt>
                <c:pt idx="150">
                  <c:v>42537</c:v>
                </c:pt>
                <c:pt idx="151">
                  <c:v>42538</c:v>
                </c:pt>
                <c:pt idx="152">
                  <c:v>42541</c:v>
                </c:pt>
                <c:pt idx="153">
                  <c:v>42542</c:v>
                </c:pt>
                <c:pt idx="154">
                  <c:v>42543</c:v>
                </c:pt>
                <c:pt idx="155">
                  <c:v>42544</c:v>
                </c:pt>
                <c:pt idx="156">
                  <c:v>42545</c:v>
                </c:pt>
                <c:pt idx="157">
                  <c:v>42548</c:v>
                </c:pt>
                <c:pt idx="158">
                  <c:v>42549</c:v>
                </c:pt>
                <c:pt idx="159">
                  <c:v>42550</c:v>
                </c:pt>
                <c:pt idx="160">
                  <c:v>42551</c:v>
                </c:pt>
                <c:pt idx="161">
                  <c:v>42552</c:v>
                </c:pt>
                <c:pt idx="162">
                  <c:v>42556</c:v>
                </c:pt>
                <c:pt idx="163">
                  <c:v>42557</c:v>
                </c:pt>
                <c:pt idx="164">
                  <c:v>42558</c:v>
                </c:pt>
                <c:pt idx="165">
                  <c:v>42559</c:v>
                </c:pt>
                <c:pt idx="166">
                  <c:v>42562</c:v>
                </c:pt>
                <c:pt idx="167">
                  <c:v>42563</c:v>
                </c:pt>
                <c:pt idx="168">
                  <c:v>42564</c:v>
                </c:pt>
                <c:pt idx="169">
                  <c:v>42565</c:v>
                </c:pt>
                <c:pt idx="170">
                  <c:v>42566</c:v>
                </c:pt>
                <c:pt idx="171">
                  <c:v>42569</c:v>
                </c:pt>
                <c:pt idx="172">
                  <c:v>42570</c:v>
                </c:pt>
                <c:pt idx="173">
                  <c:v>42571</c:v>
                </c:pt>
                <c:pt idx="174">
                  <c:v>42572</c:v>
                </c:pt>
                <c:pt idx="175">
                  <c:v>42573</c:v>
                </c:pt>
                <c:pt idx="176">
                  <c:v>42576</c:v>
                </c:pt>
                <c:pt idx="177">
                  <c:v>42577</c:v>
                </c:pt>
                <c:pt idx="178">
                  <c:v>42578</c:v>
                </c:pt>
                <c:pt idx="179">
                  <c:v>42579</c:v>
                </c:pt>
                <c:pt idx="180">
                  <c:v>42580</c:v>
                </c:pt>
                <c:pt idx="181">
                  <c:v>42583</c:v>
                </c:pt>
                <c:pt idx="182">
                  <c:v>42584</c:v>
                </c:pt>
                <c:pt idx="183">
                  <c:v>42585</c:v>
                </c:pt>
                <c:pt idx="184">
                  <c:v>42586</c:v>
                </c:pt>
                <c:pt idx="185">
                  <c:v>42587</c:v>
                </c:pt>
                <c:pt idx="186">
                  <c:v>42590</c:v>
                </c:pt>
                <c:pt idx="187">
                  <c:v>42591</c:v>
                </c:pt>
                <c:pt idx="188">
                  <c:v>42592</c:v>
                </c:pt>
                <c:pt idx="189">
                  <c:v>42593</c:v>
                </c:pt>
                <c:pt idx="190">
                  <c:v>42594</c:v>
                </c:pt>
                <c:pt idx="191">
                  <c:v>42597</c:v>
                </c:pt>
                <c:pt idx="192">
                  <c:v>42598</c:v>
                </c:pt>
                <c:pt idx="193">
                  <c:v>42599</c:v>
                </c:pt>
                <c:pt idx="194">
                  <c:v>42600</c:v>
                </c:pt>
                <c:pt idx="195">
                  <c:v>42601</c:v>
                </c:pt>
                <c:pt idx="196">
                  <c:v>42604</c:v>
                </c:pt>
                <c:pt idx="197">
                  <c:v>42605</c:v>
                </c:pt>
                <c:pt idx="198">
                  <c:v>42606</c:v>
                </c:pt>
                <c:pt idx="199">
                  <c:v>42607</c:v>
                </c:pt>
                <c:pt idx="200">
                  <c:v>42608</c:v>
                </c:pt>
                <c:pt idx="201">
                  <c:v>42611</c:v>
                </c:pt>
                <c:pt idx="202">
                  <c:v>42612</c:v>
                </c:pt>
                <c:pt idx="203">
                  <c:v>42613</c:v>
                </c:pt>
                <c:pt idx="204">
                  <c:v>42614</c:v>
                </c:pt>
                <c:pt idx="205">
                  <c:v>42615</c:v>
                </c:pt>
                <c:pt idx="206">
                  <c:v>42619</c:v>
                </c:pt>
                <c:pt idx="207">
                  <c:v>42620</c:v>
                </c:pt>
                <c:pt idx="208">
                  <c:v>42621</c:v>
                </c:pt>
                <c:pt idx="209">
                  <c:v>42622</c:v>
                </c:pt>
                <c:pt idx="210">
                  <c:v>42625</c:v>
                </c:pt>
                <c:pt idx="211">
                  <c:v>42626</c:v>
                </c:pt>
                <c:pt idx="212">
                  <c:v>42627</c:v>
                </c:pt>
                <c:pt idx="213">
                  <c:v>42628</c:v>
                </c:pt>
                <c:pt idx="214">
                  <c:v>42629</c:v>
                </c:pt>
                <c:pt idx="215">
                  <c:v>42632</c:v>
                </c:pt>
                <c:pt idx="216">
                  <c:v>42633</c:v>
                </c:pt>
                <c:pt idx="217">
                  <c:v>42634</c:v>
                </c:pt>
                <c:pt idx="218">
                  <c:v>42635</c:v>
                </c:pt>
                <c:pt idx="219">
                  <c:v>42636</c:v>
                </c:pt>
                <c:pt idx="220">
                  <c:v>42639</c:v>
                </c:pt>
                <c:pt idx="221">
                  <c:v>42640</c:v>
                </c:pt>
                <c:pt idx="222">
                  <c:v>42641</c:v>
                </c:pt>
                <c:pt idx="223">
                  <c:v>42642</c:v>
                </c:pt>
                <c:pt idx="224">
                  <c:v>42643</c:v>
                </c:pt>
                <c:pt idx="225">
                  <c:v>42646</c:v>
                </c:pt>
                <c:pt idx="226">
                  <c:v>42647</c:v>
                </c:pt>
                <c:pt idx="227">
                  <c:v>42648</c:v>
                </c:pt>
                <c:pt idx="228">
                  <c:v>42649</c:v>
                </c:pt>
                <c:pt idx="229">
                  <c:v>42650</c:v>
                </c:pt>
                <c:pt idx="230">
                  <c:v>42653</c:v>
                </c:pt>
                <c:pt idx="231">
                  <c:v>42654</c:v>
                </c:pt>
                <c:pt idx="232">
                  <c:v>42655</c:v>
                </c:pt>
                <c:pt idx="233">
                  <c:v>42656</c:v>
                </c:pt>
                <c:pt idx="234">
                  <c:v>42657</c:v>
                </c:pt>
                <c:pt idx="235">
                  <c:v>42660</c:v>
                </c:pt>
                <c:pt idx="236">
                  <c:v>42661</c:v>
                </c:pt>
                <c:pt idx="237">
                  <c:v>42662</c:v>
                </c:pt>
                <c:pt idx="238">
                  <c:v>42663</c:v>
                </c:pt>
                <c:pt idx="239">
                  <c:v>42664</c:v>
                </c:pt>
                <c:pt idx="240">
                  <c:v>42667</c:v>
                </c:pt>
                <c:pt idx="241">
                  <c:v>42668</c:v>
                </c:pt>
                <c:pt idx="242">
                  <c:v>42669</c:v>
                </c:pt>
                <c:pt idx="243">
                  <c:v>42670</c:v>
                </c:pt>
                <c:pt idx="244">
                  <c:v>42671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42681</c:v>
                </c:pt>
                <c:pt idx="251">
                  <c:v>42682</c:v>
                </c:pt>
                <c:pt idx="252">
                  <c:v>42683</c:v>
                </c:pt>
                <c:pt idx="253">
                  <c:v>42684</c:v>
                </c:pt>
                <c:pt idx="254">
                  <c:v>42685</c:v>
                </c:pt>
                <c:pt idx="255">
                  <c:v>42688</c:v>
                </c:pt>
                <c:pt idx="256">
                  <c:v>42689</c:v>
                </c:pt>
                <c:pt idx="257">
                  <c:v>42690</c:v>
                </c:pt>
                <c:pt idx="258">
                  <c:v>42691</c:v>
                </c:pt>
                <c:pt idx="259">
                  <c:v>42692</c:v>
                </c:pt>
                <c:pt idx="260">
                  <c:v>42695</c:v>
                </c:pt>
                <c:pt idx="261">
                  <c:v>42696</c:v>
                </c:pt>
                <c:pt idx="262">
                  <c:v>42697</c:v>
                </c:pt>
                <c:pt idx="263">
                  <c:v>42699</c:v>
                </c:pt>
                <c:pt idx="264">
                  <c:v>42702</c:v>
                </c:pt>
                <c:pt idx="265">
                  <c:v>42703</c:v>
                </c:pt>
                <c:pt idx="266">
                  <c:v>42704</c:v>
                </c:pt>
                <c:pt idx="267">
                  <c:v>42705</c:v>
                </c:pt>
                <c:pt idx="268">
                  <c:v>42706</c:v>
                </c:pt>
                <c:pt idx="269">
                  <c:v>42709</c:v>
                </c:pt>
                <c:pt idx="270">
                  <c:v>42710</c:v>
                </c:pt>
                <c:pt idx="271">
                  <c:v>42711</c:v>
                </c:pt>
                <c:pt idx="272">
                  <c:v>42712</c:v>
                </c:pt>
                <c:pt idx="273">
                  <c:v>42713</c:v>
                </c:pt>
                <c:pt idx="274">
                  <c:v>42716</c:v>
                </c:pt>
                <c:pt idx="275">
                  <c:v>42717</c:v>
                </c:pt>
                <c:pt idx="276">
                  <c:v>42718</c:v>
                </c:pt>
                <c:pt idx="277">
                  <c:v>42719</c:v>
                </c:pt>
                <c:pt idx="278">
                  <c:v>42720</c:v>
                </c:pt>
                <c:pt idx="279">
                  <c:v>42723</c:v>
                </c:pt>
                <c:pt idx="280">
                  <c:v>42724</c:v>
                </c:pt>
                <c:pt idx="281">
                  <c:v>42725</c:v>
                </c:pt>
                <c:pt idx="282">
                  <c:v>42726</c:v>
                </c:pt>
                <c:pt idx="283">
                  <c:v>42727</c:v>
                </c:pt>
                <c:pt idx="284">
                  <c:v>42731</c:v>
                </c:pt>
                <c:pt idx="285">
                  <c:v>42732</c:v>
                </c:pt>
                <c:pt idx="286">
                  <c:v>42733</c:v>
                </c:pt>
                <c:pt idx="287">
                  <c:v>42734</c:v>
                </c:pt>
                <c:pt idx="288">
                  <c:v>42738</c:v>
                </c:pt>
                <c:pt idx="289">
                  <c:v>42739</c:v>
                </c:pt>
                <c:pt idx="290">
                  <c:v>42740</c:v>
                </c:pt>
                <c:pt idx="291">
                  <c:v>42741</c:v>
                </c:pt>
                <c:pt idx="292">
                  <c:v>42744</c:v>
                </c:pt>
                <c:pt idx="293">
                  <c:v>42745</c:v>
                </c:pt>
                <c:pt idx="294">
                  <c:v>42746</c:v>
                </c:pt>
                <c:pt idx="295">
                  <c:v>42747</c:v>
                </c:pt>
                <c:pt idx="296">
                  <c:v>42748</c:v>
                </c:pt>
                <c:pt idx="297">
                  <c:v>42752</c:v>
                </c:pt>
                <c:pt idx="298">
                  <c:v>42753</c:v>
                </c:pt>
                <c:pt idx="299">
                  <c:v>42754</c:v>
                </c:pt>
                <c:pt idx="300">
                  <c:v>42755</c:v>
                </c:pt>
                <c:pt idx="301">
                  <c:v>42758</c:v>
                </c:pt>
                <c:pt idx="302">
                  <c:v>42759</c:v>
                </c:pt>
                <c:pt idx="303">
                  <c:v>42760</c:v>
                </c:pt>
                <c:pt idx="304">
                  <c:v>42761</c:v>
                </c:pt>
                <c:pt idx="305">
                  <c:v>42762</c:v>
                </c:pt>
                <c:pt idx="306">
                  <c:v>42765</c:v>
                </c:pt>
                <c:pt idx="307">
                  <c:v>42766</c:v>
                </c:pt>
                <c:pt idx="308">
                  <c:v>42767</c:v>
                </c:pt>
                <c:pt idx="309">
                  <c:v>42768</c:v>
                </c:pt>
                <c:pt idx="310">
                  <c:v>42769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42779</c:v>
                </c:pt>
                <c:pt idx="317">
                  <c:v>42780</c:v>
                </c:pt>
                <c:pt idx="318">
                  <c:v>42781</c:v>
                </c:pt>
                <c:pt idx="319">
                  <c:v>42782</c:v>
                </c:pt>
                <c:pt idx="320">
                  <c:v>42783</c:v>
                </c:pt>
                <c:pt idx="321">
                  <c:v>42787</c:v>
                </c:pt>
                <c:pt idx="322">
                  <c:v>42788</c:v>
                </c:pt>
                <c:pt idx="323">
                  <c:v>42789</c:v>
                </c:pt>
                <c:pt idx="324">
                  <c:v>42790</c:v>
                </c:pt>
                <c:pt idx="325">
                  <c:v>42793</c:v>
                </c:pt>
                <c:pt idx="326">
                  <c:v>42794</c:v>
                </c:pt>
                <c:pt idx="327">
                  <c:v>42795</c:v>
                </c:pt>
                <c:pt idx="328">
                  <c:v>42796</c:v>
                </c:pt>
                <c:pt idx="329">
                  <c:v>42797</c:v>
                </c:pt>
                <c:pt idx="330">
                  <c:v>42800</c:v>
                </c:pt>
                <c:pt idx="331">
                  <c:v>42801</c:v>
                </c:pt>
                <c:pt idx="332">
                  <c:v>42802</c:v>
                </c:pt>
                <c:pt idx="333">
                  <c:v>42803</c:v>
                </c:pt>
                <c:pt idx="334">
                  <c:v>42804</c:v>
                </c:pt>
                <c:pt idx="335">
                  <c:v>42807</c:v>
                </c:pt>
                <c:pt idx="336">
                  <c:v>42808</c:v>
                </c:pt>
                <c:pt idx="337">
                  <c:v>42809</c:v>
                </c:pt>
                <c:pt idx="338">
                  <c:v>42810</c:v>
                </c:pt>
                <c:pt idx="339">
                  <c:v>42811</c:v>
                </c:pt>
                <c:pt idx="340">
                  <c:v>42814</c:v>
                </c:pt>
                <c:pt idx="341">
                  <c:v>42815</c:v>
                </c:pt>
                <c:pt idx="342">
                  <c:v>42816</c:v>
                </c:pt>
                <c:pt idx="343">
                  <c:v>42817</c:v>
                </c:pt>
                <c:pt idx="344">
                  <c:v>42818</c:v>
                </c:pt>
                <c:pt idx="345">
                  <c:v>42821</c:v>
                </c:pt>
                <c:pt idx="346">
                  <c:v>42822</c:v>
                </c:pt>
                <c:pt idx="347">
                  <c:v>42823</c:v>
                </c:pt>
                <c:pt idx="348">
                  <c:v>42824</c:v>
                </c:pt>
                <c:pt idx="349">
                  <c:v>42825</c:v>
                </c:pt>
                <c:pt idx="350">
                  <c:v>42828</c:v>
                </c:pt>
                <c:pt idx="351">
                  <c:v>42829</c:v>
                </c:pt>
                <c:pt idx="352">
                  <c:v>42830</c:v>
                </c:pt>
                <c:pt idx="353">
                  <c:v>42831</c:v>
                </c:pt>
                <c:pt idx="354">
                  <c:v>42832</c:v>
                </c:pt>
                <c:pt idx="355">
                  <c:v>42835</c:v>
                </c:pt>
                <c:pt idx="356">
                  <c:v>42836</c:v>
                </c:pt>
                <c:pt idx="357">
                  <c:v>42837</c:v>
                </c:pt>
                <c:pt idx="358">
                  <c:v>42838</c:v>
                </c:pt>
                <c:pt idx="359">
                  <c:v>42842</c:v>
                </c:pt>
                <c:pt idx="360">
                  <c:v>42843</c:v>
                </c:pt>
                <c:pt idx="361">
                  <c:v>42844</c:v>
                </c:pt>
                <c:pt idx="362">
                  <c:v>42845</c:v>
                </c:pt>
                <c:pt idx="363">
                  <c:v>42846</c:v>
                </c:pt>
                <c:pt idx="364">
                  <c:v>42849</c:v>
                </c:pt>
                <c:pt idx="365">
                  <c:v>42850</c:v>
                </c:pt>
                <c:pt idx="366">
                  <c:v>42851</c:v>
                </c:pt>
                <c:pt idx="367">
                  <c:v>42852</c:v>
                </c:pt>
                <c:pt idx="368">
                  <c:v>42853</c:v>
                </c:pt>
                <c:pt idx="369">
                  <c:v>42856</c:v>
                </c:pt>
                <c:pt idx="370">
                  <c:v>42857</c:v>
                </c:pt>
                <c:pt idx="371">
                  <c:v>42858</c:v>
                </c:pt>
                <c:pt idx="372">
                  <c:v>42859</c:v>
                </c:pt>
                <c:pt idx="373">
                  <c:v>42860</c:v>
                </c:pt>
                <c:pt idx="374">
                  <c:v>42863</c:v>
                </c:pt>
                <c:pt idx="375">
                  <c:v>42864</c:v>
                </c:pt>
                <c:pt idx="376">
                  <c:v>42865</c:v>
                </c:pt>
                <c:pt idx="377">
                  <c:v>42866</c:v>
                </c:pt>
                <c:pt idx="378">
                  <c:v>42867</c:v>
                </c:pt>
                <c:pt idx="379">
                  <c:v>42870</c:v>
                </c:pt>
                <c:pt idx="380">
                  <c:v>42871</c:v>
                </c:pt>
                <c:pt idx="381">
                  <c:v>42872</c:v>
                </c:pt>
                <c:pt idx="382">
                  <c:v>42873</c:v>
                </c:pt>
                <c:pt idx="383">
                  <c:v>42874</c:v>
                </c:pt>
                <c:pt idx="384">
                  <c:v>42877</c:v>
                </c:pt>
                <c:pt idx="385">
                  <c:v>42878</c:v>
                </c:pt>
                <c:pt idx="386">
                  <c:v>42879</c:v>
                </c:pt>
                <c:pt idx="387">
                  <c:v>42880</c:v>
                </c:pt>
                <c:pt idx="388">
                  <c:v>42881</c:v>
                </c:pt>
                <c:pt idx="389">
                  <c:v>42885</c:v>
                </c:pt>
                <c:pt idx="390">
                  <c:v>42886</c:v>
                </c:pt>
                <c:pt idx="391">
                  <c:v>42887</c:v>
                </c:pt>
                <c:pt idx="392">
                  <c:v>42888</c:v>
                </c:pt>
                <c:pt idx="393">
                  <c:v>42891</c:v>
                </c:pt>
                <c:pt idx="394">
                  <c:v>42892</c:v>
                </c:pt>
                <c:pt idx="395">
                  <c:v>42893</c:v>
                </c:pt>
                <c:pt idx="396">
                  <c:v>42894</c:v>
                </c:pt>
                <c:pt idx="397">
                  <c:v>42895</c:v>
                </c:pt>
                <c:pt idx="398">
                  <c:v>42898</c:v>
                </c:pt>
                <c:pt idx="399">
                  <c:v>42899</c:v>
                </c:pt>
                <c:pt idx="400">
                  <c:v>42900</c:v>
                </c:pt>
                <c:pt idx="401">
                  <c:v>42901</c:v>
                </c:pt>
                <c:pt idx="402">
                  <c:v>42902</c:v>
                </c:pt>
                <c:pt idx="403">
                  <c:v>42905</c:v>
                </c:pt>
                <c:pt idx="404">
                  <c:v>42906</c:v>
                </c:pt>
                <c:pt idx="405">
                  <c:v>42907</c:v>
                </c:pt>
                <c:pt idx="406">
                  <c:v>42908</c:v>
                </c:pt>
                <c:pt idx="407">
                  <c:v>42909</c:v>
                </c:pt>
                <c:pt idx="408">
                  <c:v>42912</c:v>
                </c:pt>
                <c:pt idx="409">
                  <c:v>42913</c:v>
                </c:pt>
                <c:pt idx="410">
                  <c:v>42914</c:v>
                </c:pt>
                <c:pt idx="411">
                  <c:v>42915</c:v>
                </c:pt>
                <c:pt idx="412">
                  <c:v>42916</c:v>
                </c:pt>
                <c:pt idx="413">
                  <c:v>42919</c:v>
                </c:pt>
                <c:pt idx="414">
                  <c:v>42921</c:v>
                </c:pt>
                <c:pt idx="415">
                  <c:v>42922</c:v>
                </c:pt>
                <c:pt idx="416">
                  <c:v>42923</c:v>
                </c:pt>
                <c:pt idx="417">
                  <c:v>42926</c:v>
                </c:pt>
                <c:pt idx="418">
                  <c:v>42927</c:v>
                </c:pt>
                <c:pt idx="419">
                  <c:v>42928</c:v>
                </c:pt>
                <c:pt idx="420">
                  <c:v>42929</c:v>
                </c:pt>
                <c:pt idx="421">
                  <c:v>42930</c:v>
                </c:pt>
                <c:pt idx="422">
                  <c:v>42933</c:v>
                </c:pt>
                <c:pt idx="423">
                  <c:v>42934</c:v>
                </c:pt>
                <c:pt idx="424">
                  <c:v>42935</c:v>
                </c:pt>
                <c:pt idx="425">
                  <c:v>42936</c:v>
                </c:pt>
                <c:pt idx="426">
                  <c:v>42937</c:v>
                </c:pt>
                <c:pt idx="427">
                  <c:v>42940</c:v>
                </c:pt>
                <c:pt idx="428">
                  <c:v>42941</c:v>
                </c:pt>
                <c:pt idx="429">
                  <c:v>42942</c:v>
                </c:pt>
                <c:pt idx="430">
                  <c:v>42943</c:v>
                </c:pt>
                <c:pt idx="431">
                  <c:v>42944</c:v>
                </c:pt>
                <c:pt idx="432">
                  <c:v>42947</c:v>
                </c:pt>
                <c:pt idx="433">
                  <c:v>42948</c:v>
                </c:pt>
                <c:pt idx="434">
                  <c:v>42949</c:v>
                </c:pt>
                <c:pt idx="435">
                  <c:v>42950</c:v>
                </c:pt>
                <c:pt idx="436">
                  <c:v>42951</c:v>
                </c:pt>
                <c:pt idx="437">
                  <c:v>42954</c:v>
                </c:pt>
                <c:pt idx="438">
                  <c:v>42955</c:v>
                </c:pt>
                <c:pt idx="439">
                  <c:v>42956</c:v>
                </c:pt>
                <c:pt idx="440">
                  <c:v>42957</c:v>
                </c:pt>
                <c:pt idx="441">
                  <c:v>42958</c:v>
                </c:pt>
                <c:pt idx="442">
                  <c:v>42961</c:v>
                </c:pt>
                <c:pt idx="443">
                  <c:v>42962</c:v>
                </c:pt>
                <c:pt idx="444">
                  <c:v>42963</c:v>
                </c:pt>
                <c:pt idx="445">
                  <c:v>42964</c:v>
                </c:pt>
                <c:pt idx="446">
                  <c:v>42965</c:v>
                </c:pt>
                <c:pt idx="447">
                  <c:v>42968</c:v>
                </c:pt>
                <c:pt idx="448">
                  <c:v>42969</c:v>
                </c:pt>
                <c:pt idx="449">
                  <c:v>42970</c:v>
                </c:pt>
                <c:pt idx="450">
                  <c:v>42971</c:v>
                </c:pt>
                <c:pt idx="451">
                  <c:v>42972</c:v>
                </c:pt>
                <c:pt idx="452">
                  <c:v>42975</c:v>
                </c:pt>
                <c:pt idx="453">
                  <c:v>42976</c:v>
                </c:pt>
                <c:pt idx="454">
                  <c:v>42977</c:v>
                </c:pt>
                <c:pt idx="455">
                  <c:v>42978</c:v>
                </c:pt>
                <c:pt idx="456">
                  <c:v>42979</c:v>
                </c:pt>
                <c:pt idx="457">
                  <c:v>42983</c:v>
                </c:pt>
                <c:pt idx="458">
                  <c:v>42984</c:v>
                </c:pt>
                <c:pt idx="459">
                  <c:v>42985</c:v>
                </c:pt>
                <c:pt idx="460">
                  <c:v>42986</c:v>
                </c:pt>
                <c:pt idx="461">
                  <c:v>42989</c:v>
                </c:pt>
                <c:pt idx="462">
                  <c:v>42990</c:v>
                </c:pt>
                <c:pt idx="463">
                  <c:v>42991</c:v>
                </c:pt>
                <c:pt idx="464">
                  <c:v>42992</c:v>
                </c:pt>
                <c:pt idx="465">
                  <c:v>42993</c:v>
                </c:pt>
                <c:pt idx="466">
                  <c:v>42996</c:v>
                </c:pt>
                <c:pt idx="467">
                  <c:v>42997</c:v>
                </c:pt>
                <c:pt idx="468">
                  <c:v>42998</c:v>
                </c:pt>
                <c:pt idx="469">
                  <c:v>42999</c:v>
                </c:pt>
                <c:pt idx="470">
                  <c:v>43000</c:v>
                </c:pt>
                <c:pt idx="471">
                  <c:v>43003</c:v>
                </c:pt>
                <c:pt idx="472">
                  <c:v>43004</c:v>
                </c:pt>
                <c:pt idx="473">
                  <c:v>43005</c:v>
                </c:pt>
                <c:pt idx="474">
                  <c:v>43006</c:v>
                </c:pt>
                <c:pt idx="475">
                  <c:v>43007</c:v>
                </c:pt>
                <c:pt idx="476">
                  <c:v>43010</c:v>
                </c:pt>
                <c:pt idx="477">
                  <c:v>43011</c:v>
                </c:pt>
                <c:pt idx="478">
                  <c:v>43012</c:v>
                </c:pt>
                <c:pt idx="479">
                  <c:v>43013</c:v>
                </c:pt>
                <c:pt idx="480">
                  <c:v>43014</c:v>
                </c:pt>
                <c:pt idx="481">
                  <c:v>43017</c:v>
                </c:pt>
                <c:pt idx="482">
                  <c:v>43018</c:v>
                </c:pt>
                <c:pt idx="483">
                  <c:v>43019</c:v>
                </c:pt>
                <c:pt idx="484">
                  <c:v>43020</c:v>
                </c:pt>
                <c:pt idx="485">
                  <c:v>43021</c:v>
                </c:pt>
                <c:pt idx="486">
                  <c:v>43024</c:v>
                </c:pt>
                <c:pt idx="487">
                  <c:v>43025</c:v>
                </c:pt>
                <c:pt idx="488">
                  <c:v>43026</c:v>
                </c:pt>
                <c:pt idx="489">
                  <c:v>43027</c:v>
                </c:pt>
                <c:pt idx="490">
                  <c:v>43028</c:v>
                </c:pt>
                <c:pt idx="491">
                  <c:v>43031</c:v>
                </c:pt>
                <c:pt idx="492">
                  <c:v>43032</c:v>
                </c:pt>
                <c:pt idx="493">
                  <c:v>43033</c:v>
                </c:pt>
                <c:pt idx="494">
                  <c:v>43034</c:v>
                </c:pt>
                <c:pt idx="495">
                  <c:v>43035</c:v>
                </c:pt>
                <c:pt idx="496">
                  <c:v>43038</c:v>
                </c:pt>
                <c:pt idx="497">
                  <c:v>43039</c:v>
                </c:pt>
                <c:pt idx="498">
                  <c:v>43040</c:v>
                </c:pt>
                <c:pt idx="499">
                  <c:v>43041</c:v>
                </c:pt>
                <c:pt idx="500">
                  <c:v>43042</c:v>
                </c:pt>
                <c:pt idx="501">
                  <c:v>43045</c:v>
                </c:pt>
                <c:pt idx="502">
                  <c:v>43046</c:v>
                </c:pt>
                <c:pt idx="503">
                  <c:v>43047</c:v>
                </c:pt>
                <c:pt idx="504">
                  <c:v>43048</c:v>
                </c:pt>
                <c:pt idx="505">
                  <c:v>43049</c:v>
                </c:pt>
                <c:pt idx="506">
                  <c:v>43052</c:v>
                </c:pt>
                <c:pt idx="507">
                  <c:v>43053</c:v>
                </c:pt>
                <c:pt idx="508">
                  <c:v>43054</c:v>
                </c:pt>
                <c:pt idx="509">
                  <c:v>43055</c:v>
                </c:pt>
                <c:pt idx="510">
                  <c:v>43056</c:v>
                </c:pt>
                <c:pt idx="511">
                  <c:v>43059</c:v>
                </c:pt>
                <c:pt idx="512">
                  <c:v>43060</c:v>
                </c:pt>
                <c:pt idx="513">
                  <c:v>43061</c:v>
                </c:pt>
                <c:pt idx="514">
                  <c:v>43063</c:v>
                </c:pt>
                <c:pt idx="515">
                  <c:v>43066</c:v>
                </c:pt>
                <c:pt idx="516">
                  <c:v>43067</c:v>
                </c:pt>
                <c:pt idx="517">
                  <c:v>43068</c:v>
                </c:pt>
                <c:pt idx="518">
                  <c:v>43069</c:v>
                </c:pt>
                <c:pt idx="519">
                  <c:v>43070</c:v>
                </c:pt>
                <c:pt idx="520">
                  <c:v>43073</c:v>
                </c:pt>
                <c:pt idx="521">
                  <c:v>43074</c:v>
                </c:pt>
                <c:pt idx="522">
                  <c:v>43075</c:v>
                </c:pt>
                <c:pt idx="523">
                  <c:v>43076</c:v>
                </c:pt>
                <c:pt idx="524">
                  <c:v>43077</c:v>
                </c:pt>
                <c:pt idx="525">
                  <c:v>43080</c:v>
                </c:pt>
                <c:pt idx="526">
                  <c:v>43081</c:v>
                </c:pt>
                <c:pt idx="527">
                  <c:v>43082</c:v>
                </c:pt>
                <c:pt idx="528">
                  <c:v>43083</c:v>
                </c:pt>
                <c:pt idx="529">
                  <c:v>43084</c:v>
                </c:pt>
                <c:pt idx="530">
                  <c:v>43087</c:v>
                </c:pt>
                <c:pt idx="531">
                  <c:v>43088</c:v>
                </c:pt>
                <c:pt idx="532">
                  <c:v>43089</c:v>
                </c:pt>
                <c:pt idx="533">
                  <c:v>43090</c:v>
                </c:pt>
                <c:pt idx="534">
                  <c:v>43091</c:v>
                </c:pt>
                <c:pt idx="535">
                  <c:v>43095</c:v>
                </c:pt>
                <c:pt idx="536">
                  <c:v>43096</c:v>
                </c:pt>
                <c:pt idx="537">
                  <c:v>43097</c:v>
                </c:pt>
                <c:pt idx="538">
                  <c:v>43098</c:v>
                </c:pt>
                <c:pt idx="539">
                  <c:v>43102</c:v>
                </c:pt>
                <c:pt idx="540">
                  <c:v>43103</c:v>
                </c:pt>
                <c:pt idx="541">
                  <c:v>43104</c:v>
                </c:pt>
                <c:pt idx="542">
                  <c:v>43105</c:v>
                </c:pt>
                <c:pt idx="543">
                  <c:v>43108</c:v>
                </c:pt>
                <c:pt idx="544">
                  <c:v>43109</c:v>
                </c:pt>
                <c:pt idx="545">
                  <c:v>43110</c:v>
                </c:pt>
                <c:pt idx="546">
                  <c:v>43111</c:v>
                </c:pt>
                <c:pt idx="547">
                  <c:v>43112</c:v>
                </c:pt>
                <c:pt idx="548">
                  <c:v>43116</c:v>
                </c:pt>
                <c:pt idx="549">
                  <c:v>43117</c:v>
                </c:pt>
                <c:pt idx="550">
                  <c:v>43118</c:v>
                </c:pt>
                <c:pt idx="551">
                  <c:v>43119</c:v>
                </c:pt>
                <c:pt idx="552">
                  <c:v>43122</c:v>
                </c:pt>
                <c:pt idx="553">
                  <c:v>43123</c:v>
                </c:pt>
                <c:pt idx="554">
                  <c:v>43124</c:v>
                </c:pt>
                <c:pt idx="555">
                  <c:v>43125</c:v>
                </c:pt>
                <c:pt idx="556">
                  <c:v>43126</c:v>
                </c:pt>
                <c:pt idx="557">
                  <c:v>43129</c:v>
                </c:pt>
                <c:pt idx="558">
                  <c:v>43130</c:v>
                </c:pt>
                <c:pt idx="559">
                  <c:v>43131</c:v>
                </c:pt>
                <c:pt idx="560">
                  <c:v>43132</c:v>
                </c:pt>
                <c:pt idx="561">
                  <c:v>43133</c:v>
                </c:pt>
                <c:pt idx="562">
                  <c:v>43136</c:v>
                </c:pt>
                <c:pt idx="563">
                  <c:v>43137</c:v>
                </c:pt>
                <c:pt idx="564">
                  <c:v>43138</c:v>
                </c:pt>
                <c:pt idx="565">
                  <c:v>43139</c:v>
                </c:pt>
                <c:pt idx="566">
                  <c:v>43140</c:v>
                </c:pt>
                <c:pt idx="567">
                  <c:v>43143</c:v>
                </c:pt>
                <c:pt idx="568">
                  <c:v>43144</c:v>
                </c:pt>
                <c:pt idx="569">
                  <c:v>43145</c:v>
                </c:pt>
                <c:pt idx="570">
                  <c:v>43146</c:v>
                </c:pt>
                <c:pt idx="571">
                  <c:v>43147</c:v>
                </c:pt>
                <c:pt idx="572">
                  <c:v>43151</c:v>
                </c:pt>
                <c:pt idx="573">
                  <c:v>43152</c:v>
                </c:pt>
                <c:pt idx="574">
                  <c:v>43153</c:v>
                </c:pt>
                <c:pt idx="575">
                  <c:v>43154</c:v>
                </c:pt>
                <c:pt idx="576">
                  <c:v>43157</c:v>
                </c:pt>
                <c:pt idx="577">
                  <c:v>43158</c:v>
                </c:pt>
                <c:pt idx="578">
                  <c:v>43159</c:v>
                </c:pt>
                <c:pt idx="579">
                  <c:v>43160</c:v>
                </c:pt>
                <c:pt idx="580">
                  <c:v>43161</c:v>
                </c:pt>
                <c:pt idx="581">
                  <c:v>43164</c:v>
                </c:pt>
                <c:pt idx="582">
                  <c:v>43165</c:v>
                </c:pt>
                <c:pt idx="583">
                  <c:v>43166</c:v>
                </c:pt>
                <c:pt idx="584">
                  <c:v>43167</c:v>
                </c:pt>
                <c:pt idx="585">
                  <c:v>43168</c:v>
                </c:pt>
                <c:pt idx="586">
                  <c:v>43171</c:v>
                </c:pt>
                <c:pt idx="587">
                  <c:v>43172</c:v>
                </c:pt>
                <c:pt idx="588">
                  <c:v>43173</c:v>
                </c:pt>
                <c:pt idx="589">
                  <c:v>43174</c:v>
                </c:pt>
                <c:pt idx="590">
                  <c:v>43175</c:v>
                </c:pt>
                <c:pt idx="591">
                  <c:v>43178</c:v>
                </c:pt>
                <c:pt idx="592">
                  <c:v>43179</c:v>
                </c:pt>
                <c:pt idx="593">
                  <c:v>43180</c:v>
                </c:pt>
                <c:pt idx="594">
                  <c:v>43181</c:v>
                </c:pt>
                <c:pt idx="595">
                  <c:v>43182</c:v>
                </c:pt>
                <c:pt idx="596">
                  <c:v>43185</c:v>
                </c:pt>
                <c:pt idx="597">
                  <c:v>43186</c:v>
                </c:pt>
                <c:pt idx="598">
                  <c:v>43187</c:v>
                </c:pt>
                <c:pt idx="599">
                  <c:v>43188</c:v>
                </c:pt>
                <c:pt idx="600">
                  <c:v>43192</c:v>
                </c:pt>
                <c:pt idx="601">
                  <c:v>43193</c:v>
                </c:pt>
                <c:pt idx="602">
                  <c:v>43194</c:v>
                </c:pt>
                <c:pt idx="603">
                  <c:v>43195</c:v>
                </c:pt>
                <c:pt idx="604">
                  <c:v>43196</c:v>
                </c:pt>
                <c:pt idx="605">
                  <c:v>43199</c:v>
                </c:pt>
                <c:pt idx="606">
                  <c:v>43200</c:v>
                </c:pt>
                <c:pt idx="607">
                  <c:v>43201</c:v>
                </c:pt>
                <c:pt idx="608">
                  <c:v>43202</c:v>
                </c:pt>
                <c:pt idx="609">
                  <c:v>43203</c:v>
                </c:pt>
                <c:pt idx="610">
                  <c:v>43206</c:v>
                </c:pt>
                <c:pt idx="611">
                  <c:v>43207</c:v>
                </c:pt>
                <c:pt idx="612">
                  <c:v>43208</c:v>
                </c:pt>
                <c:pt idx="613">
                  <c:v>43209</c:v>
                </c:pt>
                <c:pt idx="614">
                  <c:v>43210</c:v>
                </c:pt>
                <c:pt idx="615">
                  <c:v>43213</c:v>
                </c:pt>
                <c:pt idx="616">
                  <c:v>43214</c:v>
                </c:pt>
                <c:pt idx="617">
                  <c:v>43215</c:v>
                </c:pt>
                <c:pt idx="618">
                  <c:v>43216</c:v>
                </c:pt>
                <c:pt idx="619">
                  <c:v>43217</c:v>
                </c:pt>
                <c:pt idx="620">
                  <c:v>43220</c:v>
                </c:pt>
                <c:pt idx="621">
                  <c:v>43221</c:v>
                </c:pt>
                <c:pt idx="622">
                  <c:v>43222</c:v>
                </c:pt>
                <c:pt idx="623">
                  <c:v>43223</c:v>
                </c:pt>
                <c:pt idx="624">
                  <c:v>43224</c:v>
                </c:pt>
                <c:pt idx="625">
                  <c:v>43227</c:v>
                </c:pt>
                <c:pt idx="626">
                  <c:v>43228</c:v>
                </c:pt>
                <c:pt idx="627">
                  <c:v>43229</c:v>
                </c:pt>
                <c:pt idx="628">
                  <c:v>43230</c:v>
                </c:pt>
                <c:pt idx="629">
                  <c:v>43231</c:v>
                </c:pt>
                <c:pt idx="630">
                  <c:v>43234</c:v>
                </c:pt>
                <c:pt idx="631">
                  <c:v>43235</c:v>
                </c:pt>
                <c:pt idx="632">
                  <c:v>43236</c:v>
                </c:pt>
                <c:pt idx="633">
                  <c:v>43237</c:v>
                </c:pt>
                <c:pt idx="634">
                  <c:v>43238</c:v>
                </c:pt>
                <c:pt idx="635">
                  <c:v>43241</c:v>
                </c:pt>
                <c:pt idx="636">
                  <c:v>43242</c:v>
                </c:pt>
                <c:pt idx="637">
                  <c:v>43243</c:v>
                </c:pt>
                <c:pt idx="638">
                  <c:v>43244</c:v>
                </c:pt>
                <c:pt idx="639">
                  <c:v>43245</c:v>
                </c:pt>
                <c:pt idx="640">
                  <c:v>43249</c:v>
                </c:pt>
                <c:pt idx="641">
                  <c:v>43250</c:v>
                </c:pt>
                <c:pt idx="642">
                  <c:v>43251</c:v>
                </c:pt>
                <c:pt idx="643">
                  <c:v>43252</c:v>
                </c:pt>
                <c:pt idx="644">
                  <c:v>43255</c:v>
                </c:pt>
                <c:pt idx="645">
                  <c:v>43256</c:v>
                </c:pt>
                <c:pt idx="646">
                  <c:v>43257</c:v>
                </c:pt>
                <c:pt idx="647">
                  <c:v>43258</c:v>
                </c:pt>
                <c:pt idx="648">
                  <c:v>43259</c:v>
                </c:pt>
                <c:pt idx="649">
                  <c:v>43262</c:v>
                </c:pt>
                <c:pt idx="650">
                  <c:v>43263</c:v>
                </c:pt>
                <c:pt idx="651">
                  <c:v>43264</c:v>
                </c:pt>
                <c:pt idx="652">
                  <c:v>43265</c:v>
                </c:pt>
                <c:pt idx="653">
                  <c:v>43266</c:v>
                </c:pt>
                <c:pt idx="654">
                  <c:v>43269</c:v>
                </c:pt>
                <c:pt idx="655">
                  <c:v>43270</c:v>
                </c:pt>
                <c:pt idx="656">
                  <c:v>43271</c:v>
                </c:pt>
                <c:pt idx="657">
                  <c:v>43272</c:v>
                </c:pt>
                <c:pt idx="658">
                  <c:v>43273</c:v>
                </c:pt>
                <c:pt idx="659">
                  <c:v>43276</c:v>
                </c:pt>
                <c:pt idx="660">
                  <c:v>43277</c:v>
                </c:pt>
                <c:pt idx="661">
                  <c:v>43278</c:v>
                </c:pt>
                <c:pt idx="662">
                  <c:v>43279</c:v>
                </c:pt>
                <c:pt idx="663">
                  <c:v>43280</c:v>
                </c:pt>
                <c:pt idx="664">
                  <c:v>43283</c:v>
                </c:pt>
                <c:pt idx="665">
                  <c:v>43284</c:v>
                </c:pt>
                <c:pt idx="666">
                  <c:v>43286</c:v>
                </c:pt>
                <c:pt idx="667">
                  <c:v>43287</c:v>
                </c:pt>
                <c:pt idx="668">
                  <c:v>43290</c:v>
                </c:pt>
                <c:pt idx="669">
                  <c:v>43291</c:v>
                </c:pt>
                <c:pt idx="670">
                  <c:v>43292</c:v>
                </c:pt>
                <c:pt idx="671">
                  <c:v>43293</c:v>
                </c:pt>
                <c:pt idx="672">
                  <c:v>43294</c:v>
                </c:pt>
                <c:pt idx="673">
                  <c:v>43297</c:v>
                </c:pt>
                <c:pt idx="674">
                  <c:v>43298</c:v>
                </c:pt>
                <c:pt idx="675">
                  <c:v>43299</c:v>
                </c:pt>
                <c:pt idx="676">
                  <c:v>43300</c:v>
                </c:pt>
                <c:pt idx="677">
                  <c:v>43301</c:v>
                </c:pt>
                <c:pt idx="678">
                  <c:v>43304</c:v>
                </c:pt>
                <c:pt idx="679">
                  <c:v>43305</c:v>
                </c:pt>
                <c:pt idx="680">
                  <c:v>43306</c:v>
                </c:pt>
                <c:pt idx="681">
                  <c:v>43307</c:v>
                </c:pt>
                <c:pt idx="682">
                  <c:v>43308</c:v>
                </c:pt>
                <c:pt idx="683">
                  <c:v>43311</c:v>
                </c:pt>
                <c:pt idx="684">
                  <c:v>43312</c:v>
                </c:pt>
                <c:pt idx="685">
                  <c:v>43313</c:v>
                </c:pt>
                <c:pt idx="686">
                  <c:v>43314</c:v>
                </c:pt>
                <c:pt idx="687">
                  <c:v>43315</c:v>
                </c:pt>
                <c:pt idx="688">
                  <c:v>43318</c:v>
                </c:pt>
                <c:pt idx="689">
                  <c:v>43319</c:v>
                </c:pt>
                <c:pt idx="690">
                  <c:v>43320</c:v>
                </c:pt>
                <c:pt idx="691">
                  <c:v>43321</c:v>
                </c:pt>
                <c:pt idx="692">
                  <c:v>43322</c:v>
                </c:pt>
                <c:pt idx="693">
                  <c:v>43325</c:v>
                </c:pt>
                <c:pt idx="694">
                  <c:v>43326</c:v>
                </c:pt>
                <c:pt idx="695">
                  <c:v>43327</c:v>
                </c:pt>
                <c:pt idx="696">
                  <c:v>43328</c:v>
                </c:pt>
                <c:pt idx="697">
                  <c:v>43329</c:v>
                </c:pt>
                <c:pt idx="698">
                  <c:v>43332</c:v>
                </c:pt>
                <c:pt idx="699">
                  <c:v>43333</c:v>
                </c:pt>
                <c:pt idx="700">
                  <c:v>43334</c:v>
                </c:pt>
                <c:pt idx="701">
                  <c:v>43335</c:v>
                </c:pt>
                <c:pt idx="702">
                  <c:v>43336</c:v>
                </c:pt>
                <c:pt idx="703">
                  <c:v>43339</c:v>
                </c:pt>
                <c:pt idx="704">
                  <c:v>43340</c:v>
                </c:pt>
                <c:pt idx="705">
                  <c:v>43341</c:v>
                </c:pt>
                <c:pt idx="706">
                  <c:v>43342</c:v>
                </c:pt>
                <c:pt idx="707">
                  <c:v>43343</c:v>
                </c:pt>
                <c:pt idx="708">
                  <c:v>43347</c:v>
                </c:pt>
                <c:pt idx="709">
                  <c:v>43348</c:v>
                </c:pt>
                <c:pt idx="710">
                  <c:v>43349</c:v>
                </c:pt>
                <c:pt idx="711">
                  <c:v>43350</c:v>
                </c:pt>
                <c:pt idx="712">
                  <c:v>43353</c:v>
                </c:pt>
                <c:pt idx="713">
                  <c:v>43354</c:v>
                </c:pt>
                <c:pt idx="714">
                  <c:v>43355</c:v>
                </c:pt>
                <c:pt idx="715">
                  <c:v>43356</c:v>
                </c:pt>
                <c:pt idx="716">
                  <c:v>43357</c:v>
                </c:pt>
                <c:pt idx="717">
                  <c:v>43360</c:v>
                </c:pt>
                <c:pt idx="718">
                  <c:v>43361</c:v>
                </c:pt>
                <c:pt idx="719">
                  <c:v>43362</c:v>
                </c:pt>
                <c:pt idx="720">
                  <c:v>43363</c:v>
                </c:pt>
                <c:pt idx="721">
                  <c:v>43364</c:v>
                </c:pt>
                <c:pt idx="722">
                  <c:v>43367</c:v>
                </c:pt>
                <c:pt idx="723">
                  <c:v>43368</c:v>
                </c:pt>
                <c:pt idx="724">
                  <c:v>43369</c:v>
                </c:pt>
                <c:pt idx="725">
                  <c:v>43370</c:v>
                </c:pt>
                <c:pt idx="726">
                  <c:v>43371</c:v>
                </c:pt>
                <c:pt idx="727">
                  <c:v>43374</c:v>
                </c:pt>
                <c:pt idx="728">
                  <c:v>43375</c:v>
                </c:pt>
                <c:pt idx="729">
                  <c:v>43376</c:v>
                </c:pt>
                <c:pt idx="730">
                  <c:v>43377</c:v>
                </c:pt>
                <c:pt idx="731">
                  <c:v>43378</c:v>
                </c:pt>
                <c:pt idx="732">
                  <c:v>43381</c:v>
                </c:pt>
                <c:pt idx="733">
                  <c:v>43382</c:v>
                </c:pt>
                <c:pt idx="734">
                  <c:v>43383</c:v>
                </c:pt>
                <c:pt idx="735">
                  <c:v>43384</c:v>
                </c:pt>
                <c:pt idx="736">
                  <c:v>43385</c:v>
                </c:pt>
                <c:pt idx="737">
                  <c:v>43388</c:v>
                </c:pt>
              </c:numCache>
            </c:numRef>
          </c:xVal>
          <c:yVal>
            <c:numRef>
              <c:f>'tesla-stock-price (3)'!$D$22:$D$759</c:f>
              <c:numCache>
                <c:formatCode>General</c:formatCode>
                <c:ptCount val="738"/>
                <c:pt idx="0">
                  <c:v>8.1500000000000057</c:v>
                </c:pt>
                <c:pt idx="1">
                  <c:v>-12.549999999999983</c:v>
                </c:pt>
                <c:pt idx="2">
                  <c:v>-18.830000000000013</c:v>
                </c:pt>
                <c:pt idx="3">
                  <c:v>-25.170000000000016</c:v>
                </c:pt>
                <c:pt idx="4">
                  <c:v>-11.02000000000001</c:v>
                </c:pt>
                <c:pt idx="5">
                  <c:v>-2.5</c:v>
                </c:pt>
                <c:pt idx="6">
                  <c:v>1.9899999999999807</c:v>
                </c:pt>
                <c:pt idx="7">
                  <c:v>8.8600000000000136</c:v>
                </c:pt>
                <c:pt idx="8">
                  <c:v>12.819999999999993</c:v>
                </c:pt>
                <c:pt idx="9">
                  <c:v>3.4399999999999977</c:v>
                </c:pt>
                <c:pt idx="10">
                  <c:v>4.25</c:v>
                </c:pt>
                <c:pt idx="11">
                  <c:v>8.5699999999999932</c:v>
                </c:pt>
                <c:pt idx="12">
                  <c:v>9.8100000000000023</c:v>
                </c:pt>
                <c:pt idx="13">
                  <c:v>10.25</c:v>
                </c:pt>
                <c:pt idx="14">
                  <c:v>19.439999999999998</c:v>
                </c:pt>
                <c:pt idx="15">
                  <c:v>13.740000000000009</c:v>
                </c:pt>
                <c:pt idx="16">
                  <c:v>3.0700000000000216</c:v>
                </c:pt>
                <c:pt idx="17">
                  <c:v>-1.2300000000000182</c:v>
                </c:pt>
                <c:pt idx="18">
                  <c:v>0.87000000000000455</c:v>
                </c:pt>
                <c:pt idx="19">
                  <c:v>-10.469999999999999</c:v>
                </c:pt>
                <c:pt idx="20">
                  <c:v>-7.4699999999999989</c:v>
                </c:pt>
                <c:pt idx="21">
                  <c:v>-5.6400000000000148</c:v>
                </c:pt>
                <c:pt idx="22">
                  <c:v>-13.359999999999985</c:v>
                </c:pt>
                <c:pt idx="23">
                  <c:v>-12.549999999999983</c:v>
                </c:pt>
                <c:pt idx="24">
                  <c:v>-5.6299999999999955</c:v>
                </c:pt>
                <c:pt idx="25">
                  <c:v>9.9899999999999807</c:v>
                </c:pt>
                <c:pt idx="26">
                  <c:v>6.3199999999999932</c:v>
                </c:pt>
                <c:pt idx="27">
                  <c:v>13.439999999999998</c:v>
                </c:pt>
                <c:pt idx="28">
                  <c:v>13.97999999999999</c:v>
                </c:pt>
                <c:pt idx="29">
                  <c:v>8.8599999999999852</c:v>
                </c:pt>
                <c:pt idx="30">
                  <c:v>-4.8100000000000023</c:v>
                </c:pt>
                <c:pt idx="31">
                  <c:v>-2.8199999999999932</c:v>
                </c:pt>
                <c:pt idx="32">
                  <c:v>-1.5100000000000193</c:v>
                </c:pt>
                <c:pt idx="33">
                  <c:v>4.6299999999999955</c:v>
                </c:pt>
                <c:pt idx="34">
                  <c:v>8.1400000000000148</c:v>
                </c:pt>
                <c:pt idx="35">
                  <c:v>10.310000000000002</c:v>
                </c:pt>
                <c:pt idx="36">
                  <c:v>-7.1599999999999966</c:v>
                </c:pt>
                <c:pt idx="37">
                  <c:v>-5.5199999999999818</c:v>
                </c:pt>
                <c:pt idx="38">
                  <c:v>-18.150000000000006</c:v>
                </c:pt>
                <c:pt idx="39">
                  <c:v>-22.439999999999998</c:v>
                </c:pt>
                <c:pt idx="40">
                  <c:v>-29.009999999999991</c:v>
                </c:pt>
                <c:pt idx="41">
                  <c:v>-15.560000000000002</c:v>
                </c:pt>
                <c:pt idx="42">
                  <c:v>-13.460000000000008</c:v>
                </c:pt>
                <c:pt idx="43">
                  <c:v>-18.72999999999999</c:v>
                </c:pt>
                <c:pt idx="44">
                  <c:v>-9.4699999999999989</c:v>
                </c:pt>
                <c:pt idx="45">
                  <c:v>-6.0099999999999909</c:v>
                </c:pt>
                <c:pt idx="46">
                  <c:v>-3.1299999999999955</c:v>
                </c:pt>
                <c:pt idx="47">
                  <c:v>-11.27000000000001</c:v>
                </c:pt>
                <c:pt idx="48">
                  <c:v>-0.34000000000000341</c:v>
                </c:pt>
                <c:pt idx="49">
                  <c:v>-3.6299999999999955</c:v>
                </c:pt>
                <c:pt idx="50">
                  <c:v>-8.6100000000000136</c:v>
                </c:pt>
                <c:pt idx="51">
                  <c:v>-11.159999999999997</c:v>
                </c:pt>
                <c:pt idx="52">
                  <c:v>-10.629999999999995</c:v>
                </c:pt>
                <c:pt idx="53">
                  <c:v>-10.27000000000001</c:v>
                </c:pt>
                <c:pt idx="54">
                  <c:v>-11.350000000000023</c:v>
                </c:pt>
                <c:pt idx="55">
                  <c:v>0.56000000000000227</c:v>
                </c:pt>
                <c:pt idx="56">
                  <c:v>-10.780000000000001</c:v>
                </c:pt>
                <c:pt idx="57">
                  <c:v>-14.590000000000003</c:v>
                </c:pt>
                <c:pt idx="58">
                  <c:v>-14.369999999999976</c:v>
                </c:pt>
                <c:pt idx="59">
                  <c:v>-28.599999999999994</c:v>
                </c:pt>
                <c:pt idx="60">
                  <c:v>-48.949999999999989</c:v>
                </c:pt>
                <c:pt idx="61">
                  <c:v>-34.53</c:v>
                </c:pt>
                <c:pt idx="62">
                  <c:v>-29.810000000000002</c:v>
                </c:pt>
                <c:pt idx="63">
                  <c:v>-24.860000000000014</c:v>
                </c:pt>
                <c:pt idx="64">
                  <c:v>-11.560000000000002</c:v>
                </c:pt>
                <c:pt idx="65">
                  <c:v>7.1799999999999784</c:v>
                </c:pt>
                <c:pt idx="66">
                  <c:v>20.430000000000007</c:v>
                </c:pt>
                <c:pt idx="67">
                  <c:v>23.100000000000023</c:v>
                </c:pt>
                <c:pt idx="68">
                  <c:v>16.110000000000014</c:v>
                </c:pt>
                <c:pt idx="69">
                  <c:v>26.700000000000017</c:v>
                </c:pt>
                <c:pt idx="70">
                  <c:v>22.04000000000002</c:v>
                </c:pt>
                <c:pt idx="71">
                  <c:v>10.319999999999993</c:v>
                </c:pt>
                <c:pt idx="72">
                  <c:v>20.659999999999997</c:v>
                </c:pt>
                <c:pt idx="73">
                  <c:v>23.759999999999991</c:v>
                </c:pt>
                <c:pt idx="74">
                  <c:v>14.189999999999998</c:v>
                </c:pt>
                <c:pt idx="75">
                  <c:v>9.1399999999999864</c:v>
                </c:pt>
                <c:pt idx="76">
                  <c:v>9.3400000000000034</c:v>
                </c:pt>
                <c:pt idx="77">
                  <c:v>8.3100000000000023</c:v>
                </c:pt>
                <c:pt idx="78">
                  <c:v>10.699999999999989</c:v>
                </c:pt>
                <c:pt idx="79">
                  <c:v>13.359999999999985</c:v>
                </c:pt>
                <c:pt idx="80">
                  <c:v>16.25</c:v>
                </c:pt>
                <c:pt idx="81">
                  <c:v>20.379999999999995</c:v>
                </c:pt>
                <c:pt idx="82">
                  <c:v>9.4399999999999977</c:v>
                </c:pt>
                <c:pt idx="83">
                  <c:v>6.460000000000008</c:v>
                </c:pt>
                <c:pt idx="84">
                  <c:v>9.8600000000000136</c:v>
                </c:pt>
                <c:pt idx="85">
                  <c:v>15.740000000000009</c:v>
                </c:pt>
                <c:pt idx="86">
                  <c:v>13.210000000000008</c:v>
                </c:pt>
                <c:pt idx="87">
                  <c:v>21.199999999999989</c:v>
                </c:pt>
                <c:pt idx="88">
                  <c:v>25.240000000000009</c:v>
                </c:pt>
                <c:pt idx="89">
                  <c:v>23.169999999999987</c:v>
                </c:pt>
                <c:pt idx="90">
                  <c:v>15.900000000000006</c:v>
                </c:pt>
                <c:pt idx="91">
                  <c:v>0.65000000000000568</c:v>
                </c:pt>
                <c:pt idx="92">
                  <c:v>1.3700000000000045</c:v>
                </c:pt>
                <c:pt idx="93">
                  <c:v>-2.4800000000000182</c:v>
                </c:pt>
                <c:pt idx="94">
                  <c:v>-8.1899999999999977</c:v>
                </c:pt>
                <c:pt idx="95">
                  <c:v>-7.3500000000000227</c:v>
                </c:pt>
                <c:pt idx="96">
                  <c:v>7.1899999999999977</c:v>
                </c:pt>
                <c:pt idx="97">
                  <c:v>9.8400000000000034</c:v>
                </c:pt>
                <c:pt idx="98">
                  <c:v>16.730000000000018</c:v>
                </c:pt>
                <c:pt idx="99">
                  <c:v>25.340000000000003</c:v>
                </c:pt>
                <c:pt idx="100">
                  <c:v>38.53000000000003</c:v>
                </c:pt>
                <c:pt idx="101">
                  <c:v>27.429999999999978</c:v>
                </c:pt>
                <c:pt idx="102">
                  <c:v>12.47999999999999</c:v>
                </c:pt>
                <c:pt idx="103">
                  <c:v>2.9299999999999784</c:v>
                </c:pt>
                <c:pt idx="104">
                  <c:v>-7.6500000000000057</c:v>
                </c:pt>
                <c:pt idx="105">
                  <c:v>-10.890000000000015</c:v>
                </c:pt>
                <c:pt idx="106">
                  <c:v>-5.339999999999975</c:v>
                </c:pt>
                <c:pt idx="107">
                  <c:v>4.4399999999999977</c:v>
                </c:pt>
                <c:pt idx="108">
                  <c:v>3.960000000000008</c:v>
                </c:pt>
                <c:pt idx="109">
                  <c:v>-0.44999999999998863</c:v>
                </c:pt>
                <c:pt idx="110">
                  <c:v>-4.5600000000000023</c:v>
                </c:pt>
                <c:pt idx="111">
                  <c:v>-3.5700000000000216</c:v>
                </c:pt>
                <c:pt idx="112">
                  <c:v>-0.75999999999999091</c:v>
                </c:pt>
                <c:pt idx="113">
                  <c:v>-2.0600000000000023</c:v>
                </c:pt>
                <c:pt idx="114">
                  <c:v>6.3700000000000045</c:v>
                </c:pt>
                <c:pt idx="115">
                  <c:v>1.5</c:v>
                </c:pt>
                <c:pt idx="116">
                  <c:v>-0.57999999999998408</c:v>
                </c:pt>
                <c:pt idx="117">
                  <c:v>-12.990000000000009</c:v>
                </c:pt>
                <c:pt idx="118">
                  <c:v>-10.019999999999982</c:v>
                </c:pt>
                <c:pt idx="119">
                  <c:v>-21.420000000000016</c:v>
                </c:pt>
                <c:pt idx="120">
                  <c:v>-28.909999999999997</c:v>
                </c:pt>
                <c:pt idx="121">
                  <c:v>-36.180000000000007</c:v>
                </c:pt>
                <c:pt idx="122">
                  <c:v>-25.829999999999984</c:v>
                </c:pt>
                <c:pt idx="123">
                  <c:v>-32.880000000000024</c:v>
                </c:pt>
                <c:pt idx="124">
                  <c:v>-23.629999999999995</c:v>
                </c:pt>
                <c:pt idx="125">
                  <c:v>-13.599999999999994</c:v>
                </c:pt>
                <c:pt idx="126">
                  <c:v>-4.25</c:v>
                </c:pt>
                <c:pt idx="127">
                  <c:v>-7.3199999999999932</c:v>
                </c:pt>
                <c:pt idx="128">
                  <c:v>-0.62999999999999545</c:v>
                </c:pt>
                <c:pt idx="129">
                  <c:v>-4.0300000000000011</c:v>
                </c:pt>
                <c:pt idx="130">
                  <c:v>2.2099999999999795</c:v>
                </c:pt>
                <c:pt idx="131">
                  <c:v>7.9300000000000068</c:v>
                </c:pt>
                <c:pt idx="132">
                  <c:v>12.669999999999987</c:v>
                </c:pt>
                <c:pt idx="133">
                  <c:v>7.9300000000000068</c:v>
                </c:pt>
                <c:pt idx="134">
                  <c:v>13.25</c:v>
                </c:pt>
                <c:pt idx="135">
                  <c:v>8.410000000000025</c:v>
                </c:pt>
                <c:pt idx="136">
                  <c:v>9.9099999999999966</c:v>
                </c:pt>
                <c:pt idx="137">
                  <c:v>2.7599999999999909</c:v>
                </c:pt>
                <c:pt idx="138">
                  <c:v>7.0099999999999909</c:v>
                </c:pt>
                <c:pt idx="139">
                  <c:v>1.6500000000000057</c:v>
                </c:pt>
                <c:pt idx="140">
                  <c:v>-0.62000000000000455</c:v>
                </c:pt>
                <c:pt idx="141">
                  <c:v>-6.1299999999999955</c:v>
                </c:pt>
                <c:pt idx="142">
                  <c:v>-2.3599999999999852</c:v>
                </c:pt>
                <c:pt idx="143">
                  <c:v>9.1100000000000136</c:v>
                </c:pt>
                <c:pt idx="144">
                  <c:v>15.960000000000008</c:v>
                </c:pt>
                <c:pt idx="145">
                  <c:v>10.400000000000006</c:v>
                </c:pt>
                <c:pt idx="146">
                  <c:v>-0.20000000000001705</c:v>
                </c:pt>
                <c:pt idx="147">
                  <c:v>-2.8100000000000023</c:v>
                </c:pt>
                <c:pt idx="148">
                  <c:v>-17.379999999999995</c:v>
                </c:pt>
                <c:pt idx="149">
                  <c:v>-17.820000000000022</c:v>
                </c:pt>
                <c:pt idx="150">
                  <c:v>-11.430000000000007</c:v>
                </c:pt>
                <c:pt idx="151">
                  <c:v>-3.3199999999999932</c:v>
                </c:pt>
                <c:pt idx="152">
                  <c:v>1.8299999999999841</c:v>
                </c:pt>
                <c:pt idx="153">
                  <c:v>4.6500000000000057</c:v>
                </c:pt>
                <c:pt idx="154">
                  <c:v>-21.039999999999992</c:v>
                </c:pt>
                <c:pt idx="155">
                  <c:v>-21.53</c:v>
                </c:pt>
                <c:pt idx="156">
                  <c:v>-22.319999999999993</c:v>
                </c:pt>
                <c:pt idx="157">
                  <c:v>-21.149999999999977</c:v>
                </c:pt>
                <c:pt idx="158">
                  <c:v>-17.820000000000022</c:v>
                </c:pt>
                <c:pt idx="159">
                  <c:v>13.530000000000001</c:v>
                </c:pt>
                <c:pt idx="160">
                  <c:v>15.879999999999995</c:v>
                </c:pt>
                <c:pt idx="161">
                  <c:v>23.349999999999994</c:v>
                </c:pt>
                <c:pt idx="162">
                  <c:v>15.429999999999978</c:v>
                </c:pt>
                <c:pt idx="163">
                  <c:v>12.650000000000006</c:v>
                </c:pt>
                <c:pt idx="164">
                  <c:v>5.75</c:v>
                </c:pt>
                <c:pt idx="165">
                  <c:v>4.5</c:v>
                </c:pt>
                <c:pt idx="166">
                  <c:v>8.2800000000000011</c:v>
                </c:pt>
                <c:pt idx="167">
                  <c:v>10.670000000000016</c:v>
                </c:pt>
                <c:pt idx="168">
                  <c:v>8.0900000000000034</c:v>
                </c:pt>
                <c:pt idx="169">
                  <c:v>5.5900000000000034</c:v>
                </c:pt>
                <c:pt idx="170">
                  <c:v>3.6200000000000045</c:v>
                </c:pt>
                <c:pt idx="171">
                  <c:v>1.4699999999999989</c:v>
                </c:pt>
                <c:pt idx="172">
                  <c:v>0.60999999999998522</c:v>
                </c:pt>
                <c:pt idx="173">
                  <c:v>5.8300000000000125</c:v>
                </c:pt>
                <c:pt idx="174">
                  <c:v>-1.0300000000000011</c:v>
                </c:pt>
                <c:pt idx="175">
                  <c:v>1.8700000000000045</c:v>
                </c:pt>
                <c:pt idx="176">
                  <c:v>3.7599999999999909</c:v>
                </c:pt>
                <c:pt idx="177">
                  <c:v>4.25</c:v>
                </c:pt>
                <c:pt idx="178">
                  <c:v>0.12999999999999545</c:v>
                </c:pt>
                <c:pt idx="179">
                  <c:v>10.110000000000014</c:v>
                </c:pt>
                <c:pt idx="180">
                  <c:v>12.519999999999982</c:v>
                </c:pt>
                <c:pt idx="181">
                  <c:v>0</c:v>
                </c:pt>
                <c:pt idx="182">
                  <c:v>-2.3100000000000023</c:v>
                </c:pt>
                <c:pt idx="183">
                  <c:v>-2.7000000000000171</c:v>
                </c:pt>
                <c:pt idx="184">
                  <c:v>0</c:v>
                </c:pt>
                <c:pt idx="185">
                  <c:v>-4.7599999999999909</c:v>
                </c:pt>
                <c:pt idx="186">
                  <c:v>-3.8499999999999943</c:v>
                </c:pt>
                <c:pt idx="187">
                  <c:v>1.8800000000000239</c:v>
                </c:pt>
                <c:pt idx="188">
                  <c:v>-0.13999999999998636</c:v>
                </c:pt>
                <c:pt idx="189">
                  <c:v>-5.7000000000000171</c:v>
                </c:pt>
                <c:pt idx="190">
                  <c:v>-4.4199999999999875</c:v>
                </c:pt>
                <c:pt idx="191">
                  <c:v>-0.56999999999999318</c:v>
                </c:pt>
                <c:pt idx="192">
                  <c:v>-5.4699999999999989</c:v>
                </c:pt>
                <c:pt idx="193">
                  <c:v>-2.4099999999999966</c:v>
                </c:pt>
                <c:pt idx="194">
                  <c:v>-1.4000000000000057</c:v>
                </c:pt>
                <c:pt idx="195">
                  <c:v>-0.61000000000001364</c:v>
                </c:pt>
                <c:pt idx="196">
                  <c:v>-2.6599999999999966</c:v>
                </c:pt>
                <c:pt idx="197">
                  <c:v>1.2299999999999898</c:v>
                </c:pt>
                <c:pt idx="198">
                  <c:v>-0.62000000000000455</c:v>
                </c:pt>
                <c:pt idx="199">
                  <c:v>-2.5499999999999829</c:v>
                </c:pt>
                <c:pt idx="200">
                  <c:v>-5.0099999999999909</c:v>
                </c:pt>
                <c:pt idx="201">
                  <c:v>-7.7300000000000182</c:v>
                </c:pt>
                <c:pt idx="202">
                  <c:v>-13.5</c:v>
                </c:pt>
                <c:pt idx="203">
                  <c:v>-10.610000000000014</c:v>
                </c:pt>
                <c:pt idx="204">
                  <c:v>-20.189999999999998</c:v>
                </c:pt>
                <c:pt idx="205">
                  <c:v>-22.210000000000008</c:v>
                </c:pt>
                <c:pt idx="206">
                  <c:v>-12.369999999999976</c:v>
                </c:pt>
                <c:pt idx="207">
                  <c:v>-9.6299999999999955</c:v>
                </c:pt>
                <c:pt idx="208">
                  <c:v>-14.649999999999977</c:v>
                </c:pt>
                <c:pt idx="209">
                  <c:v>-6.3000000000000114</c:v>
                </c:pt>
                <c:pt idx="210">
                  <c:v>0.52000000000001023</c:v>
                </c:pt>
                <c:pt idx="211">
                  <c:v>-6.7800000000000011</c:v>
                </c:pt>
                <c:pt idx="212">
                  <c:v>-5.3000000000000114</c:v>
                </c:pt>
                <c:pt idx="213">
                  <c:v>3.0599999999999739</c:v>
                </c:pt>
                <c:pt idx="214">
                  <c:v>10.930000000000007</c:v>
                </c:pt>
                <c:pt idx="215">
                  <c:v>8.039999999999992</c:v>
                </c:pt>
                <c:pt idx="216">
                  <c:v>8.589999999999975</c:v>
                </c:pt>
                <c:pt idx="217">
                  <c:v>8.8100000000000023</c:v>
                </c:pt>
                <c:pt idx="218">
                  <c:v>6.0100000000000193</c:v>
                </c:pt>
                <c:pt idx="219">
                  <c:v>2.0499999999999829</c:v>
                </c:pt>
                <c:pt idx="220">
                  <c:v>2.6500000000000057</c:v>
                </c:pt>
                <c:pt idx="221">
                  <c:v>1.1700000000000159</c:v>
                </c:pt>
                <c:pt idx="222">
                  <c:v>1.0500000000000114</c:v>
                </c:pt>
                <c:pt idx="223">
                  <c:v>-5.7300000000000182</c:v>
                </c:pt>
                <c:pt idx="224">
                  <c:v>-3.4199999999999875</c:v>
                </c:pt>
                <c:pt idx="225">
                  <c:v>4.7099999999999795</c:v>
                </c:pt>
                <c:pt idx="226">
                  <c:v>5.5999999999999943</c:v>
                </c:pt>
                <c:pt idx="227">
                  <c:v>2.1899999999999977</c:v>
                </c:pt>
                <c:pt idx="228">
                  <c:v>0.30000000000001137</c:v>
                </c:pt>
                <c:pt idx="229">
                  <c:v>-7.4199999999999875</c:v>
                </c:pt>
                <c:pt idx="230">
                  <c:v>-12.75</c:v>
                </c:pt>
                <c:pt idx="231">
                  <c:v>-11.310000000000002</c:v>
                </c:pt>
                <c:pt idx="232">
                  <c:v>-6.9500000000000171</c:v>
                </c:pt>
                <c:pt idx="233">
                  <c:v>-0.75999999999999091</c:v>
                </c:pt>
                <c:pt idx="234">
                  <c:v>-0.10000000000002274</c:v>
                </c:pt>
                <c:pt idx="235">
                  <c:v>-6.9899999999999807</c:v>
                </c:pt>
                <c:pt idx="236">
                  <c:v>-1</c:v>
                </c:pt>
                <c:pt idx="237">
                  <c:v>2.0500000000000114</c:v>
                </c:pt>
                <c:pt idx="238">
                  <c:v>-1.1400000000000148</c:v>
                </c:pt>
                <c:pt idx="239">
                  <c:v>3.5800000000000125</c:v>
                </c:pt>
                <c:pt idx="240">
                  <c:v>8.7999999999999829</c:v>
                </c:pt>
                <c:pt idx="241">
                  <c:v>3.2400000000000091</c:v>
                </c:pt>
                <c:pt idx="242">
                  <c:v>-1.3199999999999932</c:v>
                </c:pt>
                <c:pt idx="243">
                  <c:v>4.9099999999999966</c:v>
                </c:pt>
                <c:pt idx="244">
                  <c:v>-0.12000000000000455</c:v>
                </c:pt>
                <c:pt idx="245">
                  <c:v>-5.0300000000000011</c:v>
                </c:pt>
                <c:pt idx="246">
                  <c:v>-11.550000000000011</c:v>
                </c:pt>
                <c:pt idx="247">
                  <c:v>-14.219999999999999</c:v>
                </c:pt>
                <c:pt idx="248">
                  <c:v>-16.590000000000003</c:v>
                </c:pt>
                <c:pt idx="249">
                  <c:v>-9.4099999999999966</c:v>
                </c:pt>
                <c:pt idx="250">
                  <c:v>-4.5199999999999818</c:v>
                </c:pt>
                <c:pt idx="251">
                  <c:v>4.1500000000000057</c:v>
                </c:pt>
                <c:pt idx="252">
                  <c:v>2.039999999999992</c:v>
                </c:pt>
                <c:pt idx="253">
                  <c:v>-2.0699999999999932</c:v>
                </c:pt>
                <c:pt idx="254">
                  <c:v>-2</c:v>
                </c:pt>
                <c:pt idx="255">
                  <c:v>-11.760000000000019</c:v>
                </c:pt>
                <c:pt idx="256">
                  <c:v>-11.169999999999987</c:v>
                </c:pt>
                <c:pt idx="257">
                  <c:v>-6.1299999999999955</c:v>
                </c:pt>
                <c:pt idx="258">
                  <c:v>3.3100000000000023</c:v>
                </c:pt>
                <c:pt idx="259">
                  <c:v>-3.539999999999992</c:v>
                </c:pt>
                <c:pt idx="260">
                  <c:v>3.0700000000000216</c:v>
                </c:pt>
                <c:pt idx="261">
                  <c:v>7.3999999999999773</c:v>
                </c:pt>
                <c:pt idx="262">
                  <c:v>9.2099999999999795</c:v>
                </c:pt>
                <c:pt idx="263">
                  <c:v>7.9900000000000091</c:v>
                </c:pt>
                <c:pt idx="264">
                  <c:v>11.099999999999994</c:v>
                </c:pt>
                <c:pt idx="265">
                  <c:v>5.0499999999999829</c:v>
                </c:pt>
                <c:pt idx="266">
                  <c:v>-1.7699999999999818</c:v>
                </c:pt>
                <c:pt idx="267">
                  <c:v>-11.259999999999991</c:v>
                </c:pt>
                <c:pt idx="268">
                  <c:v>-15.180000000000007</c:v>
                </c:pt>
                <c:pt idx="269">
                  <c:v>-9.3199999999999932</c:v>
                </c:pt>
                <c:pt idx="270">
                  <c:v>-3.7199999999999989</c:v>
                </c:pt>
                <c:pt idx="271">
                  <c:v>3.75</c:v>
                </c:pt>
                <c:pt idx="272">
                  <c:v>10.409999999999997</c:v>
                </c:pt>
                <c:pt idx="273">
                  <c:v>10.710000000000008</c:v>
                </c:pt>
                <c:pt idx="274">
                  <c:v>5.6299999999999955</c:v>
                </c:pt>
                <c:pt idx="275">
                  <c:v>12.300000000000011</c:v>
                </c:pt>
                <c:pt idx="276">
                  <c:v>5.539999999999992</c:v>
                </c:pt>
                <c:pt idx="277">
                  <c:v>5.2900000000000205</c:v>
                </c:pt>
                <c:pt idx="278">
                  <c:v>10.310000000000002</c:v>
                </c:pt>
                <c:pt idx="279">
                  <c:v>10.299999999999983</c:v>
                </c:pt>
                <c:pt idx="280">
                  <c:v>10.639999999999986</c:v>
                </c:pt>
                <c:pt idx="281">
                  <c:v>9.0099999999999909</c:v>
                </c:pt>
                <c:pt idx="282">
                  <c:v>10.869999999999976</c:v>
                </c:pt>
                <c:pt idx="283">
                  <c:v>10.849999999999994</c:v>
                </c:pt>
                <c:pt idx="284">
                  <c:v>16.800000000000011</c:v>
                </c:pt>
                <c:pt idx="285">
                  <c:v>10.950000000000017</c:v>
                </c:pt>
                <c:pt idx="286">
                  <c:v>6.9800000000000182</c:v>
                </c:pt>
                <c:pt idx="287">
                  <c:v>5.2400000000000091</c:v>
                </c:pt>
                <c:pt idx="288">
                  <c:v>3.6500000000000057</c:v>
                </c:pt>
                <c:pt idx="289">
                  <c:v>7.460000000000008</c:v>
                </c:pt>
                <c:pt idx="290">
                  <c:v>7.0099999999999909</c:v>
                </c:pt>
                <c:pt idx="291">
                  <c:v>14.329999999999984</c:v>
                </c:pt>
                <c:pt idx="292">
                  <c:v>17.590000000000003</c:v>
                </c:pt>
                <c:pt idx="293">
                  <c:v>12.879999999999995</c:v>
                </c:pt>
                <c:pt idx="294">
                  <c:v>2.7399999999999807</c:v>
                </c:pt>
                <c:pt idx="295">
                  <c:v>2.8400000000000034</c:v>
                </c:pt>
                <c:pt idx="296">
                  <c:v>8.7400000000000091</c:v>
                </c:pt>
                <c:pt idx="297">
                  <c:v>4.3000000000000114</c:v>
                </c:pt>
                <c:pt idx="298">
                  <c:v>8.4900000000000091</c:v>
                </c:pt>
                <c:pt idx="299">
                  <c:v>14.030000000000001</c:v>
                </c:pt>
                <c:pt idx="300">
                  <c:v>15.139999999999986</c:v>
                </c:pt>
                <c:pt idx="301">
                  <c:v>11.169999999999987</c:v>
                </c:pt>
                <c:pt idx="302">
                  <c:v>19.03</c:v>
                </c:pt>
                <c:pt idx="303">
                  <c:v>16.109999999999985</c:v>
                </c:pt>
                <c:pt idx="304">
                  <c:v>8.75</c:v>
                </c:pt>
                <c:pt idx="305">
                  <c:v>8.2199999999999989</c:v>
                </c:pt>
                <c:pt idx="306">
                  <c:v>1.710000000000008</c:v>
                </c:pt>
                <c:pt idx="307">
                  <c:v>-2.6800000000000068</c:v>
                </c:pt>
                <c:pt idx="308">
                  <c:v>-5.2299999999999898</c:v>
                </c:pt>
                <c:pt idx="309">
                  <c:v>-0.95999999999997954</c:v>
                </c:pt>
                <c:pt idx="310">
                  <c:v>-1.6199999999999761</c:v>
                </c:pt>
                <c:pt idx="311">
                  <c:v>7.1399999999999864</c:v>
                </c:pt>
                <c:pt idx="312">
                  <c:v>5.5500000000000114</c:v>
                </c:pt>
                <c:pt idx="313">
                  <c:v>12.839999999999975</c:v>
                </c:pt>
                <c:pt idx="314">
                  <c:v>17.649999999999977</c:v>
                </c:pt>
                <c:pt idx="315">
                  <c:v>17.900000000000006</c:v>
                </c:pt>
                <c:pt idx="316">
                  <c:v>22.830000000000041</c:v>
                </c:pt>
                <c:pt idx="317">
                  <c:v>23.5</c:v>
                </c:pt>
                <c:pt idx="318">
                  <c:v>17.680000000000007</c:v>
                </c:pt>
                <c:pt idx="319">
                  <c:v>-0.25</c:v>
                </c:pt>
                <c:pt idx="320">
                  <c:v>3</c:v>
                </c:pt>
                <c:pt idx="321">
                  <c:v>-3.2100000000000364</c:v>
                </c:pt>
                <c:pt idx="322">
                  <c:v>-7.4700000000000273</c:v>
                </c:pt>
                <c:pt idx="323">
                  <c:v>-23.769999999999982</c:v>
                </c:pt>
                <c:pt idx="324">
                  <c:v>-11.949999999999989</c:v>
                </c:pt>
                <c:pt idx="325">
                  <c:v>-26.000000000000028</c:v>
                </c:pt>
                <c:pt idx="326">
                  <c:v>-27.399999999999977</c:v>
                </c:pt>
                <c:pt idx="327">
                  <c:v>-23.489999999999981</c:v>
                </c:pt>
                <c:pt idx="328">
                  <c:v>-5.5100000000000193</c:v>
                </c:pt>
                <c:pt idx="329">
                  <c:v>-5.4300000000000068</c:v>
                </c:pt>
                <c:pt idx="330">
                  <c:v>4.9800000000000182</c:v>
                </c:pt>
                <c:pt idx="331">
                  <c:v>-1.4000000000000057</c:v>
                </c:pt>
                <c:pt idx="332">
                  <c:v>-3.1500000000000057</c:v>
                </c:pt>
                <c:pt idx="333">
                  <c:v>-5.5799999999999841</c:v>
                </c:pt>
                <c:pt idx="334">
                  <c:v>-7.8799999999999955</c:v>
                </c:pt>
                <c:pt idx="335">
                  <c:v>-5.0400000000000205</c:v>
                </c:pt>
                <c:pt idx="336">
                  <c:v>9.4099999999999966</c:v>
                </c:pt>
                <c:pt idx="337">
                  <c:v>8.8599999999999852</c:v>
                </c:pt>
                <c:pt idx="338">
                  <c:v>17.150000000000006</c:v>
                </c:pt>
                <c:pt idx="339">
                  <c:v>17.810000000000002</c:v>
                </c:pt>
                <c:pt idx="340">
                  <c:v>15.750000000000028</c:v>
                </c:pt>
                <c:pt idx="341">
                  <c:v>-7.3199999999999932</c:v>
                </c:pt>
                <c:pt idx="342">
                  <c:v>-0.71999999999999886</c:v>
                </c:pt>
                <c:pt idx="343">
                  <c:v>-7.2700000000000102</c:v>
                </c:pt>
                <c:pt idx="344">
                  <c:v>1.660000000000025</c:v>
                </c:pt>
                <c:pt idx="345">
                  <c:v>8.3000000000000114</c:v>
                </c:pt>
                <c:pt idx="346">
                  <c:v>26.769999999999982</c:v>
                </c:pt>
                <c:pt idx="347">
                  <c:v>22.370000000000005</c:v>
                </c:pt>
                <c:pt idx="348">
                  <c:v>23.140000000000015</c:v>
                </c:pt>
                <c:pt idx="349">
                  <c:v>15.139999999999986</c:v>
                </c:pt>
                <c:pt idx="350">
                  <c:v>28.299999999999955</c:v>
                </c:pt>
                <c:pt idx="351">
                  <c:v>26.25</c:v>
                </c:pt>
                <c:pt idx="352">
                  <c:v>17.620000000000005</c:v>
                </c:pt>
                <c:pt idx="353">
                  <c:v>20.779999999999973</c:v>
                </c:pt>
                <c:pt idx="354">
                  <c:v>24.240000000000009</c:v>
                </c:pt>
                <c:pt idx="355">
                  <c:v>13.870000000000005</c:v>
                </c:pt>
                <c:pt idx="356">
                  <c:v>5.0099999999999909</c:v>
                </c:pt>
                <c:pt idx="357">
                  <c:v>1.839999999999975</c:v>
                </c:pt>
                <c:pt idx="358">
                  <c:v>5.3000000000000114</c:v>
                </c:pt>
                <c:pt idx="359">
                  <c:v>-1.1000000000000227</c:v>
                </c:pt>
                <c:pt idx="360">
                  <c:v>-12.139999999999986</c:v>
                </c:pt>
                <c:pt idx="361">
                  <c:v>-3.1899999999999977</c:v>
                </c:pt>
                <c:pt idx="362">
                  <c:v>5.6700000000000159</c:v>
                </c:pt>
                <c:pt idx="363">
                  <c:v>1.6000000000000227</c:v>
                </c:pt>
                <c:pt idx="364">
                  <c:v>6.589999999999975</c:v>
                </c:pt>
                <c:pt idx="365">
                  <c:v>13.54000000000002</c:v>
                </c:pt>
                <c:pt idx="366">
                  <c:v>4.6500000000000341</c:v>
                </c:pt>
                <c:pt idx="367">
                  <c:v>6.1200000000000045</c:v>
                </c:pt>
                <c:pt idx="368">
                  <c:v>8.4699999999999704</c:v>
                </c:pt>
                <c:pt idx="369">
                  <c:v>14.800000000000011</c:v>
                </c:pt>
                <c:pt idx="370">
                  <c:v>5.0999999999999659</c:v>
                </c:pt>
                <c:pt idx="371">
                  <c:v>0.84999999999996589</c:v>
                </c:pt>
                <c:pt idx="372">
                  <c:v>-13.170000000000016</c:v>
                </c:pt>
                <c:pt idx="373">
                  <c:v>-5.7199999999999704</c:v>
                </c:pt>
                <c:pt idx="374">
                  <c:v>-15.639999999999986</c:v>
                </c:pt>
                <c:pt idx="375">
                  <c:v>2.3700000000000045</c:v>
                </c:pt>
                <c:pt idx="376">
                  <c:v>14.200000000000045</c:v>
                </c:pt>
                <c:pt idx="377">
                  <c:v>27.640000000000043</c:v>
                </c:pt>
                <c:pt idx="378">
                  <c:v>16.45999999999998</c:v>
                </c:pt>
                <c:pt idx="379">
                  <c:v>8.6899999999999977</c:v>
                </c:pt>
                <c:pt idx="380">
                  <c:v>-4.25</c:v>
                </c:pt>
                <c:pt idx="381">
                  <c:v>-19.110000000000014</c:v>
                </c:pt>
                <c:pt idx="382">
                  <c:v>-10.04000000000002</c:v>
                </c:pt>
                <c:pt idx="383">
                  <c:v>-13.980000000000018</c:v>
                </c:pt>
                <c:pt idx="384">
                  <c:v>-5.5299999999999727</c:v>
                </c:pt>
                <c:pt idx="385">
                  <c:v>-13.149999999999977</c:v>
                </c:pt>
                <c:pt idx="386">
                  <c:v>4.1100000000000136</c:v>
                </c:pt>
                <c:pt idx="387">
                  <c:v>3.7699999999999818</c:v>
                </c:pt>
                <c:pt idx="388">
                  <c:v>14.310000000000002</c:v>
                </c:pt>
                <c:pt idx="389">
                  <c:v>24.75</c:v>
                </c:pt>
                <c:pt idx="390">
                  <c:v>37.149999999999977</c:v>
                </c:pt>
                <c:pt idx="391">
                  <c:v>30.149999999999977</c:v>
                </c:pt>
                <c:pt idx="392">
                  <c:v>23.020000000000039</c:v>
                </c:pt>
                <c:pt idx="393">
                  <c:v>22.180000000000007</c:v>
                </c:pt>
                <c:pt idx="394">
                  <c:v>17.75</c:v>
                </c:pt>
                <c:pt idx="395">
                  <c:v>18.639999999999986</c:v>
                </c:pt>
                <c:pt idx="396">
                  <c:v>29.629999999999995</c:v>
                </c:pt>
                <c:pt idx="397">
                  <c:v>17.46999999999997</c:v>
                </c:pt>
                <c:pt idx="398">
                  <c:v>11.689999999999998</c:v>
                </c:pt>
                <c:pt idx="399">
                  <c:v>23.099999999999966</c:v>
                </c:pt>
                <c:pt idx="400">
                  <c:v>21.010000000000048</c:v>
                </c:pt>
                <c:pt idx="401">
                  <c:v>5.339999999999975</c:v>
                </c:pt>
                <c:pt idx="402">
                  <c:v>14.079999999999984</c:v>
                </c:pt>
                <c:pt idx="403">
                  <c:v>10.79000000000002</c:v>
                </c:pt>
                <c:pt idx="404">
                  <c:v>-3.7099999999999795</c:v>
                </c:pt>
                <c:pt idx="405">
                  <c:v>-4.2600000000000477</c:v>
                </c:pt>
                <c:pt idx="406">
                  <c:v>7.2700000000000387</c:v>
                </c:pt>
                <c:pt idx="407">
                  <c:v>12.050000000000011</c:v>
                </c:pt>
                <c:pt idx="408">
                  <c:v>7.6899999999999977</c:v>
                </c:pt>
                <c:pt idx="409">
                  <c:v>-9.8700000000000045</c:v>
                </c:pt>
                <c:pt idx="410">
                  <c:v>-5.1599999999999682</c:v>
                </c:pt>
                <c:pt idx="411">
                  <c:v>-21.860000000000014</c:v>
                </c:pt>
                <c:pt idx="412">
                  <c:v>-21.839999999999975</c:v>
                </c:pt>
                <c:pt idx="413">
                  <c:v>-24.870000000000005</c:v>
                </c:pt>
                <c:pt idx="414">
                  <c:v>-35.28000000000003</c:v>
                </c:pt>
                <c:pt idx="415">
                  <c:v>-62.410000000000025</c:v>
                </c:pt>
                <c:pt idx="416">
                  <c:v>-47.529999999999973</c:v>
                </c:pt>
                <c:pt idx="417">
                  <c:v>-45.56</c:v>
                </c:pt>
                <c:pt idx="418">
                  <c:v>-25.399999999999977</c:v>
                </c:pt>
                <c:pt idx="419">
                  <c:v>2.4300000000000068</c:v>
                </c:pt>
                <c:pt idx="420">
                  <c:v>14.580000000000041</c:v>
                </c:pt>
                <c:pt idx="421">
                  <c:v>14.559999999999945</c:v>
                </c:pt>
                <c:pt idx="422">
                  <c:v>3.5199999999999818</c:v>
                </c:pt>
                <c:pt idx="423">
                  <c:v>1.0199999999999818</c:v>
                </c:pt>
                <c:pt idx="424">
                  <c:v>-4.2599999999999909</c:v>
                </c:pt>
                <c:pt idx="425">
                  <c:v>6.5099999999999909</c:v>
                </c:pt>
                <c:pt idx="426">
                  <c:v>0.62000000000000455</c:v>
                </c:pt>
                <c:pt idx="427">
                  <c:v>22.949999999999989</c:v>
                </c:pt>
                <c:pt idx="428">
                  <c:v>11.360000000000014</c:v>
                </c:pt>
                <c:pt idx="429">
                  <c:v>18.590000000000032</c:v>
                </c:pt>
                <c:pt idx="430">
                  <c:v>4.5399999999999636</c:v>
                </c:pt>
                <c:pt idx="431">
                  <c:v>6.6700000000000159</c:v>
                </c:pt>
                <c:pt idx="432">
                  <c:v>-19.049999999999955</c:v>
                </c:pt>
                <c:pt idx="433">
                  <c:v>-20.03000000000003</c:v>
                </c:pt>
                <c:pt idx="434">
                  <c:v>-17.960000000000036</c:v>
                </c:pt>
                <c:pt idx="435">
                  <c:v>12.629999999999995</c:v>
                </c:pt>
                <c:pt idx="436">
                  <c:v>21.840000000000032</c:v>
                </c:pt>
                <c:pt idx="437">
                  <c:v>31.699999999999989</c:v>
                </c:pt>
                <c:pt idx="438">
                  <c:v>45.650000000000034</c:v>
                </c:pt>
                <c:pt idx="439">
                  <c:v>37.639999999999986</c:v>
                </c:pt>
                <c:pt idx="440">
                  <c:v>8.3100000000000023</c:v>
                </c:pt>
                <c:pt idx="441">
                  <c:v>0.95999999999997954</c:v>
                </c:pt>
                <c:pt idx="442">
                  <c:v>8.6299999999999955</c:v>
                </c:pt>
                <c:pt idx="443">
                  <c:v>-2.8900000000000432</c:v>
                </c:pt>
                <c:pt idx="444">
                  <c:v>-0.6199999999999477</c:v>
                </c:pt>
                <c:pt idx="445">
                  <c:v>-3.4799999999999613</c:v>
                </c:pt>
                <c:pt idx="446">
                  <c:v>-10.410000000000025</c:v>
                </c:pt>
                <c:pt idx="447">
                  <c:v>-25.939999999999998</c:v>
                </c:pt>
                <c:pt idx="448">
                  <c:v>-20.979999999999961</c:v>
                </c:pt>
                <c:pt idx="449">
                  <c:v>-10.140000000000043</c:v>
                </c:pt>
                <c:pt idx="450">
                  <c:v>1.0099999999999909</c:v>
                </c:pt>
                <c:pt idx="451">
                  <c:v>0.59000000000003183</c:v>
                </c:pt>
                <c:pt idx="452">
                  <c:v>7.8000000000000114</c:v>
                </c:pt>
                <c:pt idx="453">
                  <c:v>6.0099999999999909</c:v>
                </c:pt>
                <c:pt idx="454">
                  <c:v>0.41000000000002501</c:v>
                </c:pt>
                <c:pt idx="455">
                  <c:v>2.9699999999999704</c:v>
                </c:pt>
                <c:pt idx="456">
                  <c:v>7.3499999999999659</c:v>
                </c:pt>
                <c:pt idx="457">
                  <c:v>3.92999999999995</c:v>
                </c:pt>
                <c:pt idx="458">
                  <c:v>-2.8300000000000409</c:v>
                </c:pt>
                <c:pt idx="459">
                  <c:v>-2.5699999999999932</c:v>
                </c:pt>
                <c:pt idx="460">
                  <c:v>-12.5</c:v>
                </c:pt>
                <c:pt idx="461">
                  <c:v>8.2900000000000205</c:v>
                </c:pt>
                <c:pt idx="462">
                  <c:v>13.160000000000025</c:v>
                </c:pt>
                <c:pt idx="463">
                  <c:v>21.700000000000045</c:v>
                </c:pt>
                <c:pt idx="464">
                  <c:v>27.029999999999973</c:v>
                </c:pt>
                <c:pt idx="465">
                  <c:v>36.410000000000025</c:v>
                </c:pt>
                <c:pt idx="466">
                  <c:v>21.310000000000002</c:v>
                </c:pt>
                <c:pt idx="467">
                  <c:v>12.350000000000023</c:v>
                </c:pt>
                <c:pt idx="468">
                  <c:v>7.6800000000000068</c:v>
                </c:pt>
                <c:pt idx="469">
                  <c:v>-11.159999999999968</c:v>
                </c:pt>
                <c:pt idx="470">
                  <c:v>-28.720000000000027</c:v>
                </c:pt>
                <c:pt idx="471">
                  <c:v>-40.009999999999991</c:v>
                </c:pt>
                <c:pt idx="472">
                  <c:v>-29.850000000000023</c:v>
                </c:pt>
                <c:pt idx="473">
                  <c:v>-32.94</c:v>
                </c:pt>
                <c:pt idx="474">
                  <c:v>-26.879999999999995</c:v>
                </c:pt>
                <c:pt idx="475">
                  <c:v>-9.9899999999999523</c:v>
                </c:pt>
                <c:pt idx="476">
                  <c:v>-3.4600000000000364</c:v>
                </c:pt>
                <c:pt idx="477">
                  <c:v>2.8899999999999864</c:v>
                </c:pt>
                <c:pt idx="478">
                  <c:v>14.039999999999964</c:v>
                </c:pt>
                <c:pt idx="479">
                  <c:v>15.729999999999961</c:v>
                </c:pt>
                <c:pt idx="480">
                  <c:v>15.779999999999973</c:v>
                </c:pt>
                <c:pt idx="481">
                  <c:v>1.410000000000025</c:v>
                </c:pt>
                <c:pt idx="482">
                  <c:v>7.4499999999999886</c:v>
                </c:pt>
                <c:pt idx="483">
                  <c:v>-0.40999999999996817</c:v>
                </c:pt>
                <c:pt idx="484">
                  <c:v>0.35000000000002274</c:v>
                </c:pt>
                <c:pt idx="485">
                  <c:v>-1.3100000000000023</c:v>
                </c:pt>
                <c:pt idx="486">
                  <c:v>7.660000000000025</c:v>
                </c:pt>
                <c:pt idx="487">
                  <c:v>0.16000000000002501</c:v>
                </c:pt>
                <c:pt idx="488">
                  <c:v>5.0499999999999545</c:v>
                </c:pt>
                <c:pt idx="489">
                  <c:v>-3.8700000000000045</c:v>
                </c:pt>
                <c:pt idx="490">
                  <c:v>-10.46999999999997</c:v>
                </c:pt>
                <c:pt idx="491">
                  <c:v>-13.580000000000041</c:v>
                </c:pt>
                <c:pt idx="492">
                  <c:v>-18.410000000000025</c:v>
                </c:pt>
                <c:pt idx="493">
                  <c:v>-33.81</c:v>
                </c:pt>
                <c:pt idx="494">
                  <c:v>-25.639999999999986</c:v>
                </c:pt>
                <c:pt idx="495">
                  <c:v>-24.230000000000018</c:v>
                </c:pt>
                <c:pt idx="496">
                  <c:v>-16.939999999999998</c:v>
                </c:pt>
                <c:pt idx="497">
                  <c:v>-5.8100000000000023</c:v>
                </c:pt>
                <c:pt idx="498">
                  <c:v>-4.7599999999999909</c:v>
                </c:pt>
                <c:pt idx="499">
                  <c:v>-26.910000000000025</c:v>
                </c:pt>
                <c:pt idx="500">
                  <c:v>-14.78000000000003</c:v>
                </c:pt>
                <c:pt idx="501">
                  <c:v>-17.300000000000011</c:v>
                </c:pt>
                <c:pt idx="502">
                  <c:v>-25.479999999999961</c:v>
                </c:pt>
                <c:pt idx="503">
                  <c:v>-16.689999999999998</c:v>
                </c:pt>
                <c:pt idx="504">
                  <c:v>3.7300000000000182</c:v>
                </c:pt>
                <c:pt idx="505">
                  <c:v>-3.0999999999999659</c:v>
                </c:pt>
                <c:pt idx="506">
                  <c:v>12.620000000000005</c:v>
                </c:pt>
                <c:pt idx="507">
                  <c:v>2.6499999999999773</c:v>
                </c:pt>
                <c:pt idx="508">
                  <c:v>6.910000000000025</c:v>
                </c:pt>
                <c:pt idx="509">
                  <c:v>9.5099999999999909</c:v>
                </c:pt>
                <c:pt idx="510">
                  <c:v>12.060000000000002</c:v>
                </c:pt>
                <c:pt idx="511">
                  <c:v>-6.6599999999999682</c:v>
                </c:pt>
                <c:pt idx="512">
                  <c:v>9.1100000000000136</c:v>
                </c:pt>
                <c:pt idx="513">
                  <c:v>1.3000000000000114</c:v>
                </c:pt>
                <c:pt idx="514">
                  <c:v>3.0500000000000114</c:v>
                </c:pt>
                <c:pt idx="515">
                  <c:v>1.7599999999999909</c:v>
                </c:pt>
                <c:pt idx="516">
                  <c:v>8.8100000000000023</c:v>
                </c:pt>
                <c:pt idx="517">
                  <c:v>-10.269999999999982</c:v>
                </c:pt>
                <c:pt idx="518">
                  <c:v>-3.75</c:v>
                </c:pt>
                <c:pt idx="519">
                  <c:v>-9.0200000000000387</c:v>
                </c:pt>
                <c:pt idx="520">
                  <c:v>-11.610000000000014</c:v>
                </c:pt>
                <c:pt idx="521">
                  <c:v>-13.850000000000023</c:v>
                </c:pt>
                <c:pt idx="522">
                  <c:v>5.7199999999999704</c:v>
                </c:pt>
                <c:pt idx="523">
                  <c:v>2.3899999999999864</c:v>
                </c:pt>
                <c:pt idx="524">
                  <c:v>8.6000000000000227</c:v>
                </c:pt>
                <c:pt idx="525">
                  <c:v>23.710000000000036</c:v>
                </c:pt>
                <c:pt idx="526">
                  <c:v>37.329999999999984</c:v>
                </c:pt>
                <c:pt idx="527">
                  <c:v>25.769999999999982</c:v>
                </c:pt>
                <c:pt idx="528">
                  <c:v>26.649999999999977</c:v>
                </c:pt>
                <c:pt idx="529">
                  <c:v>28.319999999999993</c:v>
                </c:pt>
                <c:pt idx="530">
                  <c:v>9.9599999999999795</c:v>
                </c:pt>
                <c:pt idx="531">
                  <c:v>-9.92999999999995</c:v>
                </c:pt>
                <c:pt idx="532">
                  <c:v>-10.049999999999955</c:v>
                </c:pt>
                <c:pt idx="533">
                  <c:v>-6.2299999999999613</c:v>
                </c:pt>
                <c:pt idx="534">
                  <c:v>-18.25</c:v>
                </c:pt>
                <c:pt idx="535">
                  <c:v>-21.579999999999984</c:v>
                </c:pt>
                <c:pt idx="536">
                  <c:v>-19.460000000000036</c:v>
                </c:pt>
                <c:pt idx="537">
                  <c:v>-13.620000000000005</c:v>
                </c:pt>
                <c:pt idx="538">
                  <c:v>-20.310000000000002</c:v>
                </c:pt>
                <c:pt idx="539">
                  <c:v>-4.6700000000000159</c:v>
                </c:pt>
                <c:pt idx="540">
                  <c:v>-4.0000000000020464E-2</c:v>
                </c:pt>
                <c:pt idx="541">
                  <c:v>2.9800000000000182</c:v>
                </c:pt>
                <c:pt idx="542">
                  <c:v>1.2199999999999704</c:v>
                </c:pt>
                <c:pt idx="543">
                  <c:v>25.060000000000002</c:v>
                </c:pt>
                <c:pt idx="544">
                  <c:v>13.160000000000025</c:v>
                </c:pt>
                <c:pt idx="545">
                  <c:v>17.550000000000011</c:v>
                </c:pt>
                <c:pt idx="546">
                  <c:v>23.329999999999984</c:v>
                </c:pt>
                <c:pt idx="547">
                  <c:v>19.640000000000043</c:v>
                </c:pt>
                <c:pt idx="548">
                  <c:v>3.6499999999999773</c:v>
                </c:pt>
                <c:pt idx="549">
                  <c:v>13.470000000000027</c:v>
                </c:pt>
                <c:pt idx="550">
                  <c:v>9.7699999999999818</c:v>
                </c:pt>
                <c:pt idx="551">
                  <c:v>12.069999999999993</c:v>
                </c:pt>
                <c:pt idx="552">
                  <c:v>15.339999999999975</c:v>
                </c:pt>
                <c:pt idx="553">
                  <c:v>12.730000000000018</c:v>
                </c:pt>
                <c:pt idx="554">
                  <c:v>-1.2700000000000387</c:v>
                </c:pt>
                <c:pt idx="555">
                  <c:v>-6.9300000000000068</c:v>
                </c:pt>
                <c:pt idx="556">
                  <c:v>-7.1699999999999591</c:v>
                </c:pt>
                <c:pt idx="557">
                  <c:v>-2.0300000000000296</c:v>
                </c:pt>
                <c:pt idx="558">
                  <c:v>-6.9700000000000273</c:v>
                </c:pt>
                <c:pt idx="559">
                  <c:v>8.4200000000000159</c:v>
                </c:pt>
                <c:pt idx="560">
                  <c:v>11.610000000000014</c:v>
                </c:pt>
                <c:pt idx="561">
                  <c:v>0.89999999999997726</c:v>
                </c:pt>
                <c:pt idx="562">
                  <c:v>-16.399999999999977</c:v>
                </c:pt>
                <c:pt idx="563">
                  <c:v>-11.849999999999966</c:v>
                </c:pt>
                <c:pt idx="564">
                  <c:v>-9.3100000000000023</c:v>
                </c:pt>
                <c:pt idx="565">
                  <c:v>-34.019999999999982</c:v>
                </c:pt>
                <c:pt idx="566">
                  <c:v>-33.329999999999984</c:v>
                </c:pt>
                <c:pt idx="567">
                  <c:v>-17.399999999999977</c:v>
                </c:pt>
                <c:pt idx="568">
                  <c:v>-10.310000000000002</c:v>
                </c:pt>
                <c:pt idx="569">
                  <c:v>-22.689999999999998</c:v>
                </c:pt>
                <c:pt idx="570">
                  <c:v>18.83499999999998</c:v>
                </c:pt>
                <c:pt idx="571">
                  <c:v>25.069999999999993</c:v>
                </c:pt>
                <c:pt idx="572">
                  <c:v>19.039999999999964</c:v>
                </c:pt>
                <c:pt idx="573">
                  <c:v>9.6399999999999864</c:v>
                </c:pt>
                <c:pt idx="574">
                  <c:v>23.860000000000014</c:v>
                </c:pt>
                <c:pt idx="575">
                  <c:v>17.985000000000014</c:v>
                </c:pt>
                <c:pt idx="576">
                  <c:v>21.930000000000007</c:v>
                </c:pt>
                <c:pt idx="577">
                  <c:v>16.220000000000027</c:v>
                </c:pt>
                <c:pt idx="578">
                  <c:v>9.7599999999999909</c:v>
                </c:pt>
                <c:pt idx="579">
                  <c:v>-15.240000000000009</c:v>
                </c:pt>
                <c:pt idx="580">
                  <c:v>-16.930000000000007</c:v>
                </c:pt>
                <c:pt idx="581">
                  <c:v>-24.069999999999993</c:v>
                </c:pt>
                <c:pt idx="582">
                  <c:v>-22.79000000000002</c:v>
                </c:pt>
                <c:pt idx="583">
                  <c:v>-10.759999999999991</c:v>
                </c:pt>
                <c:pt idx="584">
                  <c:v>-1.8299999999999841</c:v>
                </c:pt>
                <c:pt idx="585">
                  <c:v>-7.9499999999999886</c:v>
                </c:pt>
                <c:pt idx="586">
                  <c:v>12.159999999999968</c:v>
                </c:pt>
                <c:pt idx="587">
                  <c:v>13.639999999999986</c:v>
                </c:pt>
                <c:pt idx="588">
                  <c:v>-5.6700000000000159</c:v>
                </c:pt>
                <c:pt idx="589">
                  <c:v>-3.5</c:v>
                </c:pt>
                <c:pt idx="590">
                  <c:v>-5.8199999999999932</c:v>
                </c:pt>
                <c:pt idx="591">
                  <c:v>-31.949999999999989</c:v>
                </c:pt>
                <c:pt idx="592">
                  <c:v>-31.289999999999964</c:v>
                </c:pt>
                <c:pt idx="593">
                  <c:v>-10.100000000000023</c:v>
                </c:pt>
                <c:pt idx="594">
                  <c:v>-16.5</c:v>
                </c:pt>
                <c:pt idx="595">
                  <c:v>-19.810000000000002</c:v>
                </c:pt>
                <c:pt idx="596">
                  <c:v>-9.3799999999999955</c:v>
                </c:pt>
                <c:pt idx="597">
                  <c:v>-31.370000000000005</c:v>
                </c:pt>
                <c:pt idx="598">
                  <c:v>-58.75</c:v>
                </c:pt>
                <c:pt idx="599">
                  <c:v>-42.970000000000027</c:v>
                </c:pt>
                <c:pt idx="600">
                  <c:v>-49.060000000000031</c:v>
                </c:pt>
                <c:pt idx="601">
                  <c:v>-36.650000000000034</c:v>
                </c:pt>
                <c:pt idx="602">
                  <c:v>7.7599999999999909</c:v>
                </c:pt>
                <c:pt idx="603">
                  <c:v>47.940000000000055</c:v>
                </c:pt>
                <c:pt idx="604">
                  <c:v>33.170000000000016</c:v>
                </c:pt>
                <c:pt idx="605">
                  <c:v>37.180000000000035</c:v>
                </c:pt>
                <c:pt idx="606">
                  <c:v>37.170000000000016</c:v>
                </c:pt>
                <c:pt idx="607">
                  <c:v>13.990000000000009</c:v>
                </c:pt>
                <c:pt idx="608">
                  <c:v>-11.640000000000043</c:v>
                </c:pt>
                <c:pt idx="609">
                  <c:v>1.0399999999999636</c:v>
                </c:pt>
                <c:pt idx="610">
                  <c:v>1.5499999999999545</c:v>
                </c:pt>
                <c:pt idx="611">
                  <c:v>-17.009999999999991</c:v>
                </c:pt>
                <c:pt idx="612">
                  <c:v>-7.5799999999999841</c:v>
                </c:pt>
                <c:pt idx="613">
                  <c:v>6</c:v>
                </c:pt>
                <c:pt idx="614">
                  <c:v>-10.099999999999966</c:v>
                </c:pt>
                <c:pt idx="615">
                  <c:v>-7.839999999999975</c:v>
                </c:pt>
                <c:pt idx="616">
                  <c:v>-4.2300000000000182</c:v>
                </c:pt>
                <c:pt idx="617">
                  <c:v>-12.660000000000025</c:v>
                </c:pt>
                <c:pt idx="618">
                  <c:v>-14.599999999999966</c:v>
                </c:pt>
                <c:pt idx="619">
                  <c:v>3.8349999999999795</c:v>
                </c:pt>
                <c:pt idx="620">
                  <c:v>10.529999999999973</c:v>
                </c:pt>
                <c:pt idx="621">
                  <c:v>16.460000000000036</c:v>
                </c:pt>
                <c:pt idx="622">
                  <c:v>20.45999999999998</c:v>
                </c:pt>
                <c:pt idx="623">
                  <c:v>-1.0300000000000296</c:v>
                </c:pt>
                <c:pt idx="624">
                  <c:v>1.4999999999986358E-2</c:v>
                </c:pt>
                <c:pt idx="625">
                  <c:v>8.8700000000000045</c:v>
                </c:pt>
                <c:pt idx="626">
                  <c:v>2.0500000000000114</c:v>
                </c:pt>
                <c:pt idx="627">
                  <c:v>5.7000000000000455</c:v>
                </c:pt>
                <c:pt idx="628">
                  <c:v>20.569999999999993</c:v>
                </c:pt>
                <c:pt idx="629">
                  <c:v>6.9700000000000273</c:v>
                </c:pt>
                <c:pt idx="630">
                  <c:v>-10.799999999999955</c:v>
                </c:pt>
                <c:pt idx="631">
                  <c:v>-17.79000000000002</c:v>
                </c:pt>
                <c:pt idx="632">
                  <c:v>-20.370000000000005</c:v>
                </c:pt>
                <c:pt idx="633">
                  <c:v>-20.479999999999961</c:v>
                </c:pt>
                <c:pt idx="634">
                  <c:v>-24.240000000000009</c:v>
                </c:pt>
                <c:pt idx="635">
                  <c:v>-7.4800000000000182</c:v>
                </c:pt>
                <c:pt idx="636">
                  <c:v>-9.1700000000000159</c:v>
                </c:pt>
                <c:pt idx="637">
                  <c:v>-7.410000000000025</c:v>
                </c:pt>
                <c:pt idx="638">
                  <c:v>-6.6899999999999977</c:v>
                </c:pt>
                <c:pt idx="639">
                  <c:v>2.0300000000000296</c:v>
                </c:pt>
                <c:pt idx="640">
                  <c:v>-0.73000000000001819</c:v>
                </c:pt>
                <c:pt idx="641">
                  <c:v>16.710000000000036</c:v>
                </c:pt>
                <c:pt idx="642">
                  <c:v>5.660000000000025</c:v>
                </c:pt>
                <c:pt idx="643">
                  <c:v>13.96999999999997</c:v>
                </c:pt>
                <c:pt idx="644">
                  <c:v>17.889999999999986</c:v>
                </c:pt>
                <c:pt idx="645">
                  <c:v>7.3700000000000045</c:v>
                </c:pt>
                <c:pt idx="646">
                  <c:v>27.779999999999973</c:v>
                </c:pt>
                <c:pt idx="647">
                  <c:v>31.359999999999957</c:v>
                </c:pt>
                <c:pt idx="648">
                  <c:v>25.840000000000032</c:v>
                </c:pt>
                <c:pt idx="649">
                  <c:v>35.360000000000014</c:v>
                </c:pt>
                <c:pt idx="650">
                  <c:v>51.639999999999986</c:v>
                </c:pt>
                <c:pt idx="651">
                  <c:v>25.279999999999973</c:v>
                </c:pt>
                <c:pt idx="652">
                  <c:v>41.630000000000052</c:v>
                </c:pt>
                <c:pt idx="653">
                  <c:v>40.509999999999991</c:v>
                </c:pt>
                <c:pt idx="654">
                  <c:v>38.729999999999961</c:v>
                </c:pt>
                <c:pt idx="655">
                  <c:v>9.7800000000000296</c:v>
                </c:pt>
                <c:pt idx="656">
                  <c:v>17.440000000000055</c:v>
                </c:pt>
                <c:pt idx="657">
                  <c:v>-10.210000000000036</c:v>
                </c:pt>
                <c:pt idx="658">
                  <c:v>-24.54000000000002</c:v>
                </c:pt>
                <c:pt idx="659">
                  <c:v>-37.819999999999993</c:v>
                </c:pt>
                <c:pt idx="660">
                  <c:v>-10.550000000000011</c:v>
                </c:pt>
                <c:pt idx="661">
                  <c:v>-17.720000000000027</c:v>
                </c:pt>
                <c:pt idx="662">
                  <c:v>2.4200000000000159</c:v>
                </c:pt>
                <c:pt idx="663">
                  <c:v>9.3199999999999932</c:v>
                </c:pt>
                <c:pt idx="664">
                  <c:v>2.0600000000000023</c:v>
                </c:pt>
                <c:pt idx="665">
                  <c:v>-31.139999999999986</c:v>
                </c:pt>
                <c:pt idx="666">
                  <c:v>-35.339999999999975</c:v>
                </c:pt>
                <c:pt idx="667">
                  <c:v>-41.03000000000003</c:v>
                </c:pt>
                <c:pt idx="668">
                  <c:v>-24.439999999999998</c:v>
                </c:pt>
                <c:pt idx="669">
                  <c:v>-12.599999999999966</c:v>
                </c:pt>
                <c:pt idx="670">
                  <c:v>8.0999999999999659</c:v>
                </c:pt>
                <c:pt idx="671">
                  <c:v>7.5499999999999545</c:v>
                </c:pt>
                <c:pt idx="672">
                  <c:v>9.9700000000000273</c:v>
                </c:pt>
                <c:pt idx="673">
                  <c:v>-8.4099999999999682</c:v>
                </c:pt>
                <c:pt idx="674">
                  <c:v>0.21999999999997044</c:v>
                </c:pt>
                <c:pt idx="675">
                  <c:v>4.8900000000000432</c:v>
                </c:pt>
                <c:pt idx="676">
                  <c:v>3.5200000000000387</c:v>
                </c:pt>
                <c:pt idx="677">
                  <c:v>-5.2900000000000205</c:v>
                </c:pt>
                <c:pt idx="678">
                  <c:v>-6.9000000000000341</c:v>
                </c:pt>
                <c:pt idx="679">
                  <c:v>-25.259999999999991</c:v>
                </c:pt>
                <c:pt idx="680">
                  <c:v>-15.110000000000014</c:v>
                </c:pt>
                <c:pt idx="681">
                  <c:v>-13.580000000000041</c:v>
                </c:pt>
                <c:pt idx="682">
                  <c:v>-16.399999999999977</c:v>
                </c:pt>
                <c:pt idx="683">
                  <c:v>-13.029999999999973</c:v>
                </c:pt>
                <c:pt idx="684">
                  <c:v>0.70999999999997954</c:v>
                </c:pt>
                <c:pt idx="685">
                  <c:v>-7.9000000000000341</c:v>
                </c:pt>
                <c:pt idx="686">
                  <c:v>42.890000000000043</c:v>
                </c:pt>
                <c:pt idx="687">
                  <c:v>50.990000000000009</c:v>
                </c:pt>
                <c:pt idx="688">
                  <c:v>51.819999999999993</c:v>
                </c:pt>
                <c:pt idx="689">
                  <c:v>81.430000000000007</c:v>
                </c:pt>
                <c:pt idx="690">
                  <c:v>69.5</c:v>
                </c:pt>
                <c:pt idx="691">
                  <c:v>2.9099999999999682</c:v>
                </c:pt>
                <c:pt idx="692">
                  <c:v>7.3199999999999932</c:v>
                </c:pt>
                <c:pt idx="693">
                  <c:v>14.420000000000016</c:v>
                </c:pt>
                <c:pt idx="694">
                  <c:v>-31.930000000000007</c:v>
                </c:pt>
                <c:pt idx="695">
                  <c:v>-31.649999999999977</c:v>
                </c:pt>
                <c:pt idx="696">
                  <c:v>-17</c:v>
                </c:pt>
                <c:pt idx="697">
                  <c:v>-49.990000000000009</c:v>
                </c:pt>
                <c:pt idx="698">
                  <c:v>-47.970000000000027</c:v>
                </c:pt>
                <c:pt idx="699">
                  <c:v>-25.740000000000009</c:v>
                </c:pt>
                <c:pt idx="700">
                  <c:v>-17.050000000000011</c:v>
                </c:pt>
                <c:pt idx="701">
                  <c:v>-15.349999999999966</c:v>
                </c:pt>
                <c:pt idx="702">
                  <c:v>17.319999999999993</c:v>
                </c:pt>
                <c:pt idx="703">
                  <c:v>10.829999999999984</c:v>
                </c:pt>
                <c:pt idx="704">
                  <c:v>-10.039999999999964</c:v>
                </c:pt>
                <c:pt idx="705">
                  <c:v>-16.629999999999995</c:v>
                </c:pt>
                <c:pt idx="706">
                  <c:v>-16.950000000000045</c:v>
                </c:pt>
                <c:pt idx="707">
                  <c:v>-21.159999999999968</c:v>
                </c:pt>
                <c:pt idx="708">
                  <c:v>-30.319999999999993</c:v>
                </c:pt>
                <c:pt idx="709">
                  <c:v>-31.120000000000005</c:v>
                </c:pt>
                <c:pt idx="710">
                  <c:v>-24.060000000000002</c:v>
                </c:pt>
                <c:pt idx="711">
                  <c:v>-39.909999999999968</c:v>
                </c:pt>
                <c:pt idx="712">
                  <c:v>-16.160000000000025</c:v>
                </c:pt>
                <c:pt idx="713">
                  <c:v>-9.5099999999999909</c:v>
                </c:pt>
                <c:pt idx="714">
                  <c:v>9.8000000000000114</c:v>
                </c:pt>
                <c:pt idx="715">
                  <c:v>8.5099999999999909</c:v>
                </c:pt>
                <c:pt idx="716">
                  <c:v>31.95999999999998</c:v>
                </c:pt>
                <c:pt idx="717">
                  <c:v>9.339999999999975</c:v>
                </c:pt>
                <c:pt idx="718">
                  <c:v>5.5199999999999818</c:v>
                </c:pt>
                <c:pt idx="719">
                  <c:v>8.4799999999999613</c:v>
                </c:pt>
                <c:pt idx="720">
                  <c:v>8.8700000000000045</c:v>
                </c:pt>
                <c:pt idx="721">
                  <c:v>3.9000000000000341</c:v>
                </c:pt>
                <c:pt idx="722">
                  <c:v>4.8400000000000318</c:v>
                </c:pt>
                <c:pt idx="723">
                  <c:v>16.03000000000003</c:v>
                </c:pt>
                <c:pt idx="724">
                  <c:v>10.560000000000002</c:v>
                </c:pt>
                <c:pt idx="725">
                  <c:v>9.1899999999999977</c:v>
                </c:pt>
                <c:pt idx="726">
                  <c:v>-34.330000000000041</c:v>
                </c:pt>
                <c:pt idx="727">
                  <c:v>11.019999999999982</c:v>
                </c:pt>
                <c:pt idx="728">
                  <c:v>2.9999999999972715E-2</c:v>
                </c:pt>
                <c:pt idx="729">
                  <c:v>-14.779999999999973</c:v>
                </c:pt>
                <c:pt idx="730">
                  <c:v>-25.689999999999998</c:v>
                </c:pt>
                <c:pt idx="731">
                  <c:v>-2.8199999999999932</c:v>
                </c:pt>
                <c:pt idx="732">
                  <c:v>-60.139999999999986</c:v>
                </c:pt>
                <c:pt idx="733">
                  <c:v>-38.21999999999997</c:v>
                </c:pt>
                <c:pt idx="734">
                  <c:v>-37.920000000000016</c:v>
                </c:pt>
                <c:pt idx="735">
                  <c:v>-29.599999999999994</c:v>
                </c:pt>
                <c:pt idx="736">
                  <c:v>-3.1700000000000159</c:v>
                </c:pt>
                <c:pt idx="737">
                  <c:v>9.0299999999999727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EF-426D-B9FC-1101F70036D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'tesla-stock-price (3)'!$A$22:$A$759</c:f>
              <c:numCache>
                <c:formatCode>General</c:formatCode>
                <c:ptCount val="738"/>
                <c:pt idx="0">
                  <c:v>42318</c:v>
                </c:pt>
                <c:pt idx="1">
                  <c:v>42319</c:v>
                </c:pt>
                <c:pt idx="2">
                  <c:v>42320</c:v>
                </c:pt>
                <c:pt idx="3">
                  <c:v>42321</c:v>
                </c:pt>
                <c:pt idx="4">
                  <c:v>42324</c:v>
                </c:pt>
                <c:pt idx="5">
                  <c:v>42325</c:v>
                </c:pt>
                <c:pt idx="6">
                  <c:v>42326</c:v>
                </c:pt>
                <c:pt idx="7">
                  <c:v>42327</c:v>
                </c:pt>
                <c:pt idx="8">
                  <c:v>42328</c:v>
                </c:pt>
                <c:pt idx="9">
                  <c:v>42331</c:v>
                </c:pt>
                <c:pt idx="10">
                  <c:v>42332</c:v>
                </c:pt>
                <c:pt idx="11">
                  <c:v>42333</c:v>
                </c:pt>
                <c:pt idx="12">
                  <c:v>42335</c:v>
                </c:pt>
                <c:pt idx="13">
                  <c:v>42338</c:v>
                </c:pt>
                <c:pt idx="14">
                  <c:v>42339</c:v>
                </c:pt>
                <c:pt idx="15">
                  <c:v>42340</c:v>
                </c:pt>
                <c:pt idx="16">
                  <c:v>42341</c:v>
                </c:pt>
                <c:pt idx="17">
                  <c:v>42342</c:v>
                </c:pt>
                <c:pt idx="18">
                  <c:v>42345</c:v>
                </c:pt>
                <c:pt idx="19">
                  <c:v>42346</c:v>
                </c:pt>
                <c:pt idx="20">
                  <c:v>42347</c:v>
                </c:pt>
                <c:pt idx="21">
                  <c:v>42348</c:v>
                </c:pt>
                <c:pt idx="22">
                  <c:v>42349</c:v>
                </c:pt>
                <c:pt idx="23">
                  <c:v>42352</c:v>
                </c:pt>
                <c:pt idx="24">
                  <c:v>42353</c:v>
                </c:pt>
                <c:pt idx="25">
                  <c:v>42354</c:v>
                </c:pt>
                <c:pt idx="26">
                  <c:v>42355</c:v>
                </c:pt>
                <c:pt idx="27">
                  <c:v>42356</c:v>
                </c:pt>
                <c:pt idx="28">
                  <c:v>42359</c:v>
                </c:pt>
                <c:pt idx="29">
                  <c:v>42360</c:v>
                </c:pt>
                <c:pt idx="30">
                  <c:v>42361</c:v>
                </c:pt>
                <c:pt idx="31">
                  <c:v>42362</c:v>
                </c:pt>
                <c:pt idx="32">
                  <c:v>42366</c:v>
                </c:pt>
                <c:pt idx="33">
                  <c:v>42367</c:v>
                </c:pt>
                <c:pt idx="34">
                  <c:v>42368</c:v>
                </c:pt>
                <c:pt idx="35">
                  <c:v>42369</c:v>
                </c:pt>
                <c:pt idx="36">
                  <c:v>42373</c:v>
                </c:pt>
                <c:pt idx="37">
                  <c:v>42374</c:v>
                </c:pt>
                <c:pt idx="38">
                  <c:v>42375</c:v>
                </c:pt>
                <c:pt idx="39">
                  <c:v>42376</c:v>
                </c:pt>
                <c:pt idx="40">
                  <c:v>42377</c:v>
                </c:pt>
                <c:pt idx="41">
                  <c:v>42380</c:v>
                </c:pt>
                <c:pt idx="42">
                  <c:v>42381</c:v>
                </c:pt>
                <c:pt idx="43">
                  <c:v>42382</c:v>
                </c:pt>
                <c:pt idx="44">
                  <c:v>42383</c:v>
                </c:pt>
                <c:pt idx="45">
                  <c:v>42384</c:v>
                </c:pt>
                <c:pt idx="46">
                  <c:v>42388</c:v>
                </c:pt>
                <c:pt idx="47">
                  <c:v>42389</c:v>
                </c:pt>
                <c:pt idx="48">
                  <c:v>42390</c:v>
                </c:pt>
                <c:pt idx="49">
                  <c:v>42391</c:v>
                </c:pt>
                <c:pt idx="50">
                  <c:v>42394</c:v>
                </c:pt>
                <c:pt idx="51">
                  <c:v>42395</c:v>
                </c:pt>
                <c:pt idx="52">
                  <c:v>42396</c:v>
                </c:pt>
                <c:pt idx="53">
                  <c:v>42397</c:v>
                </c:pt>
                <c:pt idx="54">
                  <c:v>42398</c:v>
                </c:pt>
                <c:pt idx="55">
                  <c:v>42401</c:v>
                </c:pt>
                <c:pt idx="56">
                  <c:v>42402</c:v>
                </c:pt>
                <c:pt idx="57">
                  <c:v>42403</c:v>
                </c:pt>
                <c:pt idx="58">
                  <c:v>42404</c:v>
                </c:pt>
                <c:pt idx="59">
                  <c:v>42405</c:v>
                </c:pt>
                <c:pt idx="60">
                  <c:v>42408</c:v>
                </c:pt>
                <c:pt idx="61">
                  <c:v>42409</c:v>
                </c:pt>
                <c:pt idx="62">
                  <c:v>42410</c:v>
                </c:pt>
                <c:pt idx="63">
                  <c:v>42411</c:v>
                </c:pt>
                <c:pt idx="64">
                  <c:v>42412</c:v>
                </c:pt>
                <c:pt idx="65">
                  <c:v>42416</c:v>
                </c:pt>
                <c:pt idx="66">
                  <c:v>42417</c:v>
                </c:pt>
                <c:pt idx="67">
                  <c:v>42418</c:v>
                </c:pt>
                <c:pt idx="68">
                  <c:v>42419</c:v>
                </c:pt>
                <c:pt idx="69">
                  <c:v>42422</c:v>
                </c:pt>
                <c:pt idx="70">
                  <c:v>42423</c:v>
                </c:pt>
                <c:pt idx="71">
                  <c:v>42424</c:v>
                </c:pt>
                <c:pt idx="72">
                  <c:v>42425</c:v>
                </c:pt>
                <c:pt idx="73">
                  <c:v>42426</c:v>
                </c:pt>
                <c:pt idx="74">
                  <c:v>42429</c:v>
                </c:pt>
                <c:pt idx="75">
                  <c:v>42430</c:v>
                </c:pt>
                <c:pt idx="76">
                  <c:v>42431</c:v>
                </c:pt>
                <c:pt idx="77">
                  <c:v>42432</c:v>
                </c:pt>
                <c:pt idx="78">
                  <c:v>42433</c:v>
                </c:pt>
                <c:pt idx="79">
                  <c:v>42436</c:v>
                </c:pt>
                <c:pt idx="80">
                  <c:v>42437</c:v>
                </c:pt>
                <c:pt idx="81">
                  <c:v>42438</c:v>
                </c:pt>
                <c:pt idx="82">
                  <c:v>42439</c:v>
                </c:pt>
                <c:pt idx="83">
                  <c:v>42440</c:v>
                </c:pt>
                <c:pt idx="84">
                  <c:v>42443</c:v>
                </c:pt>
                <c:pt idx="85">
                  <c:v>42444</c:v>
                </c:pt>
                <c:pt idx="86">
                  <c:v>42445</c:v>
                </c:pt>
                <c:pt idx="87">
                  <c:v>42446</c:v>
                </c:pt>
                <c:pt idx="88">
                  <c:v>42447</c:v>
                </c:pt>
                <c:pt idx="89">
                  <c:v>42450</c:v>
                </c:pt>
                <c:pt idx="90">
                  <c:v>42451</c:v>
                </c:pt>
                <c:pt idx="91">
                  <c:v>42452</c:v>
                </c:pt>
                <c:pt idx="92">
                  <c:v>42453</c:v>
                </c:pt>
                <c:pt idx="93">
                  <c:v>42457</c:v>
                </c:pt>
                <c:pt idx="94">
                  <c:v>42458</c:v>
                </c:pt>
                <c:pt idx="95">
                  <c:v>42459</c:v>
                </c:pt>
                <c:pt idx="96">
                  <c:v>42460</c:v>
                </c:pt>
                <c:pt idx="97">
                  <c:v>42461</c:v>
                </c:pt>
                <c:pt idx="98">
                  <c:v>42464</c:v>
                </c:pt>
                <c:pt idx="99">
                  <c:v>42465</c:v>
                </c:pt>
                <c:pt idx="100">
                  <c:v>42466</c:v>
                </c:pt>
                <c:pt idx="101">
                  <c:v>42467</c:v>
                </c:pt>
                <c:pt idx="102">
                  <c:v>42468</c:v>
                </c:pt>
                <c:pt idx="103">
                  <c:v>42471</c:v>
                </c:pt>
                <c:pt idx="104">
                  <c:v>42472</c:v>
                </c:pt>
                <c:pt idx="105">
                  <c:v>42473</c:v>
                </c:pt>
                <c:pt idx="106">
                  <c:v>42474</c:v>
                </c:pt>
                <c:pt idx="107">
                  <c:v>42475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42485</c:v>
                </c:pt>
                <c:pt idx="114">
                  <c:v>42486</c:v>
                </c:pt>
                <c:pt idx="115">
                  <c:v>42487</c:v>
                </c:pt>
                <c:pt idx="116">
                  <c:v>42488</c:v>
                </c:pt>
                <c:pt idx="117">
                  <c:v>42489</c:v>
                </c:pt>
                <c:pt idx="118">
                  <c:v>42492</c:v>
                </c:pt>
                <c:pt idx="119">
                  <c:v>42493</c:v>
                </c:pt>
                <c:pt idx="120">
                  <c:v>42494</c:v>
                </c:pt>
                <c:pt idx="121">
                  <c:v>42495</c:v>
                </c:pt>
                <c:pt idx="122">
                  <c:v>42496</c:v>
                </c:pt>
                <c:pt idx="123">
                  <c:v>42499</c:v>
                </c:pt>
                <c:pt idx="124">
                  <c:v>42500</c:v>
                </c:pt>
                <c:pt idx="125">
                  <c:v>42501</c:v>
                </c:pt>
                <c:pt idx="126">
                  <c:v>42502</c:v>
                </c:pt>
                <c:pt idx="127">
                  <c:v>42503</c:v>
                </c:pt>
                <c:pt idx="128">
                  <c:v>42506</c:v>
                </c:pt>
                <c:pt idx="129">
                  <c:v>42507</c:v>
                </c:pt>
                <c:pt idx="130">
                  <c:v>42508</c:v>
                </c:pt>
                <c:pt idx="131">
                  <c:v>42509</c:v>
                </c:pt>
                <c:pt idx="132">
                  <c:v>42510</c:v>
                </c:pt>
                <c:pt idx="133">
                  <c:v>42513</c:v>
                </c:pt>
                <c:pt idx="134">
                  <c:v>42514</c:v>
                </c:pt>
                <c:pt idx="135">
                  <c:v>42515</c:v>
                </c:pt>
                <c:pt idx="136">
                  <c:v>42516</c:v>
                </c:pt>
                <c:pt idx="137">
                  <c:v>42517</c:v>
                </c:pt>
                <c:pt idx="138">
                  <c:v>42521</c:v>
                </c:pt>
                <c:pt idx="139">
                  <c:v>42522</c:v>
                </c:pt>
                <c:pt idx="140">
                  <c:v>42523</c:v>
                </c:pt>
                <c:pt idx="141">
                  <c:v>42524</c:v>
                </c:pt>
                <c:pt idx="142">
                  <c:v>42527</c:v>
                </c:pt>
                <c:pt idx="143">
                  <c:v>42528</c:v>
                </c:pt>
                <c:pt idx="144">
                  <c:v>42529</c:v>
                </c:pt>
                <c:pt idx="145">
                  <c:v>42530</c:v>
                </c:pt>
                <c:pt idx="146">
                  <c:v>42531</c:v>
                </c:pt>
                <c:pt idx="147">
                  <c:v>42534</c:v>
                </c:pt>
                <c:pt idx="148">
                  <c:v>42535</c:v>
                </c:pt>
                <c:pt idx="149">
                  <c:v>42536</c:v>
                </c:pt>
                <c:pt idx="150">
                  <c:v>42537</c:v>
                </c:pt>
                <c:pt idx="151">
                  <c:v>42538</c:v>
                </c:pt>
                <c:pt idx="152">
                  <c:v>42541</c:v>
                </c:pt>
                <c:pt idx="153">
                  <c:v>42542</c:v>
                </c:pt>
                <c:pt idx="154">
                  <c:v>42543</c:v>
                </c:pt>
                <c:pt idx="155">
                  <c:v>42544</c:v>
                </c:pt>
                <c:pt idx="156">
                  <c:v>42545</c:v>
                </c:pt>
                <c:pt idx="157">
                  <c:v>42548</c:v>
                </c:pt>
                <c:pt idx="158">
                  <c:v>42549</c:v>
                </c:pt>
                <c:pt idx="159">
                  <c:v>42550</c:v>
                </c:pt>
                <c:pt idx="160">
                  <c:v>42551</c:v>
                </c:pt>
                <c:pt idx="161">
                  <c:v>42552</c:v>
                </c:pt>
                <c:pt idx="162">
                  <c:v>42556</c:v>
                </c:pt>
                <c:pt idx="163">
                  <c:v>42557</c:v>
                </c:pt>
                <c:pt idx="164">
                  <c:v>42558</c:v>
                </c:pt>
                <c:pt idx="165">
                  <c:v>42559</c:v>
                </c:pt>
                <c:pt idx="166">
                  <c:v>42562</c:v>
                </c:pt>
                <c:pt idx="167">
                  <c:v>42563</c:v>
                </c:pt>
                <c:pt idx="168">
                  <c:v>42564</c:v>
                </c:pt>
                <c:pt idx="169">
                  <c:v>42565</c:v>
                </c:pt>
                <c:pt idx="170">
                  <c:v>42566</c:v>
                </c:pt>
                <c:pt idx="171">
                  <c:v>42569</c:v>
                </c:pt>
                <c:pt idx="172">
                  <c:v>42570</c:v>
                </c:pt>
                <c:pt idx="173">
                  <c:v>42571</c:v>
                </c:pt>
                <c:pt idx="174">
                  <c:v>42572</c:v>
                </c:pt>
                <c:pt idx="175">
                  <c:v>42573</c:v>
                </c:pt>
                <c:pt idx="176">
                  <c:v>42576</c:v>
                </c:pt>
                <c:pt idx="177">
                  <c:v>42577</c:v>
                </c:pt>
                <c:pt idx="178">
                  <c:v>42578</c:v>
                </c:pt>
                <c:pt idx="179">
                  <c:v>42579</c:v>
                </c:pt>
                <c:pt idx="180">
                  <c:v>42580</c:v>
                </c:pt>
                <c:pt idx="181">
                  <c:v>42583</c:v>
                </c:pt>
                <c:pt idx="182">
                  <c:v>42584</c:v>
                </c:pt>
                <c:pt idx="183">
                  <c:v>42585</c:v>
                </c:pt>
                <c:pt idx="184">
                  <c:v>42586</c:v>
                </c:pt>
                <c:pt idx="185">
                  <c:v>42587</c:v>
                </c:pt>
                <c:pt idx="186">
                  <c:v>42590</c:v>
                </c:pt>
                <c:pt idx="187">
                  <c:v>42591</c:v>
                </c:pt>
                <c:pt idx="188">
                  <c:v>42592</c:v>
                </c:pt>
                <c:pt idx="189">
                  <c:v>42593</c:v>
                </c:pt>
                <c:pt idx="190">
                  <c:v>42594</c:v>
                </c:pt>
                <c:pt idx="191">
                  <c:v>42597</c:v>
                </c:pt>
                <c:pt idx="192">
                  <c:v>42598</c:v>
                </c:pt>
                <c:pt idx="193">
                  <c:v>42599</c:v>
                </c:pt>
                <c:pt idx="194">
                  <c:v>42600</c:v>
                </c:pt>
                <c:pt idx="195">
                  <c:v>42601</c:v>
                </c:pt>
                <c:pt idx="196">
                  <c:v>42604</c:v>
                </c:pt>
                <c:pt idx="197">
                  <c:v>42605</c:v>
                </c:pt>
                <c:pt idx="198">
                  <c:v>42606</c:v>
                </c:pt>
                <c:pt idx="199">
                  <c:v>42607</c:v>
                </c:pt>
                <c:pt idx="200">
                  <c:v>42608</c:v>
                </c:pt>
                <c:pt idx="201">
                  <c:v>42611</c:v>
                </c:pt>
                <c:pt idx="202">
                  <c:v>42612</c:v>
                </c:pt>
                <c:pt idx="203">
                  <c:v>42613</c:v>
                </c:pt>
                <c:pt idx="204">
                  <c:v>42614</c:v>
                </c:pt>
                <c:pt idx="205">
                  <c:v>42615</c:v>
                </c:pt>
                <c:pt idx="206">
                  <c:v>42619</c:v>
                </c:pt>
                <c:pt idx="207">
                  <c:v>42620</c:v>
                </c:pt>
                <c:pt idx="208">
                  <c:v>42621</c:v>
                </c:pt>
                <c:pt idx="209">
                  <c:v>42622</c:v>
                </c:pt>
                <c:pt idx="210">
                  <c:v>42625</c:v>
                </c:pt>
                <c:pt idx="211">
                  <c:v>42626</c:v>
                </c:pt>
                <c:pt idx="212">
                  <c:v>42627</c:v>
                </c:pt>
                <c:pt idx="213">
                  <c:v>42628</c:v>
                </c:pt>
                <c:pt idx="214">
                  <c:v>42629</c:v>
                </c:pt>
                <c:pt idx="215">
                  <c:v>42632</c:v>
                </c:pt>
                <c:pt idx="216">
                  <c:v>42633</c:v>
                </c:pt>
                <c:pt idx="217">
                  <c:v>42634</c:v>
                </c:pt>
                <c:pt idx="218">
                  <c:v>42635</c:v>
                </c:pt>
                <c:pt idx="219">
                  <c:v>42636</c:v>
                </c:pt>
                <c:pt idx="220">
                  <c:v>42639</c:v>
                </c:pt>
                <c:pt idx="221">
                  <c:v>42640</c:v>
                </c:pt>
                <c:pt idx="222">
                  <c:v>42641</c:v>
                </c:pt>
                <c:pt idx="223">
                  <c:v>42642</c:v>
                </c:pt>
                <c:pt idx="224">
                  <c:v>42643</c:v>
                </c:pt>
                <c:pt idx="225">
                  <c:v>42646</c:v>
                </c:pt>
                <c:pt idx="226">
                  <c:v>42647</c:v>
                </c:pt>
                <c:pt idx="227">
                  <c:v>42648</c:v>
                </c:pt>
                <c:pt idx="228">
                  <c:v>42649</c:v>
                </c:pt>
                <c:pt idx="229">
                  <c:v>42650</c:v>
                </c:pt>
                <c:pt idx="230">
                  <c:v>42653</c:v>
                </c:pt>
                <c:pt idx="231">
                  <c:v>42654</c:v>
                </c:pt>
                <c:pt idx="232">
                  <c:v>42655</c:v>
                </c:pt>
                <c:pt idx="233">
                  <c:v>42656</c:v>
                </c:pt>
                <c:pt idx="234">
                  <c:v>42657</c:v>
                </c:pt>
                <c:pt idx="235">
                  <c:v>42660</c:v>
                </c:pt>
                <c:pt idx="236">
                  <c:v>42661</c:v>
                </c:pt>
                <c:pt idx="237">
                  <c:v>42662</c:v>
                </c:pt>
                <c:pt idx="238">
                  <c:v>42663</c:v>
                </c:pt>
                <c:pt idx="239">
                  <c:v>42664</c:v>
                </c:pt>
                <c:pt idx="240">
                  <c:v>42667</c:v>
                </c:pt>
                <c:pt idx="241">
                  <c:v>42668</c:v>
                </c:pt>
                <c:pt idx="242">
                  <c:v>42669</c:v>
                </c:pt>
                <c:pt idx="243">
                  <c:v>42670</c:v>
                </c:pt>
                <c:pt idx="244">
                  <c:v>42671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42681</c:v>
                </c:pt>
                <c:pt idx="251">
                  <c:v>42682</c:v>
                </c:pt>
                <c:pt idx="252">
                  <c:v>42683</c:v>
                </c:pt>
                <c:pt idx="253">
                  <c:v>42684</c:v>
                </c:pt>
                <c:pt idx="254">
                  <c:v>42685</c:v>
                </c:pt>
                <c:pt idx="255">
                  <c:v>42688</c:v>
                </c:pt>
                <c:pt idx="256">
                  <c:v>42689</c:v>
                </c:pt>
                <c:pt idx="257">
                  <c:v>42690</c:v>
                </c:pt>
                <c:pt idx="258">
                  <c:v>42691</c:v>
                </c:pt>
                <c:pt idx="259">
                  <c:v>42692</c:v>
                </c:pt>
                <c:pt idx="260">
                  <c:v>42695</c:v>
                </c:pt>
                <c:pt idx="261">
                  <c:v>42696</c:v>
                </c:pt>
                <c:pt idx="262">
                  <c:v>42697</c:v>
                </c:pt>
                <c:pt idx="263">
                  <c:v>42699</c:v>
                </c:pt>
                <c:pt idx="264">
                  <c:v>42702</c:v>
                </c:pt>
                <c:pt idx="265">
                  <c:v>42703</c:v>
                </c:pt>
                <c:pt idx="266">
                  <c:v>42704</c:v>
                </c:pt>
                <c:pt idx="267">
                  <c:v>42705</c:v>
                </c:pt>
                <c:pt idx="268">
                  <c:v>42706</c:v>
                </c:pt>
                <c:pt idx="269">
                  <c:v>42709</c:v>
                </c:pt>
                <c:pt idx="270">
                  <c:v>42710</c:v>
                </c:pt>
                <c:pt idx="271">
                  <c:v>42711</c:v>
                </c:pt>
                <c:pt idx="272">
                  <c:v>42712</c:v>
                </c:pt>
                <c:pt idx="273">
                  <c:v>42713</c:v>
                </c:pt>
                <c:pt idx="274">
                  <c:v>42716</c:v>
                </c:pt>
                <c:pt idx="275">
                  <c:v>42717</c:v>
                </c:pt>
                <c:pt idx="276">
                  <c:v>42718</c:v>
                </c:pt>
                <c:pt idx="277">
                  <c:v>42719</c:v>
                </c:pt>
                <c:pt idx="278">
                  <c:v>42720</c:v>
                </c:pt>
                <c:pt idx="279">
                  <c:v>42723</c:v>
                </c:pt>
                <c:pt idx="280">
                  <c:v>42724</c:v>
                </c:pt>
                <c:pt idx="281">
                  <c:v>42725</c:v>
                </c:pt>
                <c:pt idx="282">
                  <c:v>42726</c:v>
                </c:pt>
                <c:pt idx="283">
                  <c:v>42727</c:v>
                </c:pt>
                <c:pt idx="284">
                  <c:v>42731</c:v>
                </c:pt>
                <c:pt idx="285">
                  <c:v>42732</c:v>
                </c:pt>
                <c:pt idx="286">
                  <c:v>42733</c:v>
                </c:pt>
                <c:pt idx="287">
                  <c:v>42734</c:v>
                </c:pt>
                <c:pt idx="288">
                  <c:v>42738</c:v>
                </c:pt>
                <c:pt idx="289">
                  <c:v>42739</c:v>
                </c:pt>
                <c:pt idx="290">
                  <c:v>42740</c:v>
                </c:pt>
                <c:pt idx="291">
                  <c:v>42741</c:v>
                </c:pt>
                <c:pt idx="292">
                  <c:v>42744</c:v>
                </c:pt>
                <c:pt idx="293">
                  <c:v>42745</c:v>
                </c:pt>
                <c:pt idx="294">
                  <c:v>42746</c:v>
                </c:pt>
                <c:pt idx="295">
                  <c:v>42747</c:v>
                </c:pt>
                <c:pt idx="296">
                  <c:v>42748</c:v>
                </c:pt>
                <c:pt idx="297">
                  <c:v>42752</c:v>
                </c:pt>
                <c:pt idx="298">
                  <c:v>42753</c:v>
                </c:pt>
                <c:pt idx="299">
                  <c:v>42754</c:v>
                </c:pt>
                <c:pt idx="300">
                  <c:v>42755</c:v>
                </c:pt>
                <c:pt idx="301">
                  <c:v>42758</c:v>
                </c:pt>
                <c:pt idx="302">
                  <c:v>42759</c:v>
                </c:pt>
                <c:pt idx="303">
                  <c:v>42760</c:v>
                </c:pt>
                <c:pt idx="304">
                  <c:v>42761</c:v>
                </c:pt>
                <c:pt idx="305">
                  <c:v>42762</c:v>
                </c:pt>
                <c:pt idx="306">
                  <c:v>42765</c:v>
                </c:pt>
                <c:pt idx="307">
                  <c:v>42766</c:v>
                </c:pt>
                <c:pt idx="308">
                  <c:v>42767</c:v>
                </c:pt>
                <c:pt idx="309">
                  <c:v>42768</c:v>
                </c:pt>
                <c:pt idx="310">
                  <c:v>42769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42779</c:v>
                </c:pt>
                <c:pt idx="317">
                  <c:v>42780</c:v>
                </c:pt>
                <c:pt idx="318">
                  <c:v>42781</c:v>
                </c:pt>
                <c:pt idx="319">
                  <c:v>42782</c:v>
                </c:pt>
                <c:pt idx="320">
                  <c:v>42783</c:v>
                </c:pt>
                <c:pt idx="321">
                  <c:v>42787</c:v>
                </c:pt>
                <c:pt idx="322">
                  <c:v>42788</c:v>
                </c:pt>
                <c:pt idx="323">
                  <c:v>42789</c:v>
                </c:pt>
                <c:pt idx="324">
                  <c:v>42790</c:v>
                </c:pt>
                <c:pt idx="325">
                  <c:v>42793</c:v>
                </c:pt>
                <c:pt idx="326">
                  <c:v>42794</c:v>
                </c:pt>
                <c:pt idx="327">
                  <c:v>42795</c:v>
                </c:pt>
                <c:pt idx="328">
                  <c:v>42796</c:v>
                </c:pt>
                <c:pt idx="329">
                  <c:v>42797</c:v>
                </c:pt>
                <c:pt idx="330">
                  <c:v>42800</c:v>
                </c:pt>
                <c:pt idx="331">
                  <c:v>42801</c:v>
                </c:pt>
                <c:pt idx="332">
                  <c:v>42802</c:v>
                </c:pt>
                <c:pt idx="333">
                  <c:v>42803</c:v>
                </c:pt>
                <c:pt idx="334">
                  <c:v>42804</c:v>
                </c:pt>
                <c:pt idx="335">
                  <c:v>42807</c:v>
                </c:pt>
                <c:pt idx="336">
                  <c:v>42808</c:v>
                </c:pt>
                <c:pt idx="337">
                  <c:v>42809</c:v>
                </c:pt>
                <c:pt idx="338">
                  <c:v>42810</c:v>
                </c:pt>
                <c:pt idx="339">
                  <c:v>42811</c:v>
                </c:pt>
                <c:pt idx="340">
                  <c:v>42814</c:v>
                </c:pt>
                <c:pt idx="341">
                  <c:v>42815</c:v>
                </c:pt>
                <c:pt idx="342">
                  <c:v>42816</c:v>
                </c:pt>
                <c:pt idx="343">
                  <c:v>42817</c:v>
                </c:pt>
                <c:pt idx="344">
                  <c:v>42818</c:v>
                </c:pt>
                <c:pt idx="345">
                  <c:v>42821</c:v>
                </c:pt>
                <c:pt idx="346">
                  <c:v>42822</c:v>
                </c:pt>
                <c:pt idx="347">
                  <c:v>42823</c:v>
                </c:pt>
                <c:pt idx="348">
                  <c:v>42824</c:v>
                </c:pt>
                <c:pt idx="349">
                  <c:v>42825</c:v>
                </c:pt>
                <c:pt idx="350">
                  <c:v>42828</c:v>
                </c:pt>
                <c:pt idx="351">
                  <c:v>42829</c:v>
                </c:pt>
                <c:pt idx="352">
                  <c:v>42830</c:v>
                </c:pt>
                <c:pt idx="353">
                  <c:v>42831</c:v>
                </c:pt>
                <c:pt idx="354">
                  <c:v>42832</c:v>
                </c:pt>
                <c:pt idx="355">
                  <c:v>42835</c:v>
                </c:pt>
                <c:pt idx="356">
                  <c:v>42836</c:v>
                </c:pt>
                <c:pt idx="357">
                  <c:v>42837</c:v>
                </c:pt>
                <c:pt idx="358">
                  <c:v>42838</c:v>
                </c:pt>
                <c:pt idx="359">
                  <c:v>42842</c:v>
                </c:pt>
                <c:pt idx="360">
                  <c:v>42843</c:v>
                </c:pt>
                <c:pt idx="361">
                  <c:v>42844</c:v>
                </c:pt>
                <c:pt idx="362">
                  <c:v>42845</c:v>
                </c:pt>
                <c:pt idx="363">
                  <c:v>42846</c:v>
                </c:pt>
                <c:pt idx="364">
                  <c:v>42849</c:v>
                </c:pt>
                <c:pt idx="365">
                  <c:v>42850</c:v>
                </c:pt>
                <c:pt idx="366">
                  <c:v>42851</c:v>
                </c:pt>
                <c:pt idx="367">
                  <c:v>42852</c:v>
                </c:pt>
                <c:pt idx="368">
                  <c:v>42853</c:v>
                </c:pt>
                <c:pt idx="369">
                  <c:v>42856</c:v>
                </c:pt>
                <c:pt idx="370">
                  <c:v>42857</c:v>
                </c:pt>
                <c:pt idx="371">
                  <c:v>42858</c:v>
                </c:pt>
                <c:pt idx="372">
                  <c:v>42859</c:v>
                </c:pt>
                <c:pt idx="373">
                  <c:v>42860</c:v>
                </c:pt>
                <c:pt idx="374">
                  <c:v>42863</c:v>
                </c:pt>
                <c:pt idx="375">
                  <c:v>42864</c:v>
                </c:pt>
                <c:pt idx="376">
                  <c:v>42865</c:v>
                </c:pt>
                <c:pt idx="377">
                  <c:v>42866</c:v>
                </c:pt>
                <c:pt idx="378">
                  <c:v>42867</c:v>
                </c:pt>
                <c:pt idx="379">
                  <c:v>42870</c:v>
                </c:pt>
                <c:pt idx="380">
                  <c:v>42871</c:v>
                </c:pt>
                <c:pt idx="381">
                  <c:v>42872</c:v>
                </c:pt>
                <c:pt idx="382">
                  <c:v>42873</c:v>
                </c:pt>
                <c:pt idx="383">
                  <c:v>42874</c:v>
                </c:pt>
                <c:pt idx="384">
                  <c:v>42877</c:v>
                </c:pt>
                <c:pt idx="385">
                  <c:v>42878</c:v>
                </c:pt>
                <c:pt idx="386">
                  <c:v>42879</c:v>
                </c:pt>
                <c:pt idx="387">
                  <c:v>42880</c:v>
                </c:pt>
                <c:pt idx="388">
                  <c:v>42881</c:v>
                </c:pt>
                <c:pt idx="389">
                  <c:v>42885</c:v>
                </c:pt>
                <c:pt idx="390">
                  <c:v>42886</c:v>
                </c:pt>
                <c:pt idx="391">
                  <c:v>42887</c:v>
                </c:pt>
                <c:pt idx="392">
                  <c:v>42888</c:v>
                </c:pt>
                <c:pt idx="393">
                  <c:v>42891</c:v>
                </c:pt>
                <c:pt idx="394">
                  <c:v>42892</c:v>
                </c:pt>
                <c:pt idx="395">
                  <c:v>42893</c:v>
                </c:pt>
                <c:pt idx="396">
                  <c:v>42894</c:v>
                </c:pt>
                <c:pt idx="397">
                  <c:v>42895</c:v>
                </c:pt>
                <c:pt idx="398">
                  <c:v>42898</c:v>
                </c:pt>
                <c:pt idx="399">
                  <c:v>42899</c:v>
                </c:pt>
                <c:pt idx="400">
                  <c:v>42900</c:v>
                </c:pt>
                <c:pt idx="401">
                  <c:v>42901</c:v>
                </c:pt>
                <c:pt idx="402">
                  <c:v>42902</c:v>
                </c:pt>
                <c:pt idx="403">
                  <c:v>42905</c:v>
                </c:pt>
                <c:pt idx="404">
                  <c:v>42906</c:v>
                </c:pt>
                <c:pt idx="405">
                  <c:v>42907</c:v>
                </c:pt>
                <c:pt idx="406">
                  <c:v>42908</c:v>
                </c:pt>
                <c:pt idx="407">
                  <c:v>42909</c:v>
                </c:pt>
                <c:pt idx="408">
                  <c:v>42912</c:v>
                </c:pt>
                <c:pt idx="409">
                  <c:v>42913</c:v>
                </c:pt>
                <c:pt idx="410">
                  <c:v>42914</c:v>
                </c:pt>
                <c:pt idx="411">
                  <c:v>42915</c:v>
                </c:pt>
                <c:pt idx="412">
                  <c:v>42916</c:v>
                </c:pt>
                <c:pt idx="413">
                  <c:v>42919</c:v>
                </c:pt>
                <c:pt idx="414">
                  <c:v>42921</c:v>
                </c:pt>
                <c:pt idx="415">
                  <c:v>42922</c:v>
                </c:pt>
                <c:pt idx="416">
                  <c:v>42923</c:v>
                </c:pt>
                <c:pt idx="417">
                  <c:v>42926</c:v>
                </c:pt>
                <c:pt idx="418">
                  <c:v>42927</c:v>
                </c:pt>
                <c:pt idx="419">
                  <c:v>42928</c:v>
                </c:pt>
                <c:pt idx="420">
                  <c:v>42929</c:v>
                </c:pt>
                <c:pt idx="421">
                  <c:v>42930</c:v>
                </c:pt>
                <c:pt idx="422">
                  <c:v>42933</c:v>
                </c:pt>
                <c:pt idx="423">
                  <c:v>42934</c:v>
                </c:pt>
                <c:pt idx="424">
                  <c:v>42935</c:v>
                </c:pt>
                <c:pt idx="425">
                  <c:v>42936</c:v>
                </c:pt>
                <c:pt idx="426">
                  <c:v>42937</c:v>
                </c:pt>
                <c:pt idx="427">
                  <c:v>42940</c:v>
                </c:pt>
                <c:pt idx="428">
                  <c:v>42941</c:v>
                </c:pt>
                <c:pt idx="429">
                  <c:v>42942</c:v>
                </c:pt>
                <c:pt idx="430">
                  <c:v>42943</c:v>
                </c:pt>
                <c:pt idx="431">
                  <c:v>42944</c:v>
                </c:pt>
                <c:pt idx="432">
                  <c:v>42947</c:v>
                </c:pt>
                <c:pt idx="433">
                  <c:v>42948</c:v>
                </c:pt>
                <c:pt idx="434">
                  <c:v>42949</c:v>
                </c:pt>
                <c:pt idx="435">
                  <c:v>42950</c:v>
                </c:pt>
                <c:pt idx="436">
                  <c:v>42951</c:v>
                </c:pt>
                <c:pt idx="437">
                  <c:v>42954</c:v>
                </c:pt>
                <c:pt idx="438">
                  <c:v>42955</c:v>
                </c:pt>
                <c:pt idx="439">
                  <c:v>42956</c:v>
                </c:pt>
                <c:pt idx="440">
                  <c:v>42957</c:v>
                </c:pt>
                <c:pt idx="441">
                  <c:v>42958</c:v>
                </c:pt>
                <c:pt idx="442">
                  <c:v>42961</c:v>
                </c:pt>
                <c:pt idx="443">
                  <c:v>42962</c:v>
                </c:pt>
                <c:pt idx="444">
                  <c:v>42963</c:v>
                </c:pt>
                <c:pt idx="445">
                  <c:v>42964</c:v>
                </c:pt>
                <c:pt idx="446">
                  <c:v>42965</c:v>
                </c:pt>
                <c:pt idx="447">
                  <c:v>42968</c:v>
                </c:pt>
                <c:pt idx="448">
                  <c:v>42969</c:v>
                </c:pt>
                <c:pt idx="449">
                  <c:v>42970</c:v>
                </c:pt>
                <c:pt idx="450">
                  <c:v>42971</c:v>
                </c:pt>
                <c:pt idx="451">
                  <c:v>42972</c:v>
                </c:pt>
                <c:pt idx="452">
                  <c:v>42975</c:v>
                </c:pt>
                <c:pt idx="453">
                  <c:v>42976</c:v>
                </c:pt>
                <c:pt idx="454">
                  <c:v>42977</c:v>
                </c:pt>
                <c:pt idx="455">
                  <c:v>42978</c:v>
                </c:pt>
                <c:pt idx="456">
                  <c:v>42979</c:v>
                </c:pt>
                <c:pt idx="457">
                  <c:v>42983</c:v>
                </c:pt>
                <c:pt idx="458">
                  <c:v>42984</c:v>
                </c:pt>
                <c:pt idx="459">
                  <c:v>42985</c:v>
                </c:pt>
                <c:pt idx="460">
                  <c:v>42986</c:v>
                </c:pt>
                <c:pt idx="461">
                  <c:v>42989</c:v>
                </c:pt>
                <c:pt idx="462">
                  <c:v>42990</c:v>
                </c:pt>
                <c:pt idx="463">
                  <c:v>42991</c:v>
                </c:pt>
                <c:pt idx="464">
                  <c:v>42992</c:v>
                </c:pt>
                <c:pt idx="465">
                  <c:v>42993</c:v>
                </c:pt>
                <c:pt idx="466">
                  <c:v>42996</c:v>
                </c:pt>
                <c:pt idx="467">
                  <c:v>42997</c:v>
                </c:pt>
                <c:pt idx="468">
                  <c:v>42998</c:v>
                </c:pt>
                <c:pt idx="469">
                  <c:v>42999</c:v>
                </c:pt>
                <c:pt idx="470">
                  <c:v>43000</c:v>
                </c:pt>
                <c:pt idx="471">
                  <c:v>43003</c:v>
                </c:pt>
                <c:pt idx="472">
                  <c:v>43004</c:v>
                </c:pt>
                <c:pt idx="473">
                  <c:v>43005</c:v>
                </c:pt>
                <c:pt idx="474">
                  <c:v>43006</c:v>
                </c:pt>
                <c:pt idx="475">
                  <c:v>43007</c:v>
                </c:pt>
                <c:pt idx="476">
                  <c:v>43010</c:v>
                </c:pt>
                <c:pt idx="477">
                  <c:v>43011</c:v>
                </c:pt>
                <c:pt idx="478">
                  <c:v>43012</c:v>
                </c:pt>
                <c:pt idx="479">
                  <c:v>43013</c:v>
                </c:pt>
                <c:pt idx="480">
                  <c:v>43014</c:v>
                </c:pt>
                <c:pt idx="481">
                  <c:v>43017</c:v>
                </c:pt>
                <c:pt idx="482">
                  <c:v>43018</c:v>
                </c:pt>
                <c:pt idx="483">
                  <c:v>43019</c:v>
                </c:pt>
                <c:pt idx="484">
                  <c:v>43020</c:v>
                </c:pt>
                <c:pt idx="485">
                  <c:v>43021</c:v>
                </c:pt>
                <c:pt idx="486">
                  <c:v>43024</c:v>
                </c:pt>
                <c:pt idx="487">
                  <c:v>43025</c:v>
                </c:pt>
                <c:pt idx="488">
                  <c:v>43026</c:v>
                </c:pt>
                <c:pt idx="489">
                  <c:v>43027</c:v>
                </c:pt>
                <c:pt idx="490">
                  <c:v>43028</c:v>
                </c:pt>
                <c:pt idx="491">
                  <c:v>43031</c:v>
                </c:pt>
                <c:pt idx="492">
                  <c:v>43032</c:v>
                </c:pt>
                <c:pt idx="493">
                  <c:v>43033</c:v>
                </c:pt>
                <c:pt idx="494">
                  <c:v>43034</c:v>
                </c:pt>
                <c:pt idx="495">
                  <c:v>43035</c:v>
                </c:pt>
                <c:pt idx="496">
                  <c:v>43038</c:v>
                </c:pt>
                <c:pt idx="497">
                  <c:v>43039</c:v>
                </c:pt>
                <c:pt idx="498">
                  <c:v>43040</c:v>
                </c:pt>
                <c:pt idx="499">
                  <c:v>43041</c:v>
                </c:pt>
                <c:pt idx="500">
                  <c:v>43042</c:v>
                </c:pt>
                <c:pt idx="501">
                  <c:v>43045</c:v>
                </c:pt>
                <c:pt idx="502">
                  <c:v>43046</c:v>
                </c:pt>
                <c:pt idx="503">
                  <c:v>43047</c:v>
                </c:pt>
                <c:pt idx="504">
                  <c:v>43048</c:v>
                </c:pt>
                <c:pt idx="505">
                  <c:v>43049</c:v>
                </c:pt>
                <c:pt idx="506">
                  <c:v>43052</c:v>
                </c:pt>
                <c:pt idx="507">
                  <c:v>43053</c:v>
                </c:pt>
                <c:pt idx="508">
                  <c:v>43054</c:v>
                </c:pt>
                <c:pt idx="509">
                  <c:v>43055</c:v>
                </c:pt>
                <c:pt idx="510">
                  <c:v>43056</c:v>
                </c:pt>
                <c:pt idx="511">
                  <c:v>43059</c:v>
                </c:pt>
                <c:pt idx="512">
                  <c:v>43060</c:v>
                </c:pt>
                <c:pt idx="513">
                  <c:v>43061</c:v>
                </c:pt>
                <c:pt idx="514">
                  <c:v>43063</c:v>
                </c:pt>
                <c:pt idx="515">
                  <c:v>43066</c:v>
                </c:pt>
                <c:pt idx="516">
                  <c:v>43067</c:v>
                </c:pt>
                <c:pt idx="517">
                  <c:v>43068</c:v>
                </c:pt>
                <c:pt idx="518">
                  <c:v>43069</c:v>
                </c:pt>
                <c:pt idx="519">
                  <c:v>43070</c:v>
                </c:pt>
                <c:pt idx="520">
                  <c:v>43073</c:v>
                </c:pt>
                <c:pt idx="521">
                  <c:v>43074</c:v>
                </c:pt>
                <c:pt idx="522">
                  <c:v>43075</c:v>
                </c:pt>
                <c:pt idx="523">
                  <c:v>43076</c:v>
                </c:pt>
                <c:pt idx="524">
                  <c:v>43077</c:v>
                </c:pt>
                <c:pt idx="525">
                  <c:v>43080</c:v>
                </c:pt>
                <c:pt idx="526">
                  <c:v>43081</c:v>
                </c:pt>
                <c:pt idx="527">
                  <c:v>43082</c:v>
                </c:pt>
                <c:pt idx="528">
                  <c:v>43083</c:v>
                </c:pt>
                <c:pt idx="529">
                  <c:v>43084</c:v>
                </c:pt>
                <c:pt idx="530">
                  <c:v>43087</c:v>
                </c:pt>
                <c:pt idx="531">
                  <c:v>43088</c:v>
                </c:pt>
                <c:pt idx="532">
                  <c:v>43089</c:v>
                </c:pt>
                <c:pt idx="533">
                  <c:v>43090</c:v>
                </c:pt>
                <c:pt idx="534">
                  <c:v>43091</c:v>
                </c:pt>
                <c:pt idx="535">
                  <c:v>43095</c:v>
                </c:pt>
                <c:pt idx="536">
                  <c:v>43096</c:v>
                </c:pt>
                <c:pt idx="537">
                  <c:v>43097</c:v>
                </c:pt>
                <c:pt idx="538">
                  <c:v>43098</c:v>
                </c:pt>
                <c:pt idx="539">
                  <c:v>43102</c:v>
                </c:pt>
                <c:pt idx="540">
                  <c:v>43103</c:v>
                </c:pt>
                <c:pt idx="541">
                  <c:v>43104</c:v>
                </c:pt>
                <c:pt idx="542">
                  <c:v>43105</c:v>
                </c:pt>
                <c:pt idx="543">
                  <c:v>43108</c:v>
                </c:pt>
                <c:pt idx="544">
                  <c:v>43109</c:v>
                </c:pt>
                <c:pt idx="545">
                  <c:v>43110</c:v>
                </c:pt>
                <c:pt idx="546">
                  <c:v>43111</c:v>
                </c:pt>
                <c:pt idx="547">
                  <c:v>43112</c:v>
                </c:pt>
                <c:pt idx="548">
                  <c:v>43116</c:v>
                </c:pt>
                <c:pt idx="549">
                  <c:v>43117</c:v>
                </c:pt>
                <c:pt idx="550">
                  <c:v>43118</c:v>
                </c:pt>
                <c:pt idx="551">
                  <c:v>43119</c:v>
                </c:pt>
                <c:pt idx="552">
                  <c:v>43122</c:v>
                </c:pt>
                <c:pt idx="553">
                  <c:v>43123</c:v>
                </c:pt>
                <c:pt idx="554">
                  <c:v>43124</c:v>
                </c:pt>
                <c:pt idx="555">
                  <c:v>43125</c:v>
                </c:pt>
                <c:pt idx="556">
                  <c:v>43126</c:v>
                </c:pt>
                <c:pt idx="557">
                  <c:v>43129</c:v>
                </c:pt>
                <c:pt idx="558">
                  <c:v>43130</c:v>
                </c:pt>
                <c:pt idx="559">
                  <c:v>43131</c:v>
                </c:pt>
                <c:pt idx="560">
                  <c:v>43132</c:v>
                </c:pt>
                <c:pt idx="561">
                  <c:v>43133</c:v>
                </c:pt>
                <c:pt idx="562">
                  <c:v>43136</c:v>
                </c:pt>
                <c:pt idx="563">
                  <c:v>43137</c:v>
                </c:pt>
                <c:pt idx="564">
                  <c:v>43138</c:v>
                </c:pt>
                <c:pt idx="565">
                  <c:v>43139</c:v>
                </c:pt>
                <c:pt idx="566">
                  <c:v>43140</c:v>
                </c:pt>
                <c:pt idx="567">
                  <c:v>43143</c:v>
                </c:pt>
                <c:pt idx="568">
                  <c:v>43144</c:v>
                </c:pt>
                <c:pt idx="569">
                  <c:v>43145</c:v>
                </c:pt>
                <c:pt idx="570">
                  <c:v>43146</c:v>
                </c:pt>
                <c:pt idx="571">
                  <c:v>43147</c:v>
                </c:pt>
                <c:pt idx="572">
                  <c:v>43151</c:v>
                </c:pt>
                <c:pt idx="573">
                  <c:v>43152</c:v>
                </c:pt>
                <c:pt idx="574">
                  <c:v>43153</c:v>
                </c:pt>
                <c:pt idx="575">
                  <c:v>43154</c:v>
                </c:pt>
                <c:pt idx="576">
                  <c:v>43157</c:v>
                </c:pt>
                <c:pt idx="577">
                  <c:v>43158</c:v>
                </c:pt>
                <c:pt idx="578">
                  <c:v>43159</c:v>
                </c:pt>
                <c:pt idx="579">
                  <c:v>43160</c:v>
                </c:pt>
                <c:pt idx="580">
                  <c:v>43161</c:v>
                </c:pt>
                <c:pt idx="581">
                  <c:v>43164</c:v>
                </c:pt>
                <c:pt idx="582">
                  <c:v>43165</c:v>
                </c:pt>
                <c:pt idx="583">
                  <c:v>43166</c:v>
                </c:pt>
                <c:pt idx="584">
                  <c:v>43167</c:v>
                </c:pt>
                <c:pt idx="585">
                  <c:v>43168</c:v>
                </c:pt>
                <c:pt idx="586">
                  <c:v>43171</c:v>
                </c:pt>
                <c:pt idx="587">
                  <c:v>43172</c:v>
                </c:pt>
                <c:pt idx="588">
                  <c:v>43173</c:v>
                </c:pt>
                <c:pt idx="589">
                  <c:v>43174</c:v>
                </c:pt>
                <c:pt idx="590">
                  <c:v>43175</c:v>
                </c:pt>
                <c:pt idx="591">
                  <c:v>43178</c:v>
                </c:pt>
                <c:pt idx="592">
                  <c:v>43179</c:v>
                </c:pt>
                <c:pt idx="593">
                  <c:v>43180</c:v>
                </c:pt>
                <c:pt idx="594">
                  <c:v>43181</c:v>
                </c:pt>
                <c:pt idx="595">
                  <c:v>43182</c:v>
                </c:pt>
                <c:pt idx="596">
                  <c:v>43185</c:v>
                </c:pt>
                <c:pt idx="597">
                  <c:v>43186</c:v>
                </c:pt>
                <c:pt idx="598">
                  <c:v>43187</c:v>
                </c:pt>
                <c:pt idx="599">
                  <c:v>43188</c:v>
                </c:pt>
                <c:pt idx="600">
                  <c:v>43192</c:v>
                </c:pt>
                <c:pt idx="601">
                  <c:v>43193</c:v>
                </c:pt>
                <c:pt idx="602">
                  <c:v>43194</c:v>
                </c:pt>
                <c:pt idx="603">
                  <c:v>43195</c:v>
                </c:pt>
                <c:pt idx="604">
                  <c:v>43196</c:v>
                </c:pt>
                <c:pt idx="605">
                  <c:v>43199</c:v>
                </c:pt>
                <c:pt idx="606">
                  <c:v>43200</c:v>
                </c:pt>
                <c:pt idx="607">
                  <c:v>43201</c:v>
                </c:pt>
                <c:pt idx="608">
                  <c:v>43202</c:v>
                </c:pt>
                <c:pt idx="609">
                  <c:v>43203</c:v>
                </c:pt>
                <c:pt idx="610">
                  <c:v>43206</c:v>
                </c:pt>
                <c:pt idx="611">
                  <c:v>43207</c:v>
                </c:pt>
                <c:pt idx="612">
                  <c:v>43208</c:v>
                </c:pt>
                <c:pt idx="613">
                  <c:v>43209</c:v>
                </c:pt>
                <c:pt idx="614">
                  <c:v>43210</c:v>
                </c:pt>
                <c:pt idx="615">
                  <c:v>43213</c:v>
                </c:pt>
                <c:pt idx="616">
                  <c:v>43214</c:v>
                </c:pt>
                <c:pt idx="617">
                  <c:v>43215</c:v>
                </c:pt>
                <c:pt idx="618">
                  <c:v>43216</c:v>
                </c:pt>
                <c:pt idx="619">
                  <c:v>43217</c:v>
                </c:pt>
                <c:pt idx="620">
                  <c:v>43220</c:v>
                </c:pt>
                <c:pt idx="621">
                  <c:v>43221</c:v>
                </c:pt>
                <c:pt idx="622">
                  <c:v>43222</c:v>
                </c:pt>
                <c:pt idx="623">
                  <c:v>43223</c:v>
                </c:pt>
                <c:pt idx="624">
                  <c:v>43224</c:v>
                </c:pt>
                <c:pt idx="625">
                  <c:v>43227</c:v>
                </c:pt>
                <c:pt idx="626">
                  <c:v>43228</c:v>
                </c:pt>
                <c:pt idx="627">
                  <c:v>43229</c:v>
                </c:pt>
                <c:pt idx="628">
                  <c:v>43230</c:v>
                </c:pt>
                <c:pt idx="629">
                  <c:v>43231</c:v>
                </c:pt>
                <c:pt idx="630">
                  <c:v>43234</c:v>
                </c:pt>
                <c:pt idx="631">
                  <c:v>43235</c:v>
                </c:pt>
                <c:pt idx="632">
                  <c:v>43236</c:v>
                </c:pt>
                <c:pt idx="633">
                  <c:v>43237</c:v>
                </c:pt>
                <c:pt idx="634">
                  <c:v>43238</c:v>
                </c:pt>
                <c:pt idx="635">
                  <c:v>43241</c:v>
                </c:pt>
                <c:pt idx="636">
                  <c:v>43242</c:v>
                </c:pt>
                <c:pt idx="637">
                  <c:v>43243</c:v>
                </c:pt>
                <c:pt idx="638">
                  <c:v>43244</c:v>
                </c:pt>
                <c:pt idx="639">
                  <c:v>43245</c:v>
                </c:pt>
                <c:pt idx="640">
                  <c:v>43249</c:v>
                </c:pt>
                <c:pt idx="641">
                  <c:v>43250</c:v>
                </c:pt>
                <c:pt idx="642">
                  <c:v>43251</c:v>
                </c:pt>
                <c:pt idx="643">
                  <c:v>43252</c:v>
                </c:pt>
                <c:pt idx="644">
                  <c:v>43255</c:v>
                </c:pt>
                <c:pt idx="645">
                  <c:v>43256</c:v>
                </c:pt>
                <c:pt idx="646">
                  <c:v>43257</c:v>
                </c:pt>
                <c:pt idx="647">
                  <c:v>43258</c:v>
                </c:pt>
                <c:pt idx="648">
                  <c:v>43259</c:v>
                </c:pt>
                <c:pt idx="649">
                  <c:v>43262</c:v>
                </c:pt>
                <c:pt idx="650">
                  <c:v>43263</c:v>
                </c:pt>
                <c:pt idx="651">
                  <c:v>43264</c:v>
                </c:pt>
                <c:pt idx="652">
                  <c:v>43265</c:v>
                </c:pt>
                <c:pt idx="653">
                  <c:v>43266</c:v>
                </c:pt>
                <c:pt idx="654">
                  <c:v>43269</c:v>
                </c:pt>
                <c:pt idx="655">
                  <c:v>43270</c:v>
                </c:pt>
                <c:pt idx="656">
                  <c:v>43271</c:v>
                </c:pt>
                <c:pt idx="657">
                  <c:v>43272</c:v>
                </c:pt>
                <c:pt idx="658">
                  <c:v>43273</c:v>
                </c:pt>
                <c:pt idx="659">
                  <c:v>43276</c:v>
                </c:pt>
                <c:pt idx="660">
                  <c:v>43277</c:v>
                </c:pt>
                <c:pt idx="661">
                  <c:v>43278</c:v>
                </c:pt>
                <c:pt idx="662">
                  <c:v>43279</c:v>
                </c:pt>
                <c:pt idx="663">
                  <c:v>43280</c:v>
                </c:pt>
                <c:pt idx="664">
                  <c:v>43283</c:v>
                </c:pt>
                <c:pt idx="665">
                  <c:v>43284</c:v>
                </c:pt>
                <c:pt idx="666">
                  <c:v>43286</c:v>
                </c:pt>
                <c:pt idx="667">
                  <c:v>43287</c:v>
                </c:pt>
                <c:pt idx="668">
                  <c:v>43290</c:v>
                </c:pt>
                <c:pt idx="669">
                  <c:v>43291</c:v>
                </c:pt>
                <c:pt idx="670">
                  <c:v>43292</c:v>
                </c:pt>
                <c:pt idx="671">
                  <c:v>43293</c:v>
                </c:pt>
                <c:pt idx="672">
                  <c:v>43294</c:v>
                </c:pt>
                <c:pt idx="673">
                  <c:v>43297</c:v>
                </c:pt>
                <c:pt idx="674">
                  <c:v>43298</c:v>
                </c:pt>
                <c:pt idx="675">
                  <c:v>43299</c:v>
                </c:pt>
                <c:pt idx="676">
                  <c:v>43300</c:v>
                </c:pt>
                <c:pt idx="677">
                  <c:v>43301</c:v>
                </c:pt>
                <c:pt idx="678">
                  <c:v>43304</c:v>
                </c:pt>
                <c:pt idx="679">
                  <c:v>43305</c:v>
                </c:pt>
                <c:pt idx="680">
                  <c:v>43306</c:v>
                </c:pt>
                <c:pt idx="681">
                  <c:v>43307</c:v>
                </c:pt>
                <c:pt idx="682">
                  <c:v>43308</c:v>
                </c:pt>
                <c:pt idx="683">
                  <c:v>43311</c:v>
                </c:pt>
                <c:pt idx="684">
                  <c:v>43312</c:v>
                </c:pt>
                <c:pt idx="685">
                  <c:v>43313</c:v>
                </c:pt>
                <c:pt idx="686">
                  <c:v>43314</c:v>
                </c:pt>
                <c:pt idx="687">
                  <c:v>43315</c:v>
                </c:pt>
                <c:pt idx="688">
                  <c:v>43318</c:v>
                </c:pt>
                <c:pt idx="689">
                  <c:v>43319</c:v>
                </c:pt>
                <c:pt idx="690">
                  <c:v>43320</c:v>
                </c:pt>
                <c:pt idx="691">
                  <c:v>43321</c:v>
                </c:pt>
                <c:pt idx="692">
                  <c:v>43322</c:v>
                </c:pt>
                <c:pt idx="693">
                  <c:v>43325</c:v>
                </c:pt>
                <c:pt idx="694">
                  <c:v>43326</c:v>
                </c:pt>
                <c:pt idx="695">
                  <c:v>43327</c:v>
                </c:pt>
                <c:pt idx="696">
                  <c:v>43328</c:v>
                </c:pt>
                <c:pt idx="697">
                  <c:v>43329</c:v>
                </c:pt>
                <c:pt idx="698">
                  <c:v>43332</c:v>
                </c:pt>
                <c:pt idx="699">
                  <c:v>43333</c:v>
                </c:pt>
                <c:pt idx="700">
                  <c:v>43334</c:v>
                </c:pt>
                <c:pt idx="701">
                  <c:v>43335</c:v>
                </c:pt>
                <c:pt idx="702">
                  <c:v>43336</c:v>
                </c:pt>
                <c:pt idx="703">
                  <c:v>43339</c:v>
                </c:pt>
                <c:pt idx="704">
                  <c:v>43340</c:v>
                </c:pt>
                <c:pt idx="705">
                  <c:v>43341</c:v>
                </c:pt>
                <c:pt idx="706">
                  <c:v>43342</c:v>
                </c:pt>
                <c:pt idx="707">
                  <c:v>43343</c:v>
                </c:pt>
                <c:pt idx="708">
                  <c:v>43347</c:v>
                </c:pt>
                <c:pt idx="709">
                  <c:v>43348</c:v>
                </c:pt>
                <c:pt idx="710">
                  <c:v>43349</c:v>
                </c:pt>
                <c:pt idx="711">
                  <c:v>43350</c:v>
                </c:pt>
                <c:pt idx="712">
                  <c:v>43353</c:v>
                </c:pt>
                <c:pt idx="713">
                  <c:v>43354</c:v>
                </c:pt>
                <c:pt idx="714">
                  <c:v>43355</c:v>
                </c:pt>
                <c:pt idx="715">
                  <c:v>43356</c:v>
                </c:pt>
                <c:pt idx="716">
                  <c:v>43357</c:v>
                </c:pt>
                <c:pt idx="717">
                  <c:v>43360</c:v>
                </c:pt>
                <c:pt idx="718">
                  <c:v>43361</c:v>
                </c:pt>
                <c:pt idx="719">
                  <c:v>43362</c:v>
                </c:pt>
                <c:pt idx="720">
                  <c:v>43363</c:v>
                </c:pt>
                <c:pt idx="721">
                  <c:v>43364</c:v>
                </c:pt>
                <c:pt idx="722">
                  <c:v>43367</c:v>
                </c:pt>
                <c:pt idx="723">
                  <c:v>43368</c:v>
                </c:pt>
                <c:pt idx="724">
                  <c:v>43369</c:v>
                </c:pt>
                <c:pt idx="725">
                  <c:v>43370</c:v>
                </c:pt>
                <c:pt idx="726">
                  <c:v>43371</c:v>
                </c:pt>
                <c:pt idx="727">
                  <c:v>43374</c:v>
                </c:pt>
                <c:pt idx="728">
                  <c:v>43375</c:v>
                </c:pt>
                <c:pt idx="729">
                  <c:v>43376</c:v>
                </c:pt>
                <c:pt idx="730">
                  <c:v>43377</c:v>
                </c:pt>
                <c:pt idx="731">
                  <c:v>43378</c:v>
                </c:pt>
                <c:pt idx="732">
                  <c:v>43381</c:v>
                </c:pt>
                <c:pt idx="733">
                  <c:v>43382</c:v>
                </c:pt>
                <c:pt idx="734">
                  <c:v>43383</c:v>
                </c:pt>
                <c:pt idx="735">
                  <c:v>43384</c:v>
                </c:pt>
                <c:pt idx="736">
                  <c:v>43385</c:v>
                </c:pt>
                <c:pt idx="737">
                  <c:v>43388</c:v>
                </c:pt>
              </c:numCache>
            </c:numRef>
          </c:xVal>
          <c:yVal>
            <c:numRef>
              <c:f>'tesla-stock-price (3)'!$E$22:$E$759</c:f>
              <c:numCache>
                <c:formatCode>General</c:formatCode>
                <c:ptCount val="738"/>
                <c:pt idx="0">
                  <c:v>-15.27000000000001</c:v>
                </c:pt>
                <c:pt idx="1">
                  <c:v>-13.280000000000001</c:v>
                </c:pt>
                <c:pt idx="2">
                  <c:v>-12.390000000000015</c:v>
                </c:pt>
                <c:pt idx="3">
                  <c:v>-9.3100000000000023</c:v>
                </c:pt>
                <c:pt idx="4">
                  <c:v>-4.7700000000000102</c:v>
                </c:pt>
                <c:pt idx="5">
                  <c:v>1.0600000000000023</c:v>
                </c:pt>
                <c:pt idx="6">
                  <c:v>13.879999999999995</c:v>
                </c:pt>
                <c:pt idx="7">
                  <c:v>7.4900000000000091</c:v>
                </c:pt>
                <c:pt idx="8">
                  <c:v>6.0099999999999909</c:v>
                </c:pt>
                <c:pt idx="9">
                  <c:v>-3.3199999999999932</c:v>
                </c:pt>
                <c:pt idx="10">
                  <c:v>-3.5500000000000114</c:v>
                </c:pt>
                <c:pt idx="11">
                  <c:v>9.6299999999999955</c:v>
                </c:pt>
                <c:pt idx="12">
                  <c:v>13.860000000000014</c:v>
                </c:pt>
                <c:pt idx="13">
                  <c:v>12.009999999999991</c:v>
                </c:pt>
                <c:pt idx="14">
                  <c:v>7.5500000000000114</c:v>
                </c:pt>
                <c:pt idx="15">
                  <c:v>0.37999999999999545</c:v>
                </c:pt>
                <c:pt idx="16">
                  <c:v>2.4500000000000171</c:v>
                </c:pt>
                <c:pt idx="17">
                  <c:v>-6.8100000000000023</c:v>
                </c:pt>
                <c:pt idx="18">
                  <c:v>-0.86000000000001364</c:v>
                </c:pt>
                <c:pt idx="19">
                  <c:v>-5.9900000000000091</c:v>
                </c:pt>
                <c:pt idx="20">
                  <c:v>-5.8599999999999852</c:v>
                </c:pt>
                <c:pt idx="21">
                  <c:v>-4.0600000000000023</c:v>
                </c:pt>
                <c:pt idx="22">
                  <c:v>-9.6999999999999886</c:v>
                </c:pt>
                <c:pt idx="23">
                  <c:v>-5.9399999999999977</c:v>
                </c:pt>
                <c:pt idx="24">
                  <c:v>-5.9799999999999898</c:v>
                </c:pt>
                <c:pt idx="25">
                  <c:v>17.489999999999981</c:v>
                </c:pt>
                <c:pt idx="26">
                  <c:v>14.809999999999974</c:v>
                </c:pt>
                <c:pt idx="27">
                  <c:v>9.3700000000000045</c:v>
                </c:pt>
                <c:pt idx="28">
                  <c:v>-1.9499999999999886</c:v>
                </c:pt>
                <c:pt idx="29">
                  <c:v>-3.4399999999999977</c:v>
                </c:pt>
                <c:pt idx="30">
                  <c:v>-0.76000000000001933</c:v>
                </c:pt>
                <c:pt idx="31">
                  <c:v>-1.9900000000000091</c:v>
                </c:pt>
                <c:pt idx="32">
                  <c:v>-1</c:v>
                </c:pt>
                <c:pt idx="33">
                  <c:v>7.4900000000000091</c:v>
                </c:pt>
                <c:pt idx="34">
                  <c:v>7.5200000000000102</c:v>
                </c:pt>
                <c:pt idx="35">
                  <c:v>11.060000000000002</c:v>
                </c:pt>
                <c:pt idx="36">
                  <c:v>-13.780000000000001</c:v>
                </c:pt>
                <c:pt idx="37">
                  <c:v>-14.659999999999997</c:v>
                </c:pt>
                <c:pt idx="38">
                  <c:v>-20.97</c:v>
                </c:pt>
                <c:pt idx="39">
                  <c:v>-7.7599999999999909</c:v>
                </c:pt>
                <c:pt idx="40">
                  <c:v>-12.430000000000007</c:v>
                </c:pt>
                <c:pt idx="41">
                  <c:v>-11.189999999999998</c:v>
                </c:pt>
                <c:pt idx="42">
                  <c:v>-5.6800000000000068</c:v>
                </c:pt>
                <c:pt idx="43">
                  <c:v>-10.689999999999998</c:v>
                </c:pt>
                <c:pt idx="44">
                  <c:v>-1.6699999999999875</c:v>
                </c:pt>
                <c:pt idx="45">
                  <c:v>-4.9799999999999898</c:v>
                </c:pt>
                <c:pt idx="46">
                  <c:v>4.4099999999999966</c:v>
                </c:pt>
                <c:pt idx="47">
                  <c:v>-7.4800000000000182</c:v>
                </c:pt>
                <c:pt idx="48">
                  <c:v>-5.0200000000000102</c:v>
                </c:pt>
                <c:pt idx="49">
                  <c:v>-2.1699999999999875</c:v>
                </c:pt>
                <c:pt idx="50">
                  <c:v>-2.3199999999999932</c:v>
                </c:pt>
                <c:pt idx="51">
                  <c:v>-6.4099999999999966</c:v>
                </c:pt>
                <c:pt idx="52">
                  <c:v>-14.480000000000018</c:v>
                </c:pt>
                <c:pt idx="53">
                  <c:v>-6.6800000000000068</c:v>
                </c:pt>
                <c:pt idx="54">
                  <c:v>-2.3600000000000136</c:v>
                </c:pt>
                <c:pt idx="55">
                  <c:v>8.8700000000000045</c:v>
                </c:pt>
                <c:pt idx="56">
                  <c:v>-6.9199999999999875</c:v>
                </c:pt>
                <c:pt idx="57">
                  <c:v>-17.72</c:v>
                </c:pt>
                <c:pt idx="58">
                  <c:v>-21.609999999999985</c:v>
                </c:pt>
                <c:pt idx="59">
                  <c:v>-20.180000000000007</c:v>
                </c:pt>
                <c:pt idx="60">
                  <c:v>-25.489999999999981</c:v>
                </c:pt>
                <c:pt idx="61">
                  <c:v>-27.080000000000013</c:v>
                </c:pt>
                <c:pt idx="62">
                  <c:v>-18.930000000000007</c:v>
                </c:pt>
                <c:pt idx="63">
                  <c:v>2.4799999999999898</c:v>
                </c:pt>
                <c:pt idx="64">
                  <c:v>2.789999999999992</c:v>
                </c:pt>
                <c:pt idx="65">
                  <c:v>11.5</c:v>
                </c:pt>
                <c:pt idx="66">
                  <c:v>18.210000000000008</c:v>
                </c:pt>
                <c:pt idx="67">
                  <c:v>15.730000000000018</c:v>
                </c:pt>
                <c:pt idx="68">
                  <c:v>11.410000000000025</c:v>
                </c:pt>
                <c:pt idx="69">
                  <c:v>9.0600000000000023</c:v>
                </c:pt>
                <c:pt idx="70">
                  <c:v>10.439999999999998</c:v>
                </c:pt>
                <c:pt idx="71">
                  <c:v>12.419999999999987</c:v>
                </c:pt>
                <c:pt idx="72">
                  <c:v>9.6899999999999977</c:v>
                </c:pt>
                <c:pt idx="73">
                  <c:v>13.129999999999995</c:v>
                </c:pt>
                <c:pt idx="74">
                  <c:v>12.930000000000007</c:v>
                </c:pt>
                <c:pt idx="75">
                  <c:v>-1.0800000000000125</c:v>
                </c:pt>
                <c:pt idx="76">
                  <c:v>-2</c:v>
                </c:pt>
                <c:pt idx="77">
                  <c:v>3.8100000000000023</c:v>
                </c:pt>
                <c:pt idx="78">
                  <c:v>14.689999999999998</c:v>
                </c:pt>
                <c:pt idx="79">
                  <c:v>16.949999999999989</c:v>
                </c:pt>
                <c:pt idx="80">
                  <c:v>6.8599999999999852</c:v>
                </c:pt>
                <c:pt idx="81">
                  <c:v>7.6800000000000068</c:v>
                </c:pt>
                <c:pt idx="82">
                  <c:v>-0.10999999999998522</c:v>
                </c:pt>
                <c:pt idx="83">
                  <c:v>4.9000000000000057</c:v>
                </c:pt>
                <c:pt idx="84">
                  <c:v>6.4300000000000068</c:v>
                </c:pt>
                <c:pt idx="85">
                  <c:v>13.159999999999997</c:v>
                </c:pt>
                <c:pt idx="86">
                  <c:v>14.430000000000007</c:v>
                </c:pt>
                <c:pt idx="87">
                  <c:v>11.22999999999999</c:v>
                </c:pt>
                <c:pt idx="88">
                  <c:v>14.400000000000006</c:v>
                </c:pt>
                <c:pt idx="89">
                  <c:v>16.389999999999986</c:v>
                </c:pt>
                <c:pt idx="90">
                  <c:v>7.8600000000000136</c:v>
                </c:pt>
                <c:pt idx="91">
                  <c:v>-10.159999999999997</c:v>
                </c:pt>
                <c:pt idx="92">
                  <c:v>-10.569999999999993</c:v>
                </c:pt>
                <c:pt idx="93">
                  <c:v>-3.9800000000000182</c:v>
                </c:pt>
                <c:pt idx="94">
                  <c:v>7.5499999999999829</c:v>
                </c:pt>
                <c:pt idx="95">
                  <c:v>-0.86000000000001364</c:v>
                </c:pt>
                <c:pt idx="96">
                  <c:v>-0.48999999999998067</c:v>
                </c:pt>
                <c:pt idx="97">
                  <c:v>7.460000000000008</c:v>
                </c:pt>
                <c:pt idx="98">
                  <c:v>20.100000000000023</c:v>
                </c:pt>
                <c:pt idx="99">
                  <c:v>25.699999999999989</c:v>
                </c:pt>
                <c:pt idx="100">
                  <c:v>27.830000000000013</c:v>
                </c:pt>
                <c:pt idx="101">
                  <c:v>10.20999999999998</c:v>
                </c:pt>
                <c:pt idx="102">
                  <c:v>-5.4000000000000057</c:v>
                </c:pt>
                <c:pt idx="103">
                  <c:v>-15.500000000000028</c:v>
                </c:pt>
                <c:pt idx="104">
                  <c:v>-9.3799999999999955</c:v>
                </c:pt>
                <c:pt idx="105">
                  <c:v>4.460000000000008</c:v>
                </c:pt>
                <c:pt idx="106">
                  <c:v>1.9400000000000261</c:v>
                </c:pt>
                <c:pt idx="107">
                  <c:v>6.6899999999999977</c:v>
                </c:pt>
                <c:pt idx="108">
                  <c:v>-0.65000000000000568</c:v>
                </c:pt>
                <c:pt idx="109">
                  <c:v>-4.4900000000000091</c:v>
                </c:pt>
                <c:pt idx="110">
                  <c:v>-4.539999999999992</c:v>
                </c:pt>
                <c:pt idx="111">
                  <c:v>-5.5900000000000034</c:v>
                </c:pt>
                <c:pt idx="112">
                  <c:v>6.3799999999999955</c:v>
                </c:pt>
                <c:pt idx="113">
                  <c:v>1.8499999999999943</c:v>
                </c:pt>
                <c:pt idx="114">
                  <c:v>5.4500000000000171</c:v>
                </c:pt>
                <c:pt idx="115">
                  <c:v>-2.2800000000000011</c:v>
                </c:pt>
                <c:pt idx="116">
                  <c:v>-4.1099999999999852</c:v>
                </c:pt>
                <c:pt idx="117">
                  <c:v>-12.980000000000018</c:v>
                </c:pt>
                <c:pt idx="118">
                  <c:v>-9.6699999999999875</c:v>
                </c:pt>
                <c:pt idx="119">
                  <c:v>-15.390000000000015</c:v>
                </c:pt>
                <c:pt idx="120">
                  <c:v>-18.199999999999989</c:v>
                </c:pt>
                <c:pt idx="121">
                  <c:v>-30.27000000000001</c:v>
                </c:pt>
                <c:pt idx="122">
                  <c:v>-17.389999999999986</c:v>
                </c:pt>
                <c:pt idx="123">
                  <c:v>-13.640000000000015</c:v>
                </c:pt>
                <c:pt idx="124">
                  <c:v>-2.8400000000000034</c:v>
                </c:pt>
                <c:pt idx="125">
                  <c:v>-5.9699999999999989</c:v>
                </c:pt>
                <c:pt idx="126">
                  <c:v>-1.6399999999999864</c:v>
                </c:pt>
                <c:pt idx="127">
                  <c:v>-1.0799999999999841</c:v>
                </c:pt>
                <c:pt idx="128">
                  <c:v>-0.67000000000001592</c:v>
                </c:pt>
                <c:pt idx="129">
                  <c:v>-2.6200000000000045</c:v>
                </c:pt>
                <c:pt idx="130">
                  <c:v>3.5599999999999739</c:v>
                </c:pt>
                <c:pt idx="131">
                  <c:v>6.9200000000000159</c:v>
                </c:pt>
                <c:pt idx="132">
                  <c:v>15.620000000000005</c:v>
                </c:pt>
                <c:pt idx="133">
                  <c:v>5.0500000000000114</c:v>
                </c:pt>
                <c:pt idx="134">
                  <c:v>2.6999999999999886</c:v>
                </c:pt>
                <c:pt idx="135">
                  <c:v>-0.69999999999998863</c:v>
                </c:pt>
                <c:pt idx="136">
                  <c:v>8.9000000000000057</c:v>
                </c:pt>
                <c:pt idx="137">
                  <c:v>5.1299999999999955</c:v>
                </c:pt>
                <c:pt idx="138">
                  <c:v>3.6499999999999773</c:v>
                </c:pt>
                <c:pt idx="139">
                  <c:v>-5.5600000000000023</c:v>
                </c:pt>
                <c:pt idx="140">
                  <c:v>-4.0799999999999841</c:v>
                </c:pt>
                <c:pt idx="141">
                  <c:v>-4.2399999999999807</c:v>
                </c:pt>
                <c:pt idx="142">
                  <c:v>1.1200000000000045</c:v>
                </c:pt>
                <c:pt idx="143">
                  <c:v>13.379999999999995</c:v>
                </c:pt>
                <c:pt idx="144">
                  <c:v>16.53</c:v>
                </c:pt>
                <c:pt idx="145">
                  <c:v>8.6800000000000068</c:v>
                </c:pt>
                <c:pt idx="146">
                  <c:v>-13.550000000000011</c:v>
                </c:pt>
                <c:pt idx="147">
                  <c:v>-17.650000000000006</c:v>
                </c:pt>
                <c:pt idx="148">
                  <c:v>-14.400000000000006</c:v>
                </c:pt>
                <c:pt idx="149">
                  <c:v>-1.0900000000000034</c:v>
                </c:pt>
                <c:pt idx="150">
                  <c:v>6.0000000000002274E-2</c:v>
                </c:pt>
                <c:pt idx="151">
                  <c:v>0.50999999999999091</c:v>
                </c:pt>
                <c:pt idx="152">
                  <c:v>2</c:v>
                </c:pt>
                <c:pt idx="153">
                  <c:v>1.6800000000000068</c:v>
                </c:pt>
                <c:pt idx="154">
                  <c:v>-18.810000000000002</c:v>
                </c:pt>
                <c:pt idx="155">
                  <c:v>-23.299999999999983</c:v>
                </c:pt>
                <c:pt idx="156">
                  <c:v>-26.460000000000008</c:v>
                </c:pt>
                <c:pt idx="157">
                  <c:v>1.8900000000000148</c:v>
                </c:pt>
                <c:pt idx="158">
                  <c:v>5.3899999999999864</c:v>
                </c:pt>
                <c:pt idx="159">
                  <c:v>17.039999999999992</c:v>
                </c:pt>
                <c:pt idx="160">
                  <c:v>13.72999999999999</c:v>
                </c:pt>
                <c:pt idx="161">
                  <c:v>14.710000000000008</c:v>
                </c:pt>
                <c:pt idx="162">
                  <c:v>3.789999999999992</c:v>
                </c:pt>
                <c:pt idx="163">
                  <c:v>2.1599999999999966</c:v>
                </c:pt>
                <c:pt idx="164">
                  <c:v>-0.56000000000000227</c:v>
                </c:pt>
                <c:pt idx="165">
                  <c:v>2.8000000000000114</c:v>
                </c:pt>
                <c:pt idx="166">
                  <c:v>10.340000000000003</c:v>
                </c:pt>
                <c:pt idx="167">
                  <c:v>8.710000000000008</c:v>
                </c:pt>
                <c:pt idx="168">
                  <c:v>5.75</c:v>
                </c:pt>
                <c:pt idx="169">
                  <c:v>-3.25</c:v>
                </c:pt>
                <c:pt idx="170">
                  <c:v>-4.25</c:v>
                </c:pt>
                <c:pt idx="171">
                  <c:v>3.7199999999999989</c:v>
                </c:pt>
                <c:pt idx="172">
                  <c:v>3.7299999999999898</c:v>
                </c:pt>
                <c:pt idx="173">
                  <c:v>7.960000000000008</c:v>
                </c:pt>
                <c:pt idx="174">
                  <c:v>-5.75</c:v>
                </c:pt>
                <c:pt idx="175">
                  <c:v>-2.9899999999999807</c:v>
                </c:pt>
                <c:pt idx="176">
                  <c:v>1.6499999999999773</c:v>
                </c:pt>
                <c:pt idx="177">
                  <c:v>9.0099999999999909</c:v>
                </c:pt>
                <c:pt idx="178">
                  <c:v>6.2199999999999989</c:v>
                </c:pt>
                <c:pt idx="179">
                  <c:v>0.60000000000002274</c:v>
                </c:pt>
                <c:pt idx="180">
                  <c:v>5.2800000000000011</c:v>
                </c:pt>
                <c:pt idx="181">
                  <c:v>1.5199999999999818</c:v>
                </c:pt>
                <c:pt idx="182">
                  <c:v>-3.410000000000025</c:v>
                </c:pt>
                <c:pt idx="183">
                  <c:v>-9</c:v>
                </c:pt>
                <c:pt idx="184">
                  <c:v>0.60000000000002274</c:v>
                </c:pt>
                <c:pt idx="185">
                  <c:v>2.8300000000000125</c:v>
                </c:pt>
                <c:pt idx="186">
                  <c:v>0.37000000000000455</c:v>
                </c:pt>
                <c:pt idx="187">
                  <c:v>-1.5300000000000011</c:v>
                </c:pt>
                <c:pt idx="188">
                  <c:v>-4.3799999999999955</c:v>
                </c:pt>
                <c:pt idx="189">
                  <c:v>-1.25</c:v>
                </c:pt>
                <c:pt idx="190">
                  <c:v>-3.4699999999999989</c:v>
                </c:pt>
                <c:pt idx="191">
                  <c:v>-6.0000000000002274E-2</c:v>
                </c:pt>
                <c:pt idx="192">
                  <c:v>-1.2999999999999829</c:v>
                </c:pt>
                <c:pt idx="193">
                  <c:v>-2.3700000000000045</c:v>
                </c:pt>
                <c:pt idx="194">
                  <c:v>-2.0800000000000125</c:v>
                </c:pt>
                <c:pt idx="195">
                  <c:v>1.3899999999999864</c:v>
                </c:pt>
                <c:pt idx="196">
                  <c:v>-0.31000000000000227</c:v>
                </c:pt>
                <c:pt idx="197">
                  <c:v>1.3300000000000125</c:v>
                </c:pt>
                <c:pt idx="198">
                  <c:v>-2.3799999999999955</c:v>
                </c:pt>
                <c:pt idx="199">
                  <c:v>-1.9699999999999989</c:v>
                </c:pt>
                <c:pt idx="200">
                  <c:v>-4.8499999999999943</c:v>
                </c:pt>
                <c:pt idx="201">
                  <c:v>-7.4200000000000159</c:v>
                </c:pt>
                <c:pt idx="202">
                  <c:v>-9.6200000000000045</c:v>
                </c:pt>
                <c:pt idx="203">
                  <c:v>-7.9800000000000182</c:v>
                </c:pt>
                <c:pt idx="204">
                  <c:v>-14.429999999999978</c:v>
                </c:pt>
                <c:pt idx="205">
                  <c:v>-13.560000000000002</c:v>
                </c:pt>
                <c:pt idx="206">
                  <c:v>-9.1799999999999784</c:v>
                </c:pt>
                <c:pt idx="207">
                  <c:v>0.93999999999999773</c:v>
                </c:pt>
                <c:pt idx="208">
                  <c:v>-0.41999999999998749</c:v>
                </c:pt>
                <c:pt idx="209">
                  <c:v>-8.3600000000000136</c:v>
                </c:pt>
                <c:pt idx="210">
                  <c:v>-3.4099999999999966</c:v>
                </c:pt>
                <c:pt idx="211">
                  <c:v>-1.3100000000000023</c:v>
                </c:pt>
                <c:pt idx="212">
                  <c:v>1.9399999999999977</c:v>
                </c:pt>
                <c:pt idx="213">
                  <c:v>2.1199999999999761</c:v>
                </c:pt>
                <c:pt idx="214">
                  <c:v>9.3499999999999943</c:v>
                </c:pt>
                <c:pt idx="215">
                  <c:v>9.9300000000000068</c:v>
                </c:pt>
                <c:pt idx="216">
                  <c:v>4.2199999999999989</c:v>
                </c:pt>
                <c:pt idx="217">
                  <c:v>-0.18000000000000682</c:v>
                </c:pt>
                <c:pt idx="218">
                  <c:v>9.0000000000003411E-2</c:v>
                </c:pt>
                <c:pt idx="219">
                  <c:v>2.8100000000000023</c:v>
                </c:pt>
                <c:pt idx="220">
                  <c:v>3.7700000000000102</c:v>
                </c:pt>
                <c:pt idx="221">
                  <c:v>-0.62000000000000455</c:v>
                </c:pt>
                <c:pt idx="222">
                  <c:v>-1.1799999999999784</c:v>
                </c:pt>
                <c:pt idx="223">
                  <c:v>-8.2900000000000205</c:v>
                </c:pt>
                <c:pt idx="224">
                  <c:v>-1.7800000000000011</c:v>
                </c:pt>
                <c:pt idx="225">
                  <c:v>7.4299999999999784</c:v>
                </c:pt>
                <c:pt idx="226">
                  <c:v>10.710000000000008</c:v>
                </c:pt>
                <c:pt idx="227">
                  <c:v>4.4300000000000068</c:v>
                </c:pt>
                <c:pt idx="228">
                  <c:v>-12.699999999999989</c:v>
                </c:pt>
                <c:pt idx="229">
                  <c:v>-14.799999999999983</c:v>
                </c:pt>
                <c:pt idx="230">
                  <c:v>-7.5100000000000193</c:v>
                </c:pt>
                <c:pt idx="231">
                  <c:v>-0.90000000000000568</c:v>
                </c:pt>
                <c:pt idx="232">
                  <c:v>4.8999999999999773</c:v>
                </c:pt>
                <c:pt idx="233">
                  <c:v>-0.70999999999997954</c:v>
                </c:pt>
                <c:pt idx="234">
                  <c:v>-3.5900000000000034</c:v>
                </c:pt>
                <c:pt idx="235">
                  <c:v>-7.5499999999999829</c:v>
                </c:pt>
                <c:pt idx="236">
                  <c:v>-1.1400000000000148</c:v>
                </c:pt>
                <c:pt idx="237">
                  <c:v>7.0500000000000114</c:v>
                </c:pt>
                <c:pt idx="238">
                  <c:v>5.1399999999999864</c:v>
                </c:pt>
                <c:pt idx="239">
                  <c:v>0.99000000000000909</c:v>
                </c:pt>
                <c:pt idx="240">
                  <c:v>-0.80000000000001137</c:v>
                </c:pt>
                <c:pt idx="241">
                  <c:v>3.2400000000000091</c:v>
                </c:pt>
                <c:pt idx="242">
                  <c:v>2.1500000000000057</c:v>
                </c:pt>
                <c:pt idx="243">
                  <c:v>1.25</c:v>
                </c:pt>
                <c:pt idx="244">
                  <c:v>-2.3700000000000045</c:v>
                </c:pt>
                <c:pt idx="245">
                  <c:v>-4.5100000000000193</c:v>
                </c:pt>
                <c:pt idx="246">
                  <c:v>-13.219999999999999</c:v>
                </c:pt>
                <c:pt idx="247">
                  <c:v>-11.949999999999989</c:v>
                </c:pt>
                <c:pt idx="248">
                  <c:v>-10.310000000000002</c:v>
                </c:pt>
                <c:pt idx="249">
                  <c:v>-0.22999999999998977</c:v>
                </c:pt>
                <c:pt idx="250">
                  <c:v>5.1899999999999977</c:v>
                </c:pt>
                <c:pt idx="251">
                  <c:v>7.5200000000000102</c:v>
                </c:pt>
                <c:pt idx="252">
                  <c:v>-0.5</c:v>
                </c:pt>
                <c:pt idx="253">
                  <c:v>-7.8600000000000136</c:v>
                </c:pt>
                <c:pt idx="254">
                  <c:v>-6.3799999999999955</c:v>
                </c:pt>
                <c:pt idx="255">
                  <c:v>-8.6100000000000136</c:v>
                </c:pt>
                <c:pt idx="256">
                  <c:v>-1.5799999999999841</c:v>
                </c:pt>
                <c:pt idx="257">
                  <c:v>-4.6299999999999955</c:v>
                </c:pt>
                <c:pt idx="258">
                  <c:v>7.210000000000008</c:v>
                </c:pt>
                <c:pt idx="259">
                  <c:v>1.25</c:v>
                </c:pt>
                <c:pt idx="260">
                  <c:v>0.59000000000000341</c:v>
                </c:pt>
                <c:pt idx="261">
                  <c:v>2.5099999999999909</c:v>
                </c:pt>
                <c:pt idx="262">
                  <c:v>8.1199999999999761</c:v>
                </c:pt>
                <c:pt idx="263">
                  <c:v>12.129999999999995</c:v>
                </c:pt>
                <c:pt idx="264">
                  <c:v>4.9500000000000171</c:v>
                </c:pt>
                <c:pt idx="265">
                  <c:v>-3.5699999999999932</c:v>
                </c:pt>
                <c:pt idx="266">
                  <c:v>-7.25</c:v>
                </c:pt>
                <c:pt idx="267">
                  <c:v>-14.240000000000009</c:v>
                </c:pt>
                <c:pt idx="268">
                  <c:v>-8.0999999999999943</c:v>
                </c:pt>
                <c:pt idx="269">
                  <c:v>-2.5999999999999943</c:v>
                </c:pt>
                <c:pt idx="270">
                  <c:v>3.9699999999999989</c:v>
                </c:pt>
                <c:pt idx="271">
                  <c:v>11.680000000000007</c:v>
                </c:pt>
                <c:pt idx="272">
                  <c:v>5.4899999999999807</c:v>
                </c:pt>
                <c:pt idx="273">
                  <c:v>6.3300000000000125</c:v>
                </c:pt>
                <c:pt idx="274">
                  <c:v>-0.71999999999999886</c:v>
                </c:pt>
                <c:pt idx="275">
                  <c:v>5.8600000000000136</c:v>
                </c:pt>
                <c:pt idx="276">
                  <c:v>6.5099999999999909</c:v>
                </c:pt>
                <c:pt idx="277">
                  <c:v>5.1500000000000057</c:v>
                </c:pt>
                <c:pt idx="278">
                  <c:v>4.3400000000000034</c:v>
                </c:pt>
                <c:pt idx="279">
                  <c:v>4.039999999999992</c:v>
                </c:pt>
                <c:pt idx="280">
                  <c:v>11.20999999999998</c:v>
                </c:pt>
                <c:pt idx="281">
                  <c:v>5.2099999999999795</c:v>
                </c:pt>
                <c:pt idx="282">
                  <c:v>5.7199999999999989</c:v>
                </c:pt>
                <c:pt idx="283">
                  <c:v>4.5500000000000114</c:v>
                </c:pt>
                <c:pt idx="284">
                  <c:v>11.830000000000013</c:v>
                </c:pt>
                <c:pt idx="285">
                  <c:v>11.29000000000002</c:v>
                </c:pt>
                <c:pt idx="286">
                  <c:v>1.3400000000000034</c:v>
                </c:pt>
                <c:pt idx="287">
                  <c:v>-5.8400000000000034</c:v>
                </c:pt>
                <c:pt idx="288">
                  <c:v>-2.75</c:v>
                </c:pt>
                <c:pt idx="289">
                  <c:v>12.310000000000002</c:v>
                </c:pt>
                <c:pt idx="290">
                  <c:v>13.060000000000002</c:v>
                </c:pt>
                <c:pt idx="291">
                  <c:v>12.019999999999982</c:v>
                </c:pt>
                <c:pt idx="292">
                  <c:v>4.289999999999992</c:v>
                </c:pt>
                <c:pt idx="293">
                  <c:v>3.1200000000000045</c:v>
                </c:pt>
                <c:pt idx="294">
                  <c:v>0.71999999999999886</c:v>
                </c:pt>
                <c:pt idx="295">
                  <c:v>-1.6899999999999977</c:v>
                </c:pt>
                <c:pt idx="296">
                  <c:v>7.8799999999999955</c:v>
                </c:pt>
                <c:pt idx="297">
                  <c:v>5.8500000000000227</c:v>
                </c:pt>
                <c:pt idx="298">
                  <c:v>8.7700000000000102</c:v>
                </c:pt>
                <c:pt idx="299">
                  <c:v>6.0099999999999909</c:v>
                </c:pt>
                <c:pt idx="300">
                  <c:v>9.1499999999999773</c:v>
                </c:pt>
                <c:pt idx="301">
                  <c:v>10.559999999999974</c:v>
                </c:pt>
                <c:pt idx="302">
                  <c:v>10.850000000000023</c:v>
                </c:pt>
                <c:pt idx="303">
                  <c:v>9.7400000000000091</c:v>
                </c:pt>
                <c:pt idx="304">
                  <c:v>3.5900000000000034</c:v>
                </c:pt>
                <c:pt idx="305">
                  <c:v>-1.660000000000025</c:v>
                </c:pt>
                <c:pt idx="306">
                  <c:v>-3.8400000000000034</c:v>
                </c:pt>
                <c:pt idx="307">
                  <c:v>-0.57999999999998408</c:v>
                </c:pt>
                <c:pt idx="308">
                  <c:v>-3.7099999999999795</c:v>
                </c:pt>
                <c:pt idx="309">
                  <c:v>0.92000000000001592</c:v>
                </c:pt>
                <c:pt idx="310">
                  <c:v>-0.59999999999999432</c:v>
                </c:pt>
                <c:pt idx="311">
                  <c:v>8.5299999999999727</c:v>
                </c:pt>
                <c:pt idx="312">
                  <c:v>5.9300000000000068</c:v>
                </c:pt>
                <c:pt idx="313">
                  <c:v>10.749999999999972</c:v>
                </c:pt>
                <c:pt idx="314">
                  <c:v>11.430000000000007</c:v>
                </c:pt>
                <c:pt idx="315">
                  <c:v>11.75</c:v>
                </c:pt>
                <c:pt idx="316">
                  <c:v>18.520000000000039</c:v>
                </c:pt>
                <c:pt idx="317">
                  <c:v>11.78000000000003</c:v>
                </c:pt>
                <c:pt idx="318">
                  <c:v>10.529999999999973</c:v>
                </c:pt>
                <c:pt idx="319">
                  <c:v>-11.650000000000034</c:v>
                </c:pt>
                <c:pt idx="320">
                  <c:v>-8.75</c:v>
                </c:pt>
                <c:pt idx="321">
                  <c:v>-2.3700000000000045</c:v>
                </c:pt>
                <c:pt idx="322">
                  <c:v>4.5600000000000023</c:v>
                </c:pt>
                <c:pt idx="323">
                  <c:v>-16.240000000000009</c:v>
                </c:pt>
                <c:pt idx="324">
                  <c:v>-20.389999999999986</c:v>
                </c:pt>
                <c:pt idx="325">
                  <c:v>-27.28</c:v>
                </c:pt>
                <c:pt idx="326">
                  <c:v>-6</c:v>
                </c:pt>
                <c:pt idx="327">
                  <c:v>-6.9799999999999898</c:v>
                </c:pt>
                <c:pt idx="328">
                  <c:v>4.25</c:v>
                </c:pt>
                <c:pt idx="329">
                  <c:v>1.5799999999999841</c:v>
                </c:pt>
                <c:pt idx="330">
                  <c:v>1.1899999999999977</c:v>
                </c:pt>
                <c:pt idx="331">
                  <c:v>-1.8899999999999864</c:v>
                </c:pt>
                <c:pt idx="332">
                  <c:v>-4.6999999999999886</c:v>
                </c:pt>
                <c:pt idx="333">
                  <c:v>-6.3100000000000023</c:v>
                </c:pt>
                <c:pt idx="334">
                  <c:v>-4.9000000000000057</c:v>
                </c:pt>
                <c:pt idx="335">
                  <c:v>-0.70000000000001705</c:v>
                </c:pt>
                <c:pt idx="336">
                  <c:v>13.099999999999994</c:v>
                </c:pt>
                <c:pt idx="337">
                  <c:v>12.039999999999992</c:v>
                </c:pt>
                <c:pt idx="338">
                  <c:v>15.880000000000024</c:v>
                </c:pt>
                <c:pt idx="339">
                  <c:v>3.5</c:v>
                </c:pt>
                <c:pt idx="340">
                  <c:v>6.1900000000000261</c:v>
                </c:pt>
                <c:pt idx="341">
                  <c:v>-11.370000000000005</c:v>
                </c:pt>
                <c:pt idx="342">
                  <c:v>-6.4900000000000091</c:v>
                </c:pt>
                <c:pt idx="343">
                  <c:v>-7.1400000000000148</c:v>
                </c:pt>
                <c:pt idx="344">
                  <c:v>12.480000000000018</c:v>
                </c:pt>
                <c:pt idx="345">
                  <c:v>15.210000000000036</c:v>
                </c:pt>
                <c:pt idx="346">
                  <c:v>22.669999999999987</c:v>
                </c:pt>
                <c:pt idx="347">
                  <c:v>14.21999999999997</c:v>
                </c:pt>
                <c:pt idx="348">
                  <c:v>7.6999999999999886</c:v>
                </c:pt>
                <c:pt idx="349">
                  <c:v>0.85000000000002274</c:v>
                </c:pt>
                <c:pt idx="350">
                  <c:v>21.139999999999986</c:v>
                </c:pt>
                <c:pt idx="351">
                  <c:v>25.779999999999973</c:v>
                </c:pt>
                <c:pt idx="352">
                  <c:v>16.699999999999989</c:v>
                </c:pt>
                <c:pt idx="353">
                  <c:v>0.18000000000000682</c:v>
                </c:pt>
                <c:pt idx="354">
                  <c:v>-1.1599999999999682</c:v>
                </c:pt>
                <c:pt idx="355">
                  <c:v>17.389999999999986</c:v>
                </c:pt>
                <c:pt idx="356">
                  <c:v>10.009999999999991</c:v>
                </c:pt>
                <c:pt idx="357">
                  <c:v>-5.7000000000000455</c:v>
                </c:pt>
                <c:pt idx="358">
                  <c:v>-8.3899999999999864</c:v>
                </c:pt>
                <c:pt idx="359">
                  <c:v>-7.2699999999999818</c:v>
                </c:pt>
                <c:pt idx="360">
                  <c:v>3.410000000000025</c:v>
                </c:pt>
                <c:pt idx="361">
                  <c:v>1.5199999999999818</c:v>
                </c:pt>
                <c:pt idx="362">
                  <c:v>1.0699999999999932</c:v>
                </c:pt>
                <c:pt idx="363">
                  <c:v>5.3500000000000227</c:v>
                </c:pt>
                <c:pt idx="364">
                  <c:v>2.5099999999999909</c:v>
                </c:pt>
                <c:pt idx="365">
                  <c:v>11.28000000000003</c:v>
                </c:pt>
                <c:pt idx="366">
                  <c:v>4.5699999999999932</c:v>
                </c:pt>
                <c:pt idx="367">
                  <c:v>0.60000000000002274</c:v>
                </c:pt>
                <c:pt idx="368">
                  <c:v>0.27999999999997272</c:v>
                </c:pt>
                <c:pt idx="369">
                  <c:v>12.659999999999968</c:v>
                </c:pt>
                <c:pt idx="370">
                  <c:v>10.259999999999991</c:v>
                </c:pt>
                <c:pt idx="371">
                  <c:v>-3.0500000000000114</c:v>
                </c:pt>
                <c:pt idx="372">
                  <c:v>-27.370000000000005</c:v>
                </c:pt>
                <c:pt idx="373">
                  <c:v>-10.539999999999964</c:v>
                </c:pt>
                <c:pt idx="374">
                  <c:v>-3.8299999999999841</c:v>
                </c:pt>
                <c:pt idx="375">
                  <c:v>25.800000000000011</c:v>
                </c:pt>
                <c:pt idx="376">
                  <c:v>16.870000000000005</c:v>
                </c:pt>
                <c:pt idx="377">
                  <c:v>15.910000000000025</c:v>
                </c:pt>
                <c:pt idx="378">
                  <c:v>3.5500000000000114</c:v>
                </c:pt>
                <c:pt idx="379">
                  <c:v>-9.3400000000000318</c:v>
                </c:pt>
                <c:pt idx="380">
                  <c:v>-6.0900000000000318</c:v>
                </c:pt>
                <c:pt idx="381">
                  <c:v>-18.699999999999989</c:v>
                </c:pt>
                <c:pt idx="382">
                  <c:v>-2.8199999999999932</c:v>
                </c:pt>
                <c:pt idx="383">
                  <c:v>-6.1800000000000068</c:v>
                </c:pt>
                <c:pt idx="384">
                  <c:v>4.2400000000000091</c:v>
                </c:pt>
                <c:pt idx="385">
                  <c:v>-9.1999999999999886</c:v>
                </c:pt>
                <c:pt idx="386">
                  <c:v>-0.6099999999999568</c:v>
                </c:pt>
                <c:pt idx="387">
                  <c:v>6.4799999999999613</c:v>
                </c:pt>
                <c:pt idx="388">
                  <c:v>21.279999999999973</c:v>
                </c:pt>
                <c:pt idx="389">
                  <c:v>24.879999999999995</c:v>
                </c:pt>
                <c:pt idx="390">
                  <c:v>24.180000000000007</c:v>
                </c:pt>
                <c:pt idx="391">
                  <c:v>15.230000000000018</c:v>
                </c:pt>
                <c:pt idx="392">
                  <c:v>4.75</c:v>
                </c:pt>
                <c:pt idx="393">
                  <c:v>6.3100000000000023</c:v>
                </c:pt>
                <c:pt idx="394">
                  <c:v>12.480000000000018</c:v>
                </c:pt>
                <c:pt idx="395">
                  <c:v>19.799999999999955</c:v>
                </c:pt>
                <c:pt idx="396">
                  <c:v>22.680000000000007</c:v>
                </c:pt>
                <c:pt idx="397">
                  <c:v>4.4699999999999704</c:v>
                </c:pt>
                <c:pt idx="398">
                  <c:v>-0.63999999999998636</c:v>
                </c:pt>
                <c:pt idx="399">
                  <c:v>5.9499999999999886</c:v>
                </c:pt>
                <c:pt idx="400">
                  <c:v>23.340000000000032</c:v>
                </c:pt>
                <c:pt idx="401">
                  <c:v>16.329999999999984</c:v>
                </c:pt>
                <c:pt idx="402">
                  <c:v>-4.5500000000000114</c:v>
                </c:pt>
                <c:pt idx="403">
                  <c:v>-10.860000000000014</c:v>
                </c:pt>
                <c:pt idx="404">
                  <c:v>-3.0999999999999659</c:v>
                </c:pt>
                <c:pt idx="405">
                  <c:v>5</c:v>
                </c:pt>
                <c:pt idx="406">
                  <c:v>12.810000000000002</c:v>
                </c:pt>
                <c:pt idx="407">
                  <c:v>11.20999999999998</c:v>
                </c:pt>
                <c:pt idx="408">
                  <c:v>1.0900000000000318</c:v>
                </c:pt>
                <c:pt idx="409">
                  <c:v>-20.240000000000009</c:v>
                </c:pt>
                <c:pt idx="410">
                  <c:v>-12.20999999999998</c:v>
                </c:pt>
                <c:pt idx="411">
                  <c:v>-16.740000000000009</c:v>
                </c:pt>
                <c:pt idx="412">
                  <c:v>-0.75999999999999091</c:v>
                </c:pt>
                <c:pt idx="413">
                  <c:v>-18.620000000000005</c:v>
                </c:pt>
                <c:pt idx="414">
                  <c:v>-33.660000000000025</c:v>
                </c:pt>
                <c:pt idx="415">
                  <c:v>-52.78000000000003</c:v>
                </c:pt>
                <c:pt idx="416">
                  <c:v>-39.399999999999977</c:v>
                </c:pt>
                <c:pt idx="417">
                  <c:v>-11.039999999999964</c:v>
                </c:pt>
                <c:pt idx="418">
                  <c:v>18.390000000000043</c:v>
                </c:pt>
                <c:pt idx="419">
                  <c:v>16.299999999999955</c:v>
                </c:pt>
                <c:pt idx="420">
                  <c:v>7.3600000000000136</c:v>
                </c:pt>
                <c:pt idx="421">
                  <c:v>0.55999999999994543</c:v>
                </c:pt>
                <c:pt idx="422">
                  <c:v>-9.9499999999999886</c:v>
                </c:pt>
                <c:pt idx="423">
                  <c:v>4.8299999999999841</c:v>
                </c:pt>
                <c:pt idx="424">
                  <c:v>-2.5199999999999818</c:v>
                </c:pt>
                <c:pt idx="425">
                  <c:v>10.350000000000023</c:v>
                </c:pt>
                <c:pt idx="426">
                  <c:v>0.15999999999996817</c:v>
                </c:pt>
                <c:pt idx="427">
                  <c:v>17.259999999999991</c:v>
                </c:pt>
                <c:pt idx="428">
                  <c:v>9.6800000000000068</c:v>
                </c:pt>
                <c:pt idx="429">
                  <c:v>15.450000000000045</c:v>
                </c:pt>
                <c:pt idx="430">
                  <c:v>-8.0600000000000023</c:v>
                </c:pt>
                <c:pt idx="431">
                  <c:v>-4.5300000000000296</c:v>
                </c:pt>
                <c:pt idx="432">
                  <c:v>-20.379999999999995</c:v>
                </c:pt>
                <c:pt idx="433">
                  <c:v>-14.889999999999986</c:v>
                </c:pt>
                <c:pt idx="434">
                  <c:v>-9.1800000000000068</c:v>
                </c:pt>
                <c:pt idx="435">
                  <c:v>23.619999999999948</c:v>
                </c:pt>
                <c:pt idx="436">
                  <c:v>37.340000000000032</c:v>
                </c:pt>
                <c:pt idx="437">
                  <c:v>29.28000000000003</c:v>
                </c:pt>
                <c:pt idx="438">
                  <c:v>18.130000000000052</c:v>
                </c:pt>
                <c:pt idx="439">
                  <c:v>6.6199999999999477</c:v>
                </c:pt>
                <c:pt idx="440">
                  <c:v>0.22999999999996135</c:v>
                </c:pt>
                <c:pt idx="441">
                  <c:v>-7.3500000000000227</c:v>
                </c:pt>
                <c:pt idx="442">
                  <c:v>0.27000000000003865</c:v>
                </c:pt>
                <c:pt idx="443">
                  <c:v>6.9300000000000068</c:v>
                </c:pt>
                <c:pt idx="444">
                  <c:v>5.0400000000000205</c:v>
                </c:pt>
                <c:pt idx="445">
                  <c:v>-11.879999999999995</c:v>
                </c:pt>
                <c:pt idx="446">
                  <c:v>-14.870000000000005</c:v>
                </c:pt>
                <c:pt idx="447">
                  <c:v>-25.050000000000011</c:v>
                </c:pt>
                <c:pt idx="448">
                  <c:v>-10.569999999999993</c:v>
                </c:pt>
                <c:pt idx="449">
                  <c:v>5.3100000000000023</c:v>
                </c:pt>
                <c:pt idx="450">
                  <c:v>15.069999999999993</c:v>
                </c:pt>
                <c:pt idx="451">
                  <c:v>6.6999999999999886</c:v>
                </c:pt>
                <c:pt idx="452">
                  <c:v>-7.1099999999999568</c:v>
                </c:pt>
                <c:pt idx="453">
                  <c:v>-5.5699999999999932</c:v>
                </c:pt>
                <c:pt idx="454">
                  <c:v>5.1299999999999955</c:v>
                </c:pt>
                <c:pt idx="455">
                  <c:v>10.239999999999952</c:v>
                </c:pt>
                <c:pt idx="456">
                  <c:v>8.0399999999999636</c:v>
                </c:pt>
                <c:pt idx="457">
                  <c:v>-3.5900000000000318</c:v>
                </c:pt>
                <c:pt idx="458">
                  <c:v>-11.370000000000005</c:v>
                </c:pt>
                <c:pt idx="459">
                  <c:v>-4.7899999999999636</c:v>
                </c:pt>
                <c:pt idx="460">
                  <c:v>-6.1899999999999977</c:v>
                </c:pt>
                <c:pt idx="461">
                  <c:v>19.160000000000025</c:v>
                </c:pt>
                <c:pt idx="462">
                  <c:v>12.139999999999986</c:v>
                </c:pt>
                <c:pt idx="463">
                  <c:v>22.830000000000041</c:v>
                </c:pt>
                <c:pt idx="464">
                  <c:v>13.949999999999989</c:v>
                </c:pt>
                <c:pt idx="465">
                  <c:v>17.060000000000002</c:v>
                </c:pt>
                <c:pt idx="466">
                  <c:v>18.769999999999982</c:v>
                </c:pt>
                <c:pt idx="467">
                  <c:v>-2.5399999999999636</c:v>
                </c:pt>
                <c:pt idx="468">
                  <c:v>-5.8999999999999773</c:v>
                </c:pt>
                <c:pt idx="469">
                  <c:v>-18.519999999999982</c:v>
                </c:pt>
                <c:pt idx="470">
                  <c:v>-24.010000000000048</c:v>
                </c:pt>
                <c:pt idx="471">
                  <c:v>-28.920000000000016</c:v>
                </c:pt>
                <c:pt idx="472">
                  <c:v>-21.230000000000018</c:v>
                </c:pt>
                <c:pt idx="473">
                  <c:v>-10.119999999999948</c:v>
                </c:pt>
                <c:pt idx="474">
                  <c:v>-5.3899999999999864</c:v>
                </c:pt>
                <c:pt idx="475">
                  <c:v>-4.1499999999999773</c:v>
                </c:pt>
                <c:pt idx="476">
                  <c:v>0.55999999999994543</c:v>
                </c:pt>
                <c:pt idx="477">
                  <c:v>8.5399999999999636</c:v>
                </c:pt>
                <c:pt idx="478">
                  <c:v>13.909999999999968</c:v>
                </c:pt>
                <c:pt idx="479">
                  <c:v>13.800000000000011</c:v>
                </c:pt>
                <c:pt idx="480">
                  <c:v>8.7400000000000091</c:v>
                </c:pt>
                <c:pt idx="481">
                  <c:v>-12.069999999999993</c:v>
                </c:pt>
                <c:pt idx="482">
                  <c:v>0.25999999999999091</c:v>
                </c:pt>
                <c:pt idx="483">
                  <c:v>-2.2799999999999727</c:v>
                </c:pt>
                <c:pt idx="484">
                  <c:v>12.740000000000009</c:v>
                </c:pt>
                <c:pt idx="485">
                  <c:v>-1.999999999998181E-2</c:v>
                </c:pt>
                <c:pt idx="486">
                  <c:v>-4</c:v>
                </c:pt>
                <c:pt idx="487">
                  <c:v>6.9999999999993179E-2</c:v>
                </c:pt>
                <c:pt idx="488">
                  <c:v>4.0799999999999841</c:v>
                </c:pt>
                <c:pt idx="489">
                  <c:v>1.2099999999999795</c:v>
                </c:pt>
                <c:pt idx="490">
                  <c:v>-10.649999999999977</c:v>
                </c:pt>
                <c:pt idx="491">
                  <c:v>-22.629999999999995</c:v>
                </c:pt>
                <c:pt idx="492">
                  <c:v>-14.470000000000027</c:v>
                </c:pt>
                <c:pt idx="493">
                  <c:v>-19.260000000000048</c:v>
                </c:pt>
                <c:pt idx="494">
                  <c:v>-10.849999999999966</c:v>
                </c:pt>
                <c:pt idx="495">
                  <c:v>-16.46999999999997</c:v>
                </c:pt>
                <c:pt idx="496">
                  <c:v>-5.7599999999999909</c:v>
                </c:pt>
                <c:pt idx="497">
                  <c:v>5.3599999999999568</c:v>
                </c:pt>
                <c:pt idx="498">
                  <c:v>0.20999999999997954</c:v>
                </c:pt>
                <c:pt idx="499">
                  <c:v>-20.819999999999993</c:v>
                </c:pt>
                <c:pt idx="500">
                  <c:v>-25.439999999999998</c:v>
                </c:pt>
                <c:pt idx="501">
                  <c:v>-18.300000000000011</c:v>
                </c:pt>
                <c:pt idx="502">
                  <c:v>6.7900000000000205</c:v>
                </c:pt>
                <c:pt idx="503">
                  <c:v>-1.6999999999999886</c:v>
                </c:pt>
                <c:pt idx="504">
                  <c:v>0.21000000000003638</c:v>
                </c:pt>
                <c:pt idx="505">
                  <c:v>-3.0600000000000023</c:v>
                </c:pt>
                <c:pt idx="506">
                  <c:v>11.009999999999991</c:v>
                </c:pt>
                <c:pt idx="507">
                  <c:v>5.7099999999999795</c:v>
                </c:pt>
                <c:pt idx="508">
                  <c:v>8.3100000000000023</c:v>
                </c:pt>
                <c:pt idx="509">
                  <c:v>-2.8999999999999773</c:v>
                </c:pt>
                <c:pt idx="510">
                  <c:v>6.3500000000000227</c:v>
                </c:pt>
                <c:pt idx="511">
                  <c:v>-2.5600000000000023</c:v>
                </c:pt>
                <c:pt idx="512">
                  <c:v>5.3100000000000023</c:v>
                </c:pt>
                <c:pt idx="513">
                  <c:v>-2.4499999999999886</c:v>
                </c:pt>
                <c:pt idx="514">
                  <c:v>6.8100000000000023</c:v>
                </c:pt>
                <c:pt idx="515">
                  <c:v>-1</c:v>
                </c:pt>
                <c:pt idx="516">
                  <c:v>4.9499999999999886</c:v>
                </c:pt>
                <c:pt idx="517">
                  <c:v>-8.0099999999999909</c:v>
                </c:pt>
                <c:pt idx="518">
                  <c:v>-7.9599999999999795</c:v>
                </c:pt>
                <c:pt idx="519">
                  <c:v>-11.020000000000039</c:v>
                </c:pt>
                <c:pt idx="520">
                  <c:v>-2.3400000000000318</c:v>
                </c:pt>
                <c:pt idx="521">
                  <c:v>-5.1500000000000341</c:v>
                </c:pt>
                <c:pt idx="522">
                  <c:v>6.7300000000000182</c:v>
                </c:pt>
                <c:pt idx="523">
                  <c:v>6.0400000000000205</c:v>
                </c:pt>
                <c:pt idx="524">
                  <c:v>11.430000000000007</c:v>
                </c:pt>
                <c:pt idx="525">
                  <c:v>15.650000000000034</c:v>
                </c:pt>
                <c:pt idx="526">
                  <c:v>29.789999999999964</c:v>
                </c:pt>
                <c:pt idx="527">
                  <c:v>23.899999999999977</c:v>
                </c:pt>
                <c:pt idx="528">
                  <c:v>8.9799999999999613</c:v>
                </c:pt>
                <c:pt idx="529">
                  <c:v>2.4200000000000159</c:v>
                </c:pt>
                <c:pt idx="530">
                  <c:v>-0.15999999999996817</c:v>
                </c:pt>
                <c:pt idx="531">
                  <c:v>-6.7899999999999636</c:v>
                </c:pt>
                <c:pt idx="532">
                  <c:v>-14.46999999999997</c:v>
                </c:pt>
                <c:pt idx="533">
                  <c:v>-7.2099999999999795</c:v>
                </c:pt>
                <c:pt idx="534">
                  <c:v>-5.9000000000000341</c:v>
                </c:pt>
                <c:pt idx="535">
                  <c:v>-11.689999999999998</c:v>
                </c:pt>
                <c:pt idx="536">
                  <c:v>-20.020000000000039</c:v>
                </c:pt>
                <c:pt idx="537">
                  <c:v>-9.839999999999975</c:v>
                </c:pt>
                <c:pt idx="538">
                  <c:v>-5.9399999999999977</c:v>
                </c:pt>
                <c:pt idx="539">
                  <c:v>8.8899999999999864</c:v>
                </c:pt>
                <c:pt idx="540">
                  <c:v>1.8899999999999864</c:v>
                </c:pt>
                <c:pt idx="541">
                  <c:v>3.2699999999999818</c:v>
                </c:pt>
                <c:pt idx="542">
                  <c:v>-3.9499999999999886</c:v>
                </c:pt>
                <c:pt idx="543">
                  <c:v>19.160000000000025</c:v>
                </c:pt>
                <c:pt idx="544">
                  <c:v>19.069999999999993</c:v>
                </c:pt>
                <c:pt idx="545">
                  <c:v>18.220000000000027</c:v>
                </c:pt>
                <c:pt idx="546">
                  <c:v>1.5399999999999636</c:v>
                </c:pt>
                <c:pt idx="547">
                  <c:v>2.5300000000000296</c:v>
                </c:pt>
                <c:pt idx="548">
                  <c:v>5.2599999999999909</c:v>
                </c:pt>
                <c:pt idx="549">
                  <c:v>9.2100000000000364</c:v>
                </c:pt>
                <c:pt idx="550">
                  <c:v>8.3499999999999659</c:v>
                </c:pt>
                <c:pt idx="551">
                  <c:v>9.9599999999999795</c:v>
                </c:pt>
                <c:pt idx="552">
                  <c:v>4.3999999999999773</c:v>
                </c:pt>
                <c:pt idx="553">
                  <c:v>8.2200000000000273</c:v>
                </c:pt>
                <c:pt idx="554">
                  <c:v>-4.1299999999999955</c:v>
                </c:pt>
                <c:pt idx="555">
                  <c:v>-13.920000000000016</c:v>
                </c:pt>
                <c:pt idx="556">
                  <c:v>-9.9399999999999977</c:v>
                </c:pt>
                <c:pt idx="557">
                  <c:v>3.6399999999999864</c:v>
                </c:pt>
                <c:pt idx="558">
                  <c:v>8.1800000000000068</c:v>
                </c:pt>
                <c:pt idx="559">
                  <c:v>11.45999999999998</c:v>
                </c:pt>
                <c:pt idx="560">
                  <c:v>-0.27999999999997272</c:v>
                </c:pt>
                <c:pt idx="561">
                  <c:v>-2.0699999999999932</c:v>
                </c:pt>
                <c:pt idx="562">
                  <c:v>-21.180000000000007</c:v>
                </c:pt>
                <c:pt idx="563">
                  <c:v>-15.279999999999973</c:v>
                </c:pt>
                <c:pt idx="564">
                  <c:v>1.25</c:v>
                </c:pt>
                <c:pt idx="565">
                  <c:v>-17.899999999999977</c:v>
                </c:pt>
                <c:pt idx="566">
                  <c:v>-23.550000000000011</c:v>
                </c:pt>
                <c:pt idx="567">
                  <c:v>-29.269999999999982</c:v>
                </c:pt>
                <c:pt idx="568">
                  <c:v>8.4300000000000068</c:v>
                </c:pt>
                <c:pt idx="569">
                  <c:v>11.889999999999986</c:v>
                </c:pt>
                <c:pt idx="570">
                  <c:v>18.33499999999998</c:v>
                </c:pt>
                <c:pt idx="571">
                  <c:v>11.829999999999984</c:v>
                </c:pt>
                <c:pt idx="572">
                  <c:v>12.45999999999998</c:v>
                </c:pt>
                <c:pt idx="573">
                  <c:v>-0.76499999999998636</c:v>
                </c:pt>
                <c:pt idx="574">
                  <c:v>10.680000000000007</c:v>
                </c:pt>
                <c:pt idx="575">
                  <c:v>17.28000000000003</c:v>
                </c:pt>
                <c:pt idx="576">
                  <c:v>24.120000000000005</c:v>
                </c:pt>
                <c:pt idx="577">
                  <c:v>4.8199999999999932</c:v>
                </c:pt>
                <c:pt idx="578">
                  <c:v>-8.9900000000000091</c:v>
                </c:pt>
                <c:pt idx="579">
                  <c:v>-26.490000000000009</c:v>
                </c:pt>
                <c:pt idx="580">
                  <c:v>-15.870000000000005</c:v>
                </c:pt>
                <c:pt idx="581">
                  <c:v>-9.7099999999999795</c:v>
                </c:pt>
                <c:pt idx="582">
                  <c:v>-2.7300000000000182</c:v>
                </c:pt>
                <c:pt idx="583">
                  <c:v>-2.8199999999999932</c:v>
                </c:pt>
                <c:pt idx="584">
                  <c:v>-4.25</c:v>
                </c:pt>
                <c:pt idx="585">
                  <c:v>-1.0299999999999727</c:v>
                </c:pt>
                <c:pt idx="586">
                  <c:v>13.20999999999998</c:v>
                </c:pt>
                <c:pt idx="587">
                  <c:v>12.739999999999952</c:v>
                </c:pt>
                <c:pt idx="588">
                  <c:v>-0.54000000000002046</c:v>
                </c:pt>
                <c:pt idx="589">
                  <c:v>-19.909999999999968</c:v>
                </c:pt>
                <c:pt idx="590">
                  <c:v>-20.489999999999952</c:v>
                </c:pt>
                <c:pt idx="591">
                  <c:v>-13.069999999999993</c:v>
                </c:pt>
                <c:pt idx="592">
                  <c:v>-15.050000000000011</c:v>
                </c:pt>
                <c:pt idx="593">
                  <c:v>-4.82000000000005</c:v>
                </c:pt>
                <c:pt idx="594">
                  <c:v>-4.4599999999999795</c:v>
                </c:pt>
                <c:pt idx="595">
                  <c:v>-9.0099999999999909</c:v>
                </c:pt>
                <c:pt idx="596">
                  <c:v>-12.349999999999966</c:v>
                </c:pt>
                <c:pt idx="597">
                  <c:v>-29.920000000000016</c:v>
                </c:pt>
                <c:pt idx="598">
                  <c:v>-43.760000000000048</c:v>
                </c:pt>
                <c:pt idx="599">
                  <c:v>-38.050000000000011</c:v>
                </c:pt>
                <c:pt idx="600">
                  <c:v>-26.700000000000017</c:v>
                </c:pt>
                <c:pt idx="601">
                  <c:v>9.75</c:v>
                </c:pt>
                <c:pt idx="602">
                  <c:v>20.810000000000002</c:v>
                </c:pt>
                <c:pt idx="603">
                  <c:v>53.240000000000038</c:v>
                </c:pt>
                <c:pt idx="604">
                  <c:v>31.770000000000039</c:v>
                </c:pt>
                <c:pt idx="605">
                  <c:v>2.7200000000000273</c:v>
                </c:pt>
                <c:pt idx="606">
                  <c:v>-1.0200000000000387</c:v>
                </c:pt>
                <c:pt idx="607">
                  <c:v>1.6299999999999955</c:v>
                </c:pt>
                <c:pt idx="608">
                  <c:v>4.4199999999999591</c:v>
                </c:pt>
                <c:pt idx="609">
                  <c:v>-4.3600000000000136</c:v>
                </c:pt>
                <c:pt idx="610">
                  <c:v>-9.7200000000000273</c:v>
                </c:pt>
                <c:pt idx="611">
                  <c:v>-6.3899999999999864</c:v>
                </c:pt>
                <c:pt idx="612">
                  <c:v>-6.9899999999999523</c:v>
                </c:pt>
                <c:pt idx="613">
                  <c:v>8.8700000000000045</c:v>
                </c:pt>
                <c:pt idx="614">
                  <c:v>2.5500000000000114</c:v>
                </c:pt>
                <c:pt idx="615">
                  <c:v>-9.9800000000000182</c:v>
                </c:pt>
                <c:pt idx="616">
                  <c:v>-16.620000000000005</c:v>
                </c:pt>
                <c:pt idx="617">
                  <c:v>-9.5500000000000114</c:v>
                </c:pt>
                <c:pt idx="618">
                  <c:v>2.1100000000000136</c:v>
                </c:pt>
                <c:pt idx="619">
                  <c:v>10.615000000000009</c:v>
                </c:pt>
                <c:pt idx="620">
                  <c:v>13.20999999999998</c:v>
                </c:pt>
                <c:pt idx="621">
                  <c:v>14.439999999999998</c:v>
                </c:pt>
                <c:pt idx="622">
                  <c:v>7.0749999999999886</c:v>
                </c:pt>
                <c:pt idx="623">
                  <c:v>-9.4499999999999886</c:v>
                </c:pt>
                <c:pt idx="624">
                  <c:v>-5.8300000000000409</c:v>
                </c:pt>
                <c:pt idx="625">
                  <c:v>1.6200000000000045</c:v>
                </c:pt>
                <c:pt idx="626">
                  <c:v>17.520000000000039</c:v>
                </c:pt>
                <c:pt idx="627">
                  <c:v>12.760000000000048</c:v>
                </c:pt>
                <c:pt idx="628">
                  <c:v>2.25</c:v>
                </c:pt>
                <c:pt idx="629">
                  <c:v>-0.91000000000002501</c:v>
                </c:pt>
                <c:pt idx="630">
                  <c:v>-14.879999999999995</c:v>
                </c:pt>
                <c:pt idx="631">
                  <c:v>-20.839999999999975</c:v>
                </c:pt>
                <c:pt idx="632">
                  <c:v>-14.579999999999984</c:v>
                </c:pt>
                <c:pt idx="633">
                  <c:v>-7.4300000000000068</c:v>
                </c:pt>
                <c:pt idx="634">
                  <c:v>-7.3600000000000136</c:v>
                </c:pt>
                <c:pt idx="635">
                  <c:v>-1.9900000000000091</c:v>
                </c:pt>
                <c:pt idx="636">
                  <c:v>-9.5300000000000296</c:v>
                </c:pt>
                <c:pt idx="637">
                  <c:v>2.25</c:v>
                </c:pt>
                <c:pt idx="638">
                  <c:v>-6.6399999999999864</c:v>
                </c:pt>
                <c:pt idx="639">
                  <c:v>3.8400000000000318</c:v>
                </c:pt>
                <c:pt idx="640">
                  <c:v>4.6899999999999977</c:v>
                </c:pt>
                <c:pt idx="641">
                  <c:v>13.870000000000005</c:v>
                </c:pt>
                <c:pt idx="642">
                  <c:v>5.8799999999999955</c:v>
                </c:pt>
                <c:pt idx="643">
                  <c:v>8.0600000000000023</c:v>
                </c:pt>
                <c:pt idx="644">
                  <c:v>5.0199999999999818</c:v>
                </c:pt>
                <c:pt idx="645">
                  <c:v>6.3999999999999773</c:v>
                </c:pt>
                <c:pt idx="646">
                  <c:v>27.680000000000007</c:v>
                </c:pt>
                <c:pt idx="647">
                  <c:v>19.349999999999966</c:v>
                </c:pt>
                <c:pt idx="648">
                  <c:v>26.53000000000003</c:v>
                </c:pt>
                <c:pt idx="649">
                  <c:v>12.600000000000023</c:v>
                </c:pt>
                <c:pt idx="650">
                  <c:v>26.680000000000007</c:v>
                </c:pt>
                <c:pt idx="651">
                  <c:v>27.119999999999948</c:v>
                </c:pt>
                <c:pt idx="652">
                  <c:v>25.620000000000005</c:v>
                </c:pt>
                <c:pt idx="653">
                  <c:v>15.400000000000034</c:v>
                </c:pt>
                <c:pt idx="654">
                  <c:v>26.050000000000011</c:v>
                </c:pt>
                <c:pt idx="655">
                  <c:v>-5.1700000000000159</c:v>
                </c:pt>
                <c:pt idx="656">
                  <c:v>4.0500000000000114</c:v>
                </c:pt>
                <c:pt idx="657">
                  <c:v>-23.319999999999993</c:v>
                </c:pt>
                <c:pt idx="658">
                  <c:v>-18.920000000000016</c:v>
                </c:pt>
                <c:pt idx="659">
                  <c:v>-29.210000000000036</c:v>
                </c:pt>
                <c:pt idx="660">
                  <c:v>-5.5099999999999909</c:v>
                </c:pt>
                <c:pt idx="661">
                  <c:v>10.870000000000005</c:v>
                </c:pt>
                <c:pt idx="662">
                  <c:v>16.920000000000016</c:v>
                </c:pt>
                <c:pt idx="663">
                  <c:v>0.94999999999998863</c:v>
                </c:pt>
                <c:pt idx="664">
                  <c:v>-9.4300000000000068</c:v>
                </c:pt>
                <c:pt idx="665">
                  <c:v>-39.069999999999993</c:v>
                </c:pt>
                <c:pt idx="666">
                  <c:v>-33.789999999999964</c:v>
                </c:pt>
                <c:pt idx="667">
                  <c:v>-26.170000000000016</c:v>
                </c:pt>
                <c:pt idx="668">
                  <c:v>7.6499999999999773</c:v>
                </c:pt>
                <c:pt idx="669">
                  <c:v>13.310000000000002</c:v>
                </c:pt>
                <c:pt idx="670">
                  <c:v>10.060000000000002</c:v>
                </c:pt>
                <c:pt idx="671">
                  <c:v>-1.8000000000000114</c:v>
                </c:pt>
                <c:pt idx="672">
                  <c:v>-3.6000000000000227</c:v>
                </c:pt>
                <c:pt idx="673">
                  <c:v>-8.8599999999999568</c:v>
                </c:pt>
                <c:pt idx="674">
                  <c:v>5.9800000000000182</c:v>
                </c:pt>
                <c:pt idx="675">
                  <c:v>4.9800000000000182</c:v>
                </c:pt>
                <c:pt idx="676">
                  <c:v>10.129999999999995</c:v>
                </c:pt>
                <c:pt idx="677">
                  <c:v>-9.1100000000000136</c:v>
                </c:pt>
                <c:pt idx="678">
                  <c:v>-20.650000000000034</c:v>
                </c:pt>
                <c:pt idx="679">
                  <c:v>-22.800000000000011</c:v>
                </c:pt>
                <c:pt idx="680">
                  <c:v>-4.839999999999975</c:v>
                </c:pt>
                <c:pt idx="681">
                  <c:v>3.4499999999999886</c:v>
                </c:pt>
                <c:pt idx="682">
                  <c:v>-0.25</c:v>
                </c:pt>
                <c:pt idx="683">
                  <c:v>-18.569999999999993</c:v>
                </c:pt>
                <c:pt idx="684">
                  <c:v>-8.5099999999999909</c:v>
                </c:pt>
                <c:pt idx="685">
                  <c:v>3.6599999999999682</c:v>
                </c:pt>
                <c:pt idx="686">
                  <c:v>59.370000000000005</c:v>
                </c:pt>
                <c:pt idx="687">
                  <c:v>50.03000000000003</c:v>
                </c:pt>
                <c:pt idx="688">
                  <c:v>41.150000000000034</c:v>
                </c:pt>
                <c:pt idx="689">
                  <c:v>30.029999999999973</c:v>
                </c:pt>
                <c:pt idx="690">
                  <c:v>22.169999999999959</c:v>
                </c:pt>
                <c:pt idx="691">
                  <c:v>10.45999999999998</c:v>
                </c:pt>
                <c:pt idx="692">
                  <c:v>-24.079999999999984</c:v>
                </c:pt>
                <c:pt idx="693">
                  <c:v>-13.92999999999995</c:v>
                </c:pt>
                <c:pt idx="694">
                  <c:v>-4.8100000000000023</c:v>
                </c:pt>
                <c:pt idx="695">
                  <c:v>-16.800000000000011</c:v>
                </c:pt>
                <c:pt idx="696">
                  <c:v>-20.960000000000036</c:v>
                </c:pt>
                <c:pt idx="697">
                  <c:v>-42.139999999999986</c:v>
                </c:pt>
                <c:pt idx="698">
                  <c:v>-30.25</c:v>
                </c:pt>
                <c:pt idx="699">
                  <c:v>-13.550000000000011</c:v>
                </c:pt>
                <c:pt idx="700">
                  <c:v>16.139999999999986</c:v>
                </c:pt>
                <c:pt idx="701">
                  <c:v>11.660000000000025</c:v>
                </c:pt>
                <c:pt idx="702">
                  <c:v>0.92000000000001592</c:v>
                </c:pt>
                <c:pt idx="703">
                  <c:v>-2.3700000000000045</c:v>
                </c:pt>
                <c:pt idx="704">
                  <c:v>-8.2400000000000091</c:v>
                </c:pt>
                <c:pt idx="705">
                  <c:v>-17.810000000000002</c:v>
                </c:pt>
                <c:pt idx="706">
                  <c:v>-16.120000000000005</c:v>
                </c:pt>
                <c:pt idx="707">
                  <c:v>-10.199999999999989</c:v>
                </c:pt>
                <c:pt idx="708">
                  <c:v>-16.060000000000002</c:v>
                </c:pt>
                <c:pt idx="709">
                  <c:v>-22.409999999999968</c:v>
                </c:pt>
                <c:pt idx="710">
                  <c:v>-20.710000000000036</c:v>
                </c:pt>
                <c:pt idx="711">
                  <c:v>-25.70999999999998</c:v>
                </c:pt>
                <c:pt idx="712">
                  <c:v>4.7599999999999909</c:v>
                </c:pt>
                <c:pt idx="713">
                  <c:v>-1.5099999999999909</c:v>
                </c:pt>
                <c:pt idx="714">
                  <c:v>27.300000000000011</c:v>
                </c:pt>
                <c:pt idx="715">
                  <c:v>3.9599999999999795</c:v>
                </c:pt>
                <c:pt idx="716">
                  <c:v>15.759999999999991</c:v>
                </c:pt>
                <c:pt idx="717">
                  <c:v>4.2999999999999545</c:v>
                </c:pt>
                <c:pt idx="718">
                  <c:v>-4.5</c:v>
                </c:pt>
                <c:pt idx="719">
                  <c:v>3.8199999999999932</c:v>
                </c:pt>
                <c:pt idx="720">
                  <c:v>3.4900000000000091</c:v>
                </c:pt>
                <c:pt idx="721">
                  <c:v>14.140000000000043</c:v>
                </c:pt>
                <c:pt idx="722">
                  <c:v>0.66000000000002501</c:v>
                </c:pt>
                <c:pt idx="723">
                  <c:v>2.660000000000025</c:v>
                </c:pt>
                <c:pt idx="724">
                  <c:v>10.479999999999961</c:v>
                </c:pt>
                <c:pt idx="725">
                  <c:v>7.839999999999975</c:v>
                </c:pt>
                <c:pt idx="726">
                  <c:v>-36.220000000000027</c:v>
                </c:pt>
                <c:pt idx="727">
                  <c:v>1.1200000000000045</c:v>
                </c:pt>
                <c:pt idx="728">
                  <c:v>-6.5</c:v>
                </c:pt>
                <c:pt idx="729">
                  <c:v>30.03000000000003</c:v>
                </c:pt>
                <c:pt idx="730">
                  <c:v>-28.870000000000005</c:v>
                </c:pt>
                <c:pt idx="731">
                  <c:v>-39.069999999999993</c:v>
                </c:pt>
                <c:pt idx="732">
                  <c:v>-44.240000000000009</c:v>
                </c:pt>
                <c:pt idx="733">
                  <c:v>-19.029999999999973</c:v>
                </c:pt>
                <c:pt idx="734">
                  <c:v>-5.0699999999999932</c:v>
                </c:pt>
                <c:pt idx="735">
                  <c:v>1.6699999999999875</c:v>
                </c:pt>
                <c:pt idx="736">
                  <c:v>-4.0200000000000387</c:v>
                </c:pt>
                <c:pt idx="737">
                  <c:v>2.7099999999999795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2EF-426D-B9FC-1101F7003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921263"/>
        <c:axId val="312920015"/>
      </c:scatterChart>
      <c:scatterChart>
        <c:scatterStyle val="lineMarker"/>
        <c:varyColors val="0"/>
        <c:ser>
          <c:idx val="0"/>
          <c:order val="0"/>
          <c:tx>
            <c:v>Close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'tesla-stock-price (3)'!$A$4:$A$759</c:f>
              <c:numCache>
                <c:formatCode>General</c:formatCode>
                <c:ptCount val="756"/>
                <c:pt idx="0">
                  <c:v>42292</c:v>
                </c:pt>
                <c:pt idx="1">
                  <c:v>42293</c:v>
                </c:pt>
                <c:pt idx="2">
                  <c:v>42296</c:v>
                </c:pt>
                <c:pt idx="3">
                  <c:v>42297</c:v>
                </c:pt>
                <c:pt idx="4">
                  <c:v>42298</c:v>
                </c:pt>
                <c:pt idx="5">
                  <c:v>42299</c:v>
                </c:pt>
                <c:pt idx="6">
                  <c:v>42300</c:v>
                </c:pt>
                <c:pt idx="7">
                  <c:v>42303</c:v>
                </c:pt>
                <c:pt idx="8">
                  <c:v>42304</c:v>
                </c:pt>
                <c:pt idx="9">
                  <c:v>42305</c:v>
                </c:pt>
                <c:pt idx="10">
                  <c:v>42306</c:v>
                </c:pt>
                <c:pt idx="11">
                  <c:v>42307</c:v>
                </c:pt>
                <c:pt idx="12">
                  <c:v>42310</c:v>
                </c:pt>
                <c:pt idx="13">
                  <c:v>42311</c:v>
                </c:pt>
                <c:pt idx="14">
                  <c:v>42312</c:v>
                </c:pt>
                <c:pt idx="15">
                  <c:v>42313</c:v>
                </c:pt>
                <c:pt idx="16">
                  <c:v>42314</c:v>
                </c:pt>
                <c:pt idx="17">
                  <c:v>42317</c:v>
                </c:pt>
                <c:pt idx="18">
                  <c:v>42318</c:v>
                </c:pt>
                <c:pt idx="19">
                  <c:v>42319</c:v>
                </c:pt>
                <c:pt idx="20">
                  <c:v>42320</c:v>
                </c:pt>
                <c:pt idx="21">
                  <c:v>42321</c:v>
                </c:pt>
                <c:pt idx="22">
                  <c:v>42324</c:v>
                </c:pt>
                <c:pt idx="23">
                  <c:v>42325</c:v>
                </c:pt>
                <c:pt idx="24">
                  <c:v>42326</c:v>
                </c:pt>
                <c:pt idx="25">
                  <c:v>42327</c:v>
                </c:pt>
                <c:pt idx="26">
                  <c:v>42328</c:v>
                </c:pt>
                <c:pt idx="27">
                  <c:v>42331</c:v>
                </c:pt>
                <c:pt idx="28">
                  <c:v>42332</c:v>
                </c:pt>
                <c:pt idx="29">
                  <c:v>42333</c:v>
                </c:pt>
                <c:pt idx="30">
                  <c:v>42335</c:v>
                </c:pt>
                <c:pt idx="31">
                  <c:v>42338</c:v>
                </c:pt>
                <c:pt idx="32">
                  <c:v>42339</c:v>
                </c:pt>
                <c:pt idx="33">
                  <c:v>42340</c:v>
                </c:pt>
                <c:pt idx="34">
                  <c:v>42341</c:v>
                </c:pt>
                <c:pt idx="35">
                  <c:v>42342</c:v>
                </c:pt>
                <c:pt idx="36">
                  <c:v>42345</c:v>
                </c:pt>
                <c:pt idx="37">
                  <c:v>42346</c:v>
                </c:pt>
                <c:pt idx="38">
                  <c:v>42347</c:v>
                </c:pt>
                <c:pt idx="39">
                  <c:v>42348</c:v>
                </c:pt>
                <c:pt idx="40">
                  <c:v>42349</c:v>
                </c:pt>
                <c:pt idx="41">
                  <c:v>42352</c:v>
                </c:pt>
                <c:pt idx="42">
                  <c:v>42353</c:v>
                </c:pt>
                <c:pt idx="43">
                  <c:v>42354</c:v>
                </c:pt>
                <c:pt idx="44">
                  <c:v>42355</c:v>
                </c:pt>
                <c:pt idx="45">
                  <c:v>42356</c:v>
                </c:pt>
                <c:pt idx="46">
                  <c:v>42359</c:v>
                </c:pt>
                <c:pt idx="47">
                  <c:v>42360</c:v>
                </c:pt>
                <c:pt idx="48">
                  <c:v>42361</c:v>
                </c:pt>
                <c:pt idx="49">
                  <c:v>42362</c:v>
                </c:pt>
                <c:pt idx="50">
                  <c:v>42366</c:v>
                </c:pt>
                <c:pt idx="51">
                  <c:v>42367</c:v>
                </c:pt>
                <c:pt idx="52">
                  <c:v>42368</c:v>
                </c:pt>
                <c:pt idx="53">
                  <c:v>42369</c:v>
                </c:pt>
                <c:pt idx="54">
                  <c:v>42373</c:v>
                </c:pt>
                <c:pt idx="55">
                  <c:v>42374</c:v>
                </c:pt>
                <c:pt idx="56">
                  <c:v>42375</c:v>
                </c:pt>
                <c:pt idx="57">
                  <c:v>42376</c:v>
                </c:pt>
                <c:pt idx="58">
                  <c:v>42377</c:v>
                </c:pt>
                <c:pt idx="59">
                  <c:v>42380</c:v>
                </c:pt>
                <c:pt idx="60">
                  <c:v>42381</c:v>
                </c:pt>
                <c:pt idx="61">
                  <c:v>42382</c:v>
                </c:pt>
                <c:pt idx="62">
                  <c:v>42383</c:v>
                </c:pt>
                <c:pt idx="63">
                  <c:v>42384</c:v>
                </c:pt>
                <c:pt idx="64">
                  <c:v>42388</c:v>
                </c:pt>
                <c:pt idx="65">
                  <c:v>42389</c:v>
                </c:pt>
                <c:pt idx="66">
                  <c:v>42390</c:v>
                </c:pt>
                <c:pt idx="67">
                  <c:v>42391</c:v>
                </c:pt>
                <c:pt idx="68">
                  <c:v>42394</c:v>
                </c:pt>
                <c:pt idx="69">
                  <c:v>42395</c:v>
                </c:pt>
                <c:pt idx="70">
                  <c:v>42396</c:v>
                </c:pt>
                <c:pt idx="71">
                  <c:v>42397</c:v>
                </c:pt>
                <c:pt idx="72">
                  <c:v>42398</c:v>
                </c:pt>
                <c:pt idx="73">
                  <c:v>42401</c:v>
                </c:pt>
                <c:pt idx="74">
                  <c:v>42402</c:v>
                </c:pt>
                <c:pt idx="75">
                  <c:v>42403</c:v>
                </c:pt>
                <c:pt idx="76">
                  <c:v>42404</c:v>
                </c:pt>
                <c:pt idx="77">
                  <c:v>42405</c:v>
                </c:pt>
                <c:pt idx="78">
                  <c:v>42408</c:v>
                </c:pt>
                <c:pt idx="79">
                  <c:v>42409</c:v>
                </c:pt>
                <c:pt idx="80">
                  <c:v>42410</c:v>
                </c:pt>
                <c:pt idx="81">
                  <c:v>42411</c:v>
                </c:pt>
                <c:pt idx="82">
                  <c:v>42412</c:v>
                </c:pt>
                <c:pt idx="83">
                  <c:v>42416</c:v>
                </c:pt>
                <c:pt idx="84">
                  <c:v>42417</c:v>
                </c:pt>
                <c:pt idx="85">
                  <c:v>42418</c:v>
                </c:pt>
                <c:pt idx="86">
                  <c:v>42419</c:v>
                </c:pt>
                <c:pt idx="87">
                  <c:v>42422</c:v>
                </c:pt>
                <c:pt idx="88">
                  <c:v>42423</c:v>
                </c:pt>
                <c:pt idx="89">
                  <c:v>42424</c:v>
                </c:pt>
                <c:pt idx="90">
                  <c:v>42425</c:v>
                </c:pt>
                <c:pt idx="91">
                  <c:v>42426</c:v>
                </c:pt>
                <c:pt idx="92">
                  <c:v>42429</c:v>
                </c:pt>
                <c:pt idx="93">
                  <c:v>42430</c:v>
                </c:pt>
                <c:pt idx="94">
                  <c:v>42431</c:v>
                </c:pt>
                <c:pt idx="95">
                  <c:v>42432</c:v>
                </c:pt>
                <c:pt idx="96">
                  <c:v>42433</c:v>
                </c:pt>
                <c:pt idx="97">
                  <c:v>42436</c:v>
                </c:pt>
                <c:pt idx="98">
                  <c:v>42437</c:v>
                </c:pt>
                <c:pt idx="99">
                  <c:v>42438</c:v>
                </c:pt>
                <c:pt idx="100">
                  <c:v>42439</c:v>
                </c:pt>
                <c:pt idx="101">
                  <c:v>42440</c:v>
                </c:pt>
                <c:pt idx="102">
                  <c:v>42443</c:v>
                </c:pt>
                <c:pt idx="103">
                  <c:v>42444</c:v>
                </c:pt>
                <c:pt idx="104">
                  <c:v>42445</c:v>
                </c:pt>
                <c:pt idx="105">
                  <c:v>42446</c:v>
                </c:pt>
                <c:pt idx="106">
                  <c:v>42447</c:v>
                </c:pt>
                <c:pt idx="107">
                  <c:v>42450</c:v>
                </c:pt>
                <c:pt idx="108">
                  <c:v>42451</c:v>
                </c:pt>
                <c:pt idx="109">
                  <c:v>42452</c:v>
                </c:pt>
                <c:pt idx="110">
                  <c:v>42453</c:v>
                </c:pt>
                <c:pt idx="111">
                  <c:v>42457</c:v>
                </c:pt>
                <c:pt idx="112">
                  <c:v>42458</c:v>
                </c:pt>
                <c:pt idx="113">
                  <c:v>42459</c:v>
                </c:pt>
                <c:pt idx="114">
                  <c:v>42460</c:v>
                </c:pt>
                <c:pt idx="115">
                  <c:v>42461</c:v>
                </c:pt>
                <c:pt idx="116">
                  <c:v>42464</c:v>
                </c:pt>
                <c:pt idx="117">
                  <c:v>42465</c:v>
                </c:pt>
                <c:pt idx="118">
                  <c:v>42466</c:v>
                </c:pt>
                <c:pt idx="119">
                  <c:v>42467</c:v>
                </c:pt>
                <c:pt idx="120">
                  <c:v>42468</c:v>
                </c:pt>
                <c:pt idx="121">
                  <c:v>42471</c:v>
                </c:pt>
                <c:pt idx="122">
                  <c:v>42472</c:v>
                </c:pt>
                <c:pt idx="123">
                  <c:v>42473</c:v>
                </c:pt>
                <c:pt idx="124">
                  <c:v>42474</c:v>
                </c:pt>
                <c:pt idx="125">
                  <c:v>42475</c:v>
                </c:pt>
                <c:pt idx="126">
                  <c:v>42478</c:v>
                </c:pt>
                <c:pt idx="127">
                  <c:v>42479</c:v>
                </c:pt>
                <c:pt idx="128">
                  <c:v>42480</c:v>
                </c:pt>
                <c:pt idx="129">
                  <c:v>42481</c:v>
                </c:pt>
                <c:pt idx="130">
                  <c:v>42482</c:v>
                </c:pt>
                <c:pt idx="131">
                  <c:v>42485</c:v>
                </c:pt>
                <c:pt idx="132">
                  <c:v>42486</c:v>
                </c:pt>
                <c:pt idx="133">
                  <c:v>42487</c:v>
                </c:pt>
                <c:pt idx="134">
                  <c:v>42488</c:v>
                </c:pt>
                <c:pt idx="135">
                  <c:v>42489</c:v>
                </c:pt>
                <c:pt idx="136">
                  <c:v>42492</c:v>
                </c:pt>
                <c:pt idx="137">
                  <c:v>42493</c:v>
                </c:pt>
                <c:pt idx="138">
                  <c:v>42494</c:v>
                </c:pt>
                <c:pt idx="139">
                  <c:v>42495</c:v>
                </c:pt>
                <c:pt idx="140">
                  <c:v>42496</c:v>
                </c:pt>
                <c:pt idx="141">
                  <c:v>42499</c:v>
                </c:pt>
                <c:pt idx="142">
                  <c:v>42500</c:v>
                </c:pt>
                <c:pt idx="143">
                  <c:v>42501</c:v>
                </c:pt>
                <c:pt idx="144">
                  <c:v>42502</c:v>
                </c:pt>
                <c:pt idx="145">
                  <c:v>42503</c:v>
                </c:pt>
                <c:pt idx="146">
                  <c:v>42506</c:v>
                </c:pt>
                <c:pt idx="147">
                  <c:v>42507</c:v>
                </c:pt>
                <c:pt idx="148">
                  <c:v>42508</c:v>
                </c:pt>
                <c:pt idx="149">
                  <c:v>42509</c:v>
                </c:pt>
                <c:pt idx="150">
                  <c:v>42510</c:v>
                </c:pt>
                <c:pt idx="151">
                  <c:v>42513</c:v>
                </c:pt>
                <c:pt idx="152">
                  <c:v>42514</c:v>
                </c:pt>
                <c:pt idx="153">
                  <c:v>42515</c:v>
                </c:pt>
                <c:pt idx="154">
                  <c:v>42516</c:v>
                </c:pt>
                <c:pt idx="155">
                  <c:v>42517</c:v>
                </c:pt>
                <c:pt idx="156">
                  <c:v>42521</c:v>
                </c:pt>
                <c:pt idx="157">
                  <c:v>42522</c:v>
                </c:pt>
                <c:pt idx="158">
                  <c:v>42523</c:v>
                </c:pt>
                <c:pt idx="159">
                  <c:v>42524</c:v>
                </c:pt>
                <c:pt idx="160">
                  <c:v>42527</c:v>
                </c:pt>
                <c:pt idx="161">
                  <c:v>42528</c:v>
                </c:pt>
                <c:pt idx="162">
                  <c:v>42529</c:v>
                </c:pt>
                <c:pt idx="163">
                  <c:v>42530</c:v>
                </c:pt>
                <c:pt idx="164">
                  <c:v>42531</c:v>
                </c:pt>
                <c:pt idx="165">
                  <c:v>42534</c:v>
                </c:pt>
                <c:pt idx="166">
                  <c:v>42535</c:v>
                </c:pt>
                <c:pt idx="167">
                  <c:v>42536</c:v>
                </c:pt>
                <c:pt idx="168">
                  <c:v>42537</c:v>
                </c:pt>
                <c:pt idx="169">
                  <c:v>42538</c:v>
                </c:pt>
                <c:pt idx="170">
                  <c:v>42541</c:v>
                </c:pt>
                <c:pt idx="171">
                  <c:v>42542</c:v>
                </c:pt>
                <c:pt idx="172">
                  <c:v>42543</c:v>
                </c:pt>
                <c:pt idx="173">
                  <c:v>42544</c:v>
                </c:pt>
                <c:pt idx="174">
                  <c:v>42545</c:v>
                </c:pt>
                <c:pt idx="175">
                  <c:v>42548</c:v>
                </c:pt>
                <c:pt idx="176">
                  <c:v>42549</c:v>
                </c:pt>
                <c:pt idx="177">
                  <c:v>42550</c:v>
                </c:pt>
                <c:pt idx="178">
                  <c:v>42551</c:v>
                </c:pt>
                <c:pt idx="179">
                  <c:v>42552</c:v>
                </c:pt>
                <c:pt idx="180">
                  <c:v>42556</c:v>
                </c:pt>
                <c:pt idx="181">
                  <c:v>42557</c:v>
                </c:pt>
                <c:pt idx="182">
                  <c:v>42558</c:v>
                </c:pt>
                <c:pt idx="183">
                  <c:v>42559</c:v>
                </c:pt>
                <c:pt idx="184">
                  <c:v>42562</c:v>
                </c:pt>
                <c:pt idx="185">
                  <c:v>42563</c:v>
                </c:pt>
                <c:pt idx="186">
                  <c:v>42564</c:v>
                </c:pt>
                <c:pt idx="187">
                  <c:v>42565</c:v>
                </c:pt>
                <c:pt idx="188">
                  <c:v>42566</c:v>
                </c:pt>
                <c:pt idx="189">
                  <c:v>42569</c:v>
                </c:pt>
                <c:pt idx="190">
                  <c:v>42570</c:v>
                </c:pt>
                <c:pt idx="191">
                  <c:v>42571</c:v>
                </c:pt>
                <c:pt idx="192">
                  <c:v>42572</c:v>
                </c:pt>
                <c:pt idx="193">
                  <c:v>42573</c:v>
                </c:pt>
                <c:pt idx="194">
                  <c:v>42576</c:v>
                </c:pt>
                <c:pt idx="195">
                  <c:v>42577</c:v>
                </c:pt>
                <c:pt idx="196">
                  <c:v>42578</c:v>
                </c:pt>
                <c:pt idx="197">
                  <c:v>42579</c:v>
                </c:pt>
                <c:pt idx="198">
                  <c:v>42580</c:v>
                </c:pt>
                <c:pt idx="199">
                  <c:v>42583</c:v>
                </c:pt>
                <c:pt idx="200">
                  <c:v>42584</c:v>
                </c:pt>
                <c:pt idx="201">
                  <c:v>42585</c:v>
                </c:pt>
                <c:pt idx="202">
                  <c:v>42586</c:v>
                </c:pt>
                <c:pt idx="203">
                  <c:v>42587</c:v>
                </c:pt>
                <c:pt idx="204">
                  <c:v>42590</c:v>
                </c:pt>
                <c:pt idx="205">
                  <c:v>42591</c:v>
                </c:pt>
                <c:pt idx="206">
                  <c:v>42592</c:v>
                </c:pt>
                <c:pt idx="207">
                  <c:v>42593</c:v>
                </c:pt>
                <c:pt idx="208">
                  <c:v>42594</c:v>
                </c:pt>
                <c:pt idx="209">
                  <c:v>42597</c:v>
                </c:pt>
                <c:pt idx="210">
                  <c:v>42598</c:v>
                </c:pt>
                <c:pt idx="211">
                  <c:v>42599</c:v>
                </c:pt>
                <c:pt idx="212">
                  <c:v>42600</c:v>
                </c:pt>
                <c:pt idx="213">
                  <c:v>42601</c:v>
                </c:pt>
                <c:pt idx="214">
                  <c:v>42604</c:v>
                </c:pt>
                <c:pt idx="215">
                  <c:v>42605</c:v>
                </c:pt>
                <c:pt idx="216">
                  <c:v>42606</c:v>
                </c:pt>
                <c:pt idx="217">
                  <c:v>42607</c:v>
                </c:pt>
                <c:pt idx="218">
                  <c:v>42608</c:v>
                </c:pt>
                <c:pt idx="219">
                  <c:v>42611</c:v>
                </c:pt>
                <c:pt idx="220">
                  <c:v>42612</c:v>
                </c:pt>
                <c:pt idx="221">
                  <c:v>42613</c:v>
                </c:pt>
                <c:pt idx="222">
                  <c:v>42614</c:v>
                </c:pt>
                <c:pt idx="223">
                  <c:v>42615</c:v>
                </c:pt>
                <c:pt idx="224">
                  <c:v>42619</c:v>
                </c:pt>
                <c:pt idx="225">
                  <c:v>42620</c:v>
                </c:pt>
                <c:pt idx="226">
                  <c:v>42621</c:v>
                </c:pt>
                <c:pt idx="227">
                  <c:v>42622</c:v>
                </c:pt>
                <c:pt idx="228">
                  <c:v>42625</c:v>
                </c:pt>
                <c:pt idx="229">
                  <c:v>42626</c:v>
                </c:pt>
                <c:pt idx="230">
                  <c:v>42627</c:v>
                </c:pt>
                <c:pt idx="231">
                  <c:v>42628</c:v>
                </c:pt>
                <c:pt idx="232">
                  <c:v>42629</c:v>
                </c:pt>
                <c:pt idx="233">
                  <c:v>42632</c:v>
                </c:pt>
                <c:pt idx="234">
                  <c:v>42633</c:v>
                </c:pt>
                <c:pt idx="235">
                  <c:v>42634</c:v>
                </c:pt>
                <c:pt idx="236">
                  <c:v>42635</c:v>
                </c:pt>
                <c:pt idx="237">
                  <c:v>42636</c:v>
                </c:pt>
                <c:pt idx="238">
                  <c:v>42639</c:v>
                </c:pt>
                <c:pt idx="239">
                  <c:v>42640</c:v>
                </c:pt>
                <c:pt idx="240">
                  <c:v>42641</c:v>
                </c:pt>
                <c:pt idx="241">
                  <c:v>42642</c:v>
                </c:pt>
                <c:pt idx="242">
                  <c:v>42643</c:v>
                </c:pt>
                <c:pt idx="243">
                  <c:v>42646</c:v>
                </c:pt>
                <c:pt idx="244">
                  <c:v>42647</c:v>
                </c:pt>
                <c:pt idx="245">
                  <c:v>42648</c:v>
                </c:pt>
                <c:pt idx="246">
                  <c:v>42649</c:v>
                </c:pt>
                <c:pt idx="247">
                  <c:v>42650</c:v>
                </c:pt>
                <c:pt idx="248">
                  <c:v>42653</c:v>
                </c:pt>
                <c:pt idx="249">
                  <c:v>42654</c:v>
                </c:pt>
                <c:pt idx="250">
                  <c:v>42655</c:v>
                </c:pt>
                <c:pt idx="251">
                  <c:v>42656</c:v>
                </c:pt>
                <c:pt idx="252">
                  <c:v>42657</c:v>
                </c:pt>
                <c:pt idx="253">
                  <c:v>42660</c:v>
                </c:pt>
                <c:pt idx="254">
                  <c:v>42661</c:v>
                </c:pt>
                <c:pt idx="255">
                  <c:v>42662</c:v>
                </c:pt>
                <c:pt idx="256">
                  <c:v>42663</c:v>
                </c:pt>
                <c:pt idx="257">
                  <c:v>42664</c:v>
                </c:pt>
                <c:pt idx="258">
                  <c:v>42667</c:v>
                </c:pt>
                <c:pt idx="259">
                  <c:v>42668</c:v>
                </c:pt>
                <c:pt idx="260">
                  <c:v>42669</c:v>
                </c:pt>
                <c:pt idx="261">
                  <c:v>42670</c:v>
                </c:pt>
                <c:pt idx="262">
                  <c:v>42671</c:v>
                </c:pt>
                <c:pt idx="263">
                  <c:v>42674</c:v>
                </c:pt>
                <c:pt idx="264">
                  <c:v>42675</c:v>
                </c:pt>
                <c:pt idx="265">
                  <c:v>42676</c:v>
                </c:pt>
                <c:pt idx="266">
                  <c:v>42677</c:v>
                </c:pt>
                <c:pt idx="267">
                  <c:v>42678</c:v>
                </c:pt>
                <c:pt idx="268">
                  <c:v>42681</c:v>
                </c:pt>
                <c:pt idx="269">
                  <c:v>42682</c:v>
                </c:pt>
                <c:pt idx="270">
                  <c:v>42683</c:v>
                </c:pt>
                <c:pt idx="271">
                  <c:v>42684</c:v>
                </c:pt>
                <c:pt idx="272">
                  <c:v>42685</c:v>
                </c:pt>
                <c:pt idx="273">
                  <c:v>42688</c:v>
                </c:pt>
                <c:pt idx="274">
                  <c:v>42689</c:v>
                </c:pt>
                <c:pt idx="275">
                  <c:v>42690</c:v>
                </c:pt>
                <c:pt idx="276">
                  <c:v>42691</c:v>
                </c:pt>
                <c:pt idx="277">
                  <c:v>42692</c:v>
                </c:pt>
                <c:pt idx="278">
                  <c:v>42695</c:v>
                </c:pt>
                <c:pt idx="279">
                  <c:v>42696</c:v>
                </c:pt>
                <c:pt idx="280">
                  <c:v>42697</c:v>
                </c:pt>
                <c:pt idx="281">
                  <c:v>42699</c:v>
                </c:pt>
                <c:pt idx="282">
                  <c:v>42702</c:v>
                </c:pt>
                <c:pt idx="283">
                  <c:v>42703</c:v>
                </c:pt>
                <c:pt idx="284">
                  <c:v>42704</c:v>
                </c:pt>
                <c:pt idx="285">
                  <c:v>42705</c:v>
                </c:pt>
                <c:pt idx="286">
                  <c:v>42706</c:v>
                </c:pt>
                <c:pt idx="287">
                  <c:v>42709</c:v>
                </c:pt>
                <c:pt idx="288">
                  <c:v>42710</c:v>
                </c:pt>
                <c:pt idx="289">
                  <c:v>42711</c:v>
                </c:pt>
                <c:pt idx="290">
                  <c:v>42712</c:v>
                </c:pt>
                <c:pt idx="291">
                  <c:v>42713</c:v>
                </c:pt>
                <c:pt idx="292">
                  <c:v>42716</c:v>
                </c:pt>
                <c:pt idx="293">
                  <c:v>42717</c:v>
                </c:pt>
                <c:pt idx="294">
                  <c:v>42718</c:v>
                </c:pt>
                <c:pt idx="295">
                  <c:v>42719</c:v>
                </c:pt>
                <c:pt idx="296">
                  <c:v>42720</c:v>
                </c:pt>
                <c:pt idx="297">
                  <c:v>42723</c:v>
                </c:pt>
                <c:pt idx="298">
                  <c:v>42724</c:v>
                </c:pt>
                <c:pt idx="299">
                  <c:v>42725</c:v>
                </c:pt>
                <c:pt idx="300">
                  <c:v>42726</c:v>
                </c:pt>
                <c:pt idx="301">
                  <c:v>42727</c:v>
                </c:pt>
                <c:pt idx="302">
                  <c:v>42731</c:v>
                </c:pt>
                <c:pt idx="303">
                  <c:v>42732</c:v>
                </c:pt>
                <c:pt idx="304">
                  <c:v>42733</c:v>
                </c:pt>
                <c:pt idx="305">
                  <c:v>42734</c:v>
                </c:pt>
                <c:pt idx="306">
                  <c:v>42738</c:v>
                </c:pt>
                <c:pt idx="307">
                  <c:v>42739</c:v>
                </c:pt>
                <c:pt idx="308">
                  <c:v>42740</c:v>
                </c:pt>
                <c:pt idx="309">
                  <c:v>42741</c:v>
                </c:pt>
                <c:pt idx="310">
                  <c:v>42744</c:v>
                </c:pt>
                <c:pt idx="311">
                  <c:v>42745</c:v>
                </c:pt>
                <c:pt idx="312">
                  <c:v>42746</c:v>
                </c:pt>
                <c:pt idx="313">
                  <c:v>42747</c:v>
                </c:pt>
                <c:pt idx="314">
                  <c:v>42748</c:v>
                </c:pt>
                <c:pt idx="315">
                  <c:v>42752</c:v>
                </c:pt>
                <c:pt idx="316">
                  <c:v>42753</c:v>
                </c:pt>
                <c:pt idx="317">
                  <c:v>42754</c:v>
                </c:pt>
                <c:pt idx="318">
                  <c:v>42755</c:v>
                </c:pt>
                <c:pt idx="319">
                  <c:v>42758</c:v>
                </c:pt>
                <c:pt idx="320">
                  <c:v>42759</c:v>
                </c:pt>
                <c:pt idx="321">
                  <c:v>42760</c:v>
                </c:pt>
                <c:pt idx="322">
                  <c:v>42761</c:v>
                </c:pt>
                <c:pt idx="323">
                  <c:v>42762</c:v>
                </c:pt>
                <c:pt idx="324">
                  <c:v>42765</c:v>
                </c:pt>
                <c:pt idx="325">
                  <c:v>42766</c:v>
                </c:pt>
                <c:pt idx="326">
                  <c:v>42767</c:v>
                </c:pt>
                <c:pt idx="327">
                  <c:v>42768</c:v>
                </c:pt>
                <c:pt idx="328">
                  <c:v>42769</c:v>
                </c:pt>
                <c:pt idx="329">
                  <c:v>42772</c:v>
                </c:pt>
                <c:pt idx="330">
                  <c:v>42773</c:v>
                </c:pt>
                <c:pt idx="331">
                  <c:v>42774</c:v>
                </c:pt>
                <c:pt idx="332">
                  <c:v>42775</c:v>
                </c:pt>
                <c:pt idx="333">
                  <c:v>42776</c:v>
                </c:pt>
                <c:pt idx="334">
                  <c:v>42779</c:v>
                </c:pt>
                <c:pt idx="335">
                  <c:v>42780</c:v>
                </c:pt>
                <c:pt idx="336">
                  <c:v>42781</c:v>
                </c:pt>
                <c:pt idx="337">
                  <c:v>42782</c:v>
                </c:pt>
                <c:pt idx="338">
                  <c:v>42783</c:v>
                </c:pt>
                <c:pt idx="339">
                  <c:v>42787</c:v>
                </c:pt>
                <c:pt idx="340">
                  <c:v>42788</c:v>
                </c:pt>
                <c:pt idx="341">
                  <c:v>42789</c:v>
                </c:pt>
                <c:pt idx="342">
                  <c:v>42790</c:v>
                </c:pt>
                <c:pt idx="343">
                  <c:v>42793</c:v>
                </c:pt>
                <c:pt idx="344">
                  <c:v>42794</c:v>
                </c:pt>
                <c:pt idx="345">
                  <c:v>42795</c:v>
                </c:pt>
                <c:pt idx="346">
                  <c:v>42796</c:v>
                </c:pt>
                <c:pt idx="347">
                  <c:v>42797</c:v>
                </c:pt>
                <c:pt idx="348">
                  <c:v>42800</c:v>
                </c:pt>
                <c:pt idx="349">
                  <c:v>42801</c:v>
                </c:pt>
                <c:pt idx="350">
                  <c:v>42802</c:v>
                </c:pt>
                <c:pt idx="351">
                  <c:v>42803</c:v>
                </c:pt>
                <c:pt idx="352">
                  <c:v>42804</c:v>
                </c:pt>
                <c:pt idx="353">
                  <c:v>42807</c:v>
                </c:pt>
                <c:pt idx="354">
                  <c:v>42808</c:v>
                </c:pt>
                <c:pt idx="355">
                  <c:v>42809</c:v>
                </c:pt>
                <c:pt idx="356">
                  <c:v>42810</c:v>
                </c:pt>
                <c:pt idx="357">
                  <c:v>42811</c:v>
                </c:pt>
                <c:pt idx="358">
                  <c:v>42814</c:v>
                </c:pt>
                <c:pt idx="359">
                  <c:v>42815</c:v>
                </c:pt>
                <c:pt idx="360">
                  <c:v>42816</c:v>
                </c:pt>
                <c:pt idx="361">
                  <c:v>42817</c:v>
                </c:pt>
                <c:pt idx="362">
                  <c:v>42818</c:v>
                </c:pt>
                <c:pt idx="363">
                  <c:v>42821</c:v>
                </c:pt>
                <c:pt idx="364">
                  <c:v>42822</c:v>
                </c:pt>
                <c:pt idx="365">
                  <c:v>42823</c:v>
                </c:pt>
                <c:pt idx="366">
                  <c:v>42824</c:v>
                </c:pt>
                <c:pt idx="367">
                  <c:v>42825</c:v>
                </c:pt>
                <c:pt idx="368">
                  <c:v>42828</c:v>
                </c:pt>
                <c:pt idx="369">
                  <c:v>42829</c:v>
                </c:pt>
                <c:pt idx="370">
                  <c:v>42830</c:v>
                </c:pt>
                <c:pt idx="371">
                  <c:v>42831</c:v>
                </c:pt>
                <c:pt idx="372">
                  <c:v>42832</c:v>
                </c:pt>
                <c:pt idx="373">
                  <c:v>42835</c:v>
                </c:pt>
                <c:pt idx="374">
                  <c:v>42836</c:v>
                </c:pt>
                <c:pt idx="375">
                  <c:v>42837</c:v>
                </c:pt>
                <c:pt idx="376">
                  <c:v>42838</c:v>
                </c:pt>
                <c:pt idx="377">
                  <c:v>42842</c:v>
                </c:pt>
                <c:pt idx="378">
                  <c:v>42843</c:v>
                </c:pt>
                <c:pt idx="379">
                  <c:v>42844</c:v>
                </c:pt>
                <c:pt idx="380">
                  <c:v>42845</c:v>
                </c:pt>
                <c:pt idx="381">
                  <c:v>42846</c:v>
                </c:pt>
                <c:pt idx="382">
                  <c:v>42849</c:v>
                </c:pt>
                <c:pt idx="383">
                  <c:v>42850</c:v>
                </c:pt>
                <c:pt idx="384">
                  <c:v>42851</c:v>
                </c:pt>
                <c:pt idx="385">
                  <c:v>42852</c:v>
                </c:pt>
                <c:pt idx="386">
                  <c:v>42853</c:v>
                </c:pt>
                <c:pt idx="387">
                  <c:v>42856</c:v>
                </c:pt>
                <c:pt idx="388">
                  <c:v>42857</c:v>
                </c:pt>
                <c:pt idx="389">
                  <c:v>42858</c:v>
                </c:pt>
                <c:pt idx="390">
                  <c:v>42859</c:v>
                </c:pt>
                <c:pt idx="391">
                  <c:v>42860</c:v>
                </c:pt>
                <c:pt idx="392">
                  <c:v>42863</c:v>
                </c:pt>
                <c:pt idx="393">
                  <c:v>42864</c:v>
                </c:pt>
                <c:pt idx="394">
                  <c:v>42865</c:v>
                </c:pt>
                <c:pt idx="395">
                  <c:v>42866</c:v>
                </c:pt>
                <c:pt idx="396">
                  <c:v>42867</c:v>
                </c:pt>
                <c:pt idx="397">
                  <c:v>42870</c:v>
                </c:pt>
                <c:pt idx="398">
                  <c:v>42871</c:v>
                </c:pt>
                <c:pt idx="399">
                  <c:v>42872</c:v>
                </c:pt>
                <c:pt idx="400">
                  <c:v>42873</c:v>
                </c:pt>
                <c:pt idx="401">
                  <c:v>42874</c:v>
                </c:pt>
                <c:pt idx="402">
                  <c:v>42877</c:v>
                </c:pt>
                <c:pt idx="403">
                  <c:v>42878</c:v>
                </c:pt>
                <c:pt idx="404">
                  <c:v>42879</c:v>
                </c:pt>
                <c:pt idx="405">
                  <c:v>42880</c:v>
                </c:pt>
                <c:pt idx="406">
                  <c:v>42881</c:v>
                </c:pt>
                <c:pt idx="407">
                  <c:v>42885</c:v>
                </c:pt>
                <c:pt idx="408">
                  <c:v>42886</c:v>
                </c:pt>
                <c:pt idx="409">
                  <c:v>42887</c:v>
                </c:pt>
                <c:pt idx="410">
                  <c:v>42888</c:v>
                </c:pt>
                <c:pt idx="411">
                  <c:v>42891</c:v>
                </c:pt>
                <c:pt idx="412">
                  <c:v>42892</c:v>
                </c:pt>
                <c:pt idx="413">
                  <c:v>42893</c:v>
                </c:pt>
                <c:pt idx="414">
                  <c:v>42894</c:v>
                </c:pt>
                <c:pt idx="415">
                  <c:v>42895</c:v>
                </c:pt>
                <c:pt idx="416">
                  <c:v>42898</c:v>
                </c:pt>
                <c:pt idx="417">
                  <c:v>42899</c:v>
                </c:pt>
                <c:pt idx="418">
                  <c:v>42900</c:v>
                </c:pt>
                <c:pt idx="419">
                  <c:v>42901</c:v>
                </c:pt>
                <c:pt idx="420">
                  <c:v>42902</c:v>
                </c:pt>
                <c:pt idx="421">
                  <c:v>42905</c:v>
                </c:pt>
                <c:pt idx="422">
                  <c:v>42906</c:v>
                </c:pt>
                <c:pt idx="423">
                  <c:v>42907</c:v>
                </c:pt>
                <c:pt idx="424">
                  <c:v>42908</c:v>
                </c:pt>
                <c:pt idx="425">
                  <c:v>42909</c:v>
                </c:pt>
                <c:pt idx="426">
                  <c:v>42912</c:v>
                </c:pt>
                <c:pt idx="427">
                  <c:v>42913</c:v>
                </c:pt>
                <c:pt idx="428">
                  <c:v>42914</c:v>
                </c:pt>
                <c:pt idx="429">
                  <c:v>42915</c:v>
                </c:pt>
                <c:pt idx="430">
                  <c:v>42916</c:v>
                </c:pt>
                <c:pt idx="431">
                  <c:v>42919</c:v>
                </c:pt>
                <c:pt idx="432">
                  <c:v>42921</c:v>
                </c:pt>
                <c:pt idx="433">
                  <c:v>42922</c:v>
                </c:pt>
                <c:pt idx="434">
                  <c:v>42923</c:v>
                </c:pt>
                <c:pt idx="435">
                  <c:v>42926</c:v>
                </c:pt>
                <c:pt idx="436">
                  <c:v>42927</c:v>
                </c:pt>
                <c:pt idx="437">
                  <c:v>42928</c:v>
                </c:pt>
                <c:pt idx="438">
                  <c:v>42929</c:v>
                </c:pt>
                <c:pt idx="439">
                  <c:v>42930</c:v>
                </c:pt>
                <c:pt idx="440">
                  <c:v>42933</c:v>
                </c:pt>
                <c:pt idx="441">
                  <c:v>42934</c:v>
                </c:pt>
                <c:pt idx="442">
                  <c:v>42935</c:v>
                </c:pt>
                <c:pt idx="443">
                  <c:v>42936</c:v>
                </c:pt>
                <c:pt idx="444">
                  <c:v>42937</c:v>
                </c:pt>
                <c:pt idx="445">
                  <c:v>42940</c:v>
                </c:pt>
                <c:pt idx="446">
                  <c:v>42941</c:v>
                </c:pt>
                <c:pt idx="447">
                  <c:v>42942</c:v>
                </c:pt>
                <c:pt idx="448">
                  <c:v>42943</c:v>
                </c:pt>
                <c:pt idx="449">
                  <c:v>42944</c:v>
                </c:pt>
                <c:pt idx="450">
                  <c:v>42947</c:v>
                </c:pt>
                <c:pt idx="451">
                  <c:v>42948</c:v>
                </c:pt>
                <c:pt idx="452">
                  <c:v>42949</c:v>
                </c:pt>
                <c:pt idx="453">
                  <c:v>42950</c:v>
                </c:pt>
                <c:pt idx="454">
                  <c:v>42951</c:v>
                </c:pt>
                <c:pt idx="455">
                  <c:v>42954</c:v>
                </c:pt>
                <c:pt idx="456">
                  <c:v>42955</c:v>
                </c:pt>
                <c:pt idx="457">
                  <c:v>42956</c:v>
                </c:pt>
                <c:pt idx="458">
                  <c:v>42957</c:v>
                </c:pt>
                <c:pt idx="459">
                  <c:v>42958</c:v>
                </c:pt>
                <c:pt idx="460">
                  <c:v>42961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42965</c:v>
                </c:pt>
                <c:pt idx="465">
                  <c:v>42968</c:v>
                </c:pt>
                <c:pt idx="466">
                  <c:v>42969</c:v>
                </c:pt>
                <c:pt idx="467">
                  <c:v>42970</c:v>
                </c:pt>
                <c:pt idx="468">
                  <c:v>42971</c:v>
                </c:pt>
                <c:pt idx="469">
                  <c:v>42972</c:v>
                </c:pt>
                <c:pt idx="470">
                  <c:v>42975</c:v>
                </c:pt>
                <c:pt idx="471">
                  <c:v>42976</c:v>
                </c:pt>
                <c:pt idx="472">
                  <c:v>42977</c:v>
                </c:pt>
                <c:pt idx="473">
                  <c:v>42978</c:v>
                </c:pt>
                <c:pt idx="474">
                  <c:v>42979</c:v>
                </c:pt>
                <c:pt idx="475">
                  <c:v>42983</c:v>
                </c:pt>
                <c:pt idx="476">
                  <c:v>42984</c:v>
                </c:pt>
                <c:pt idx="477">
                  <c:v>42985</c:v>
                </c:pt>
                <c:pt idx="478">
                  <c:v>42986</c:v>
                </c:pt>
                <c:pt idx="479">
                  <c:v>42989</c:v>
                </c:pt>
                <c:pt idx="480">
                  <c:v>42990</c:v>
                </c:pt>
                <c:pt idx="481">
                  <c:v>42991</c:v>
                </c:pt>
                <c:pt idx="482">
                  <c:v>42992</c:v>
                </c:pt>
                <c:pt idx="483">
                  <c:v>42993</c:v>
                </c:pt>
                <c:pt idx="484">
                  <c:v>42996</c:v>
                </c:pt>
                <c:pt idx="485">
                  <c:v>42997</c:v>
                </c:pt>
                <c:pt idx="486">
                  <c:v>42998</c:v>
                </c:pt>
                <c:pt idx="487">
                  <c:v>42999</c:v>
                </c:pt>
                <c:pt idx="488">
                  <c:v>43000</c:v>
                </c:pt>
                <c:pt idx="489">
                  <c:v>43003</c:v>
                </c:pt>
                <c:pt idx="490">
                  <c:v>43004</c:v>
                </c:pt>
                <c:pt idx="491">
                  <c:v>43005</c:v>
                </c:pt>
                <c:pt idx="492">
                  <c:v>43006</c:v>
                </c:pt>
                <c:pt idx="493">
                  <c:v>43007</c:v>
                </c:pt>
                <c:pt idx="494">
                  <c:v>43010</c:v>
                </c:pt>
                <c:pt idx="495">
                  <c:v>43011</c:v>
                </c:pt>
                <c:pt idx="496">
                  <c:v>43012</c:v>
                </c:pt>
                <c:pt idx="497">
                  <c:v>43013</c:v>
                </c:pt>
                <c:pt idx="498">
                  <c:v>43014</c:v>
                </c:pt>
                <c:pt idx="499">
                  <c:v>43017</c:v>
                </c:pt>
                <c:pt idx="500">
                  <c:v>43018</c:v>
                </c:pt>
                <c:pt idx="501">
                  <c:v>43019</c:v>
                </c:pt>
                <c:pt idx="502">
                  <c:v>43020</c:v>
                </c:pt>
                <c:pt idx="503">
                  <c:v>43021</c:v>
                </c:pt>
                <c:pt idx="504">
                  <c:v>43024</c:v>
                </c:pt>
                <c:pt idx="505">
                  <c:v>43025</c:v>
                </c:pt>
                <c:pt idx="506">
                  <c:v>43026</c:v>
                </c:pt>
                <c:pt idx="507">
                  <c:v>43027</c:v>
                </c:pt>
                <c:pt idx="508">
                  <c:v>43028</c:v>
                </c:pt>
                <c:pt idx="509">
                  <c:v>43031</c:v>
                </c:pt>
                <c:pt idx="510">
                  <c:v>43032</c:v>
                </c:pt>
                <c:pt idx="511">
                  <c:v>43033</c:v>
                </c:pt>
                <c:pt idx="512">
                  <c:v>43034</c:v>
                </c:pt>
                <c:pt idx="513">
                  <c:v>43035</c:v>
                </c:pt>
                <c:pt idx="514">
                  <c:v>43038</c:v>
                </c:pt>
                <c:pt idx="515">
                  <c:v>43039</c:v>
                </c:pt>
                <c:pt idx="516">
                  <c:v>43040</c:v>
                </c:pt>
                <c:pt idx="517">
                  <c:v>43041</c:v>
                </c:pt>
                <c:pt idx="518">
                  <c:v>43042</c:v>
                </c:pt>
                <c:pt idx="519">
                  <c:v>43045</c:v>
                </c:pt>
                <c:pt idx="520">
                  <c:v>43046</c:v>
                </c:pt>
                <c:pt idx="521">
                  <c:v>43047</c:v>
                </c:pt>
                <c:pt idx="522">
                  <c:v>43048</c:v>
                </c:pt>
                <c:pt idx="523">
                  <c:v>43049</c:v>
                </c:pt>
                <c:pt idx="524">
                  <c:v>43052</c:v>
                </c:pt>
                <c:pt idx="525">
                  <c:v>43053</c:v>
                </c:pt>
                <c:pt idx="526">
                  <c:v>43054</c:v>
                </c:pt>
                <c:pt idx="527">
                  <c:v>43055</c:v>
                </c:pt>
                <c:pt idx="528">
                  <c:v>43056</c:v>
                </c:pt>
                <c:pt idx="529">
                  <c:v>43059</c:v>
                </c:pt>
                <c:pt idx="530">
                  <c:v>43060</c:v>
                </c:pt>
                <c:pt idx="531">
                  <c:v>43061</c:v>
                </c:pt>
                <c:pt idx="532">
                  <c:v>43063</c:v>
                </c:pt>
                <c:pt idx="533">
                  <c:v>43066</c:v>
                </c:pt>
                <c:pt idx="534">
                  <c:v>43067</c:v>
                </c:pt>
                <c:pt idx="535">
                  <c:v>43068</c:v>
                </c:pt>
                <c:pt idx="536">
                  <c:v>43069</c:v>
                </c:pt>
                <c:pt idx="537">
                  <c:v>43070</c:v>
                </c:pt>
                <c:pt idx="538">
                  <c:v>43073</c:v>
                </c:pt>
                <c:pt idx="539">
                  <c:v>43074</c:v>
                </c:pt>
                <c:pt idx="540">
                  <c:v>43075</c:v>
                </c:pt>
                <c:pt idx="541">
                  <c:v>43076</c:v>
                </c:pt>
                <c:pt idx="542">
                  <c:v>43077</c:v>
                </c:pt>
                <c:pt idx="543">
                  <c:v>43080</c:v>
                </c:pt>
                <c:pt idx="544">
                  <c:v>43081</c:v>
                </c:pt>
                <c:pt idx="545">
                  <c:v>43082</c:v>
                </c:pt>
                <c:pt idx="546">
                  <c:v>43083</c:v>
                </c:pt>
                <c:pt idx="547">
                  <c:v>43084</c:v>
                </c:pt>
                <c:pt idx="548">
                  <c:v>43087</c:v>
                </c:pt>
                <c:pt idx="549">
                  <c:v>43088</c:v>
                </c:pt>
                <c:pt idx="550">
                  <c:v>43089</c:v>
                </c:pt>
                <c:pt idx="551">
                  <c:v>43090</c:v>
                </c:pt>
                <c:pt idx="552">
                  <c:v>43091</c:v>
                </c:pt>
                <c:pt idx="553">
                  <c:v>43095</c:v>
                </c:pt>
                <c:pt idx="554">
                  <c:v>43096</c:v>
                </c:pt>
                <c:pt idx="555">
                  <c:v>43097</c:v>
                </c:pt>
                <c:pt idx="556">
                  <c:v>43098</c:v>
                </c:pt>
                <c:pt idx="557">
                  <c:v>43102</c:v>
                </c:pt>
                <c:pt idx="558">
                  <c:v>43103</c:v>
                </c:pt>
                <c:pt idx="559">
                  <c:v>43104</c:v>
                </c:pt>
                <c:pt idx="560">
                  <c:v>43105</c:v>
                </c:pt>
                <c:pt idx="561">
                  <c:v>43108</c:v>
                </c:pt>
                <c:pt idx="562">
                  <c:v>43109</c:v>
                </c:pt>
                <c:pt idx="563">
                  <c:v>43110</c:v>
                </c:pt>
                <c:pt idx="564">
                  <c:v>43111</c:v>
                </c:pt>
                <c:pt idx="565">
                  <c:v>43112</c:v>
                </c:pt>
                <c:pt idx="566">
                  <c:v>43116</c:v>
                </c:pt>
                <c:pt idx="567">
                  <c:v>43117</c:v>
                </c:pt>
                <c:pt idx="568">
                  <c:v>43118</c:v>
                </c:pt>
                <c:pt idx="569">
                  <c:v>43119</c:v>
                </c:pt>
                <c:pt idx="570">
                  <c:v>43122</c:v>
                </c:pt>
                <c:pt idx="571">
                  <c:v>43123</c:v>
                </c:pt>
                <c:pt idx="572">
                  <c:v>43124</c:v>
                </c:pt>
                <c:pt idx="573">
                  <c:v>43125</c:v>
                </c:pt>
                <c:pt idx="574">
                  <c:v>43126</c:v>
                </c:pt>
                <c:pt idx="575">
                  <c:v>43129</c:v>
                </c:pt>
                <c:pt idx="576">
                  <c:v>43130</c:v>
                </c:pt>
                <c:pt idx="577">
                  <c:v>43131</c:v>
                </c:pt>
                <c:pt idx="578">
                  <c:v>43132</c:v>
                </c:pt>
                <c:pt idx="579">
                  <c:v>43133</c:v>
                </c:pt>
                <c:pt idx="580">
                  <c:v>43136</c:v>
                </c:pt>
                <c:pt idx="581">
                  <c:v>43137</c:v>
                </c:pt>
                <c:pt idx="582">
                  <c:v>43138</c:v>
                </c:pt>
                <c:pt idx="583">
                  <c:v>43139</c:v>
                </c:pt>
                <c:pt idx="584">
                  <c:v>43140</c:v>
                </c:pt>
                <c:pt idx="585">
                  <c:v>43143</c:v>
                </c:pt>
                <c:pt idx="586">
                  <c:v>43144</c:v>
                </c:pt>
                <c:pt idx="587">
                  <c:v>43145</c:v>
                </c:pt>
                <c:pt idx="588">
                  <c:v>43146</c:v>
                </c:pt>
                <c:pt idx="589">
                  <c:v>43147</c:v>
                </c:pt>
                <c:pt idx="590">
                  <c:v>43151</c:v>
                </c:pt>
                <c:pt idx="591">
                  <c:v>43152</c:v>
                </c:pt>
                <c:pt idx="592">
                  <c:v>43153</c:v>
                </c:pt>
                <c:pt idx="593">
                  <c:v>43154</c:v>
                </c:pt>
                <c:pt idx="594">
                  <c:v>43157</c:v>
                </c:pt>
                <c:pt idx="595">
                  <c:v>43158</c:v>
                </c:pt>
                <c:pt idx="596">
                  <c:v>43159</c:v>
                </c:pt>
                <c:pt idx="597">
                  <c:v>43160</c:v>
                </c:pt>
                <c:pt idx="598">
                  <c:v>43161</c:v>
                </c:pt>
                <c:pt idx="599">
                  <c:v>43164</c:v>
                </c:pt>
                <c:pt idx="600">
                  <c:v>43165</c:v>
                </c:pt>
                <c:pt idx="601">
                  <c:v>43166</c:v>
                </c:pt>
                <c:pt idx="602">
                  <c:v>43167</c:v>
                </c:pt>
                <c:pt idx="603">
                  <c:v>43168</c:v>
                </c:pt>
                <c:pt idx="604">
                  <c:v>43171</c:v>
                </c:pt>
                <c:pt idx="605">
                  <c:v>43172</c:v>
                </c:pt>
                <c:pt idx="606">
                  <c:v>43173</c:v>
                </c:pt>
                <c:pt idx="607">
                  <c:v>43174</c:v>
                </c:pt>
                <c:pt idx="608">
                  <c:v>43175</c:v>
                </c:pt>
                <c:pt idx="609">
                  <c:v>43178</c:v>
                </c:pt>
                <c:pt idx="610">
                  <c:v>43179</c:v>
                </c:pt>
                <c:pt idx="611">
                  <c:v>43180</c:v>
                </c:pt>
                <c:pt idx="612">
                  <c:v>43181</c:v>
                </c:pt>
                <c:pt idx="613">
                  <c:v>43182</c:v>
                </c:pt>
                <c:pt idx="614">
                  <c:v>43185</c:v>
                </c:pt>
                <c:pt idx="615">
                  <c:v>43186</c:v>
                </c:pt>
                <c:pt idx="616">
                  <c:v>43187</c:v>
                </c:pt>
                <c:pt idx="617">
                  <c:v>43188</c:v>
                </c:pt>
                <c:pt idx="618">
                  <c:v>43192</c:v>
                </c:pt>
                <c:pt idx="619">
                  <c:v>43193</c:v>
                </c:pt>
                <c:pt idx="620">
                  <c:v>43194</c:v>
                </c:pt>
                <c:pt idx="621">
                  <c:v>43195</c:v>
                </c:pt>
                <c:pt idx="622">
                  <c:v>43196</c:v>
                </c:pt>
                <c:pt idx="623">
                  <c:v>43199</c:v>
                </c:pt>
                <c:pt idx="624">
                  <c:v>43200</c:v>
                </c:pt>
                <c:pt idx="625">
                  <c:v>43201</c:v>
                </c:pt>
                <c:pt idx="626">
                  <c:v>43202</c:v>
                </c:pt>
                <c:pt idx="627">
                  <c:v>43203</c:v>
                </c:pt>
                <c:pt idx="628">
                  <c:v>43206</c:v>
                </c:pt>
                <c:pt idx="629">
                  <c:v>43207</c:v>
                </c:pt>
                <c:pt idx="630">
                  <c:v>43208</c:v>
                </c:pt>
                <c:pt idx="631">
                  <c:v>43209</c:v>
                </c:pt>
                <c:pt idx="632">
                  <c:v>43210</c:v>
                </c:pt>
                <c:pt idx="633">
                  <c:v>43213</c:v>
                </c:pt>
                <c:pt idx="634">
                  <c:v>43214</c:v>
                </c:pt>
                <c:pt idx="635">
                  <c:v>43215</c:v>
                </c:pt>
                <c:pt idx="636">
                  <c:v>43216</c:v>
                </c:pt>
                <c:pt idx="637">
                  <c:v>43217</c:v>
                </c:pt>
                <c:pt idx="638">
                  <c:v>43220</c:v>
                </c:pt>
                <c:pt idx="639">
                  <c:v>43221</c:v>
                </c:pt>
                <c:pt idx="640">
                  <c:v>43222</c:v>
                </c:pt>
                <c:pt idx="641">
                  <c:v>43223</c:v>
                </c:pt>
                <c:pt idx="642">
                  <c:v>43224</c:v>
                </c:pt>
                <c:pt idx="643">
                  <c:v>43227</c:v>
                </c:pt>
                <c:pt idx="644">
                  <c:v>43228</c:v>
                </c:pt>
                <c:pt idx="645">
                  <c:v>43229</c:v>
                </c:pt>
                <c:pt idx="646">
                  <c:v>43230</c:v>
                </c:pt>
                <c:pt idx="647">
                  <c:v>43231</c:v>
                </c:pt>
                <c:pt idx="648">
                  <c:v>43234</c:v>
                </c:pt>
                <c:pt idx="649">
                  <c:v>43235</c:v>
                </c:pt>
                <c:pt idx="650">
                  <c:v>43236</c:v>
                </c:pt>
                <c:pt idx="651">
                  <c:v>43237</c:v>
                </c:pt>
                <c:pt idx="652">
                  <c:v>43238</c:v>
                </c:pt>
                <c:pt idx="653">
                  <c:v>43241</c:v>
                </c:pt>
                <c:pt idx="654">
                  <c:v>43242</c:v>
                </c:pt>
                <c:pt idx="655">
                  <c:v>43243</c:v>
                </c:pt>
                <c:pt idx="656">
                  <c:v>43244</c:v>
                </c:pt>
                <c:pt idx="657">
                  <c:v>43245</c:v>
                </c:pt>
                <c:pt idx="658">
                  <c:v>43249</c:v>
                </c:pt>
                <c:pt idx="659">
                  <c:v>43250</c:v>
                </c:pt>
                <c:pt idx="660">
                  <c:v>43251</c:v>
                </c:pt>
                <c:pt idx="661">
                  <c:v>43252</c:v>
                </c:pt>
                <c:pt idx="662">
                  <c:v>43255</c:v>
                </c:pt>
                <c:pt idx="663">
                  <c:v>43256</c:v>
                </c:pt>
                <c:pt idx="664">
                  <c:v>43257</c:v>
                </c:pt>
                <c:pt idx="665">
                  <c:v>43258</c:v>
                </c:pt>
                <c:pt idx="666">
                  <c:v>43259</c:v>
                </c:pt>
                <c:pt idx="667">
                  <c:v>43262</c:v>
                </c:pt>
                <c:pt idx="668">
                  <c:v>43263</c:v>
                </c:pt>
                <c:pt idx="669">
                  <c:v>43264</c:v>
                </c:pt>
                <c:pt idx="670">
                  <c:v>43265</c:v>
                </c:pt>
                <c:pt idx="671">
                  <c:v>43266</c:v>
                </c:pt>
                <c:pt idx="672">
                  <c:v>43269</c:v>
                </c:pt>
                <c:pt idx="673">
                  <c:v>43270</c:v>
                </c:pt>
                <c:pt idx="674">
                  <c:v>43271</c:v>
                </c:pt>
                <c:pt idx="675">
                  <c:v>43272</c:v>
                </c:pt>
                <c:pt idx="676">
                  <c:v>43273</c:v>
                </c:pt>
                <c:pt idx="677">
                  <c:v>43276</c:v>
                </c:pt>
                <c:pt idx="678">
                  <c:v>43277</c:v>
                </c:pt>
                <c:pt idx="679">
                  <c:v>43278</c:v>
                </c:pt>
                <c:pt idx="680">
                  <c:v>43279</c:v>
                </c:pt>
                <c:pt idx="681">
                  <c:v>43280</c:v>
                </c:pt>
                <c:pt idx="682">
                  <c:v>43283</c:v>
                </c:pt>
                <c:pt idx="683">
                  <c:v>43284</c:v>
                </c:pt>
                <c:pt idx="684">
                  <c:v>43286</c:v>
                </c:pt>
                <c:pt idx="685">
                  <c:v>43287</c:v>
                </c:pt>
                <c:pt idx="686">
                  <c:v>43290</c:v>
                </c:pt>
                <c:pt idx="687">
                  <c:v>43291</c:v>
                </c:pt>
                <c:pt idx="688">
                  <c:v>43292</c:v>
                </c:pt>
                <c:pt idx="689">
                  <c:v>43293</c:v>
                </c:pt>
                <c:pt idx="690">
                  <c:v>43294</c:v>
                </c:pt>
                <c:pt idx="691">
                  <c:v>43297</c:v>
                </c:pt>
                <c:pt idx="692">
                  <c:v>43298</c:v>
                </c:pt>
                <c:pt idx="693">
                  <c:v>43299</c:v>
                </c:pt>
                <c:pt idx="694">
                  <c:v>43300</c:v>
                </c:pt>
                <c:pt idx="695">
                  <c:v>43301</c:v>
                </c:pt>
                <c:pt idx="696">
                  <c:v>43304</c:v>
                </c:pt>
                <c:pt idx="697">
                  <c:v>43305</c:v>
                </c:pt>
                <c:pt idx="698">
                  <c:v>43306</c:v>
                </c:pt>
                <c:pt idx="699">
                  <c:v>43307</c:v>
                </c:pt>
                <c:pt idx="700">
                  <c:v>43308</c:v>
                </c:pt>
                <c:pt idx="701">
                  <c:v>43311</c:v>
                </c:pt>
                <c:pt idx="702">
                  <c:v>43312</c:v>
                </c:pt>
                <c:pt idx="703">
                  <c:v>43313</c:v>
                </c:pt>
                <c:pt idx="704">
                  <c:v>43314</c:v>
                </c:pt>
                <c:pt idx="705">
                  <c:v>43315</c:v>
                </c:pt>
                <c:pt idx="706">
                  <c:v>43318</c:v>
                </c:pt>
                <c:pt idx="707">
                  <c:v>43319</c:v>
                </c:pt>
                <c:pt idx="708">
                  <c:v>43320</c:v>
                </c:pt>
                <c:pt idx="709">
                  <c:v>43321</c:v>
                </c:pt>
                <c:pt idx="710">
                  <c:v>43322</c:v>
                </c:pt>
                <c:pt idx="711">
                  <c:v>43325</c:v>
                </c:pt>
                <c:pt idx="712">
                  <c:v>43326</c:v>
                </c:pt>
                <c:pt idx="713">
                  <c:v>43327</c:v>
                </c:pt>
                <c:pt idx="714">
                  <c:v>43328</c:v>
                </c:pt>
                <c:pt idx="715">
                  <c:v>43329</c:v>
                </c:pt>
                <c:pt idx="716">
                  <c:v>43332</c:v>
                </c:pt>
                <c:pt idx="717">
                  <c:v>43333</c:v>
                </c:pt>
                <c:pt idx="718">
                  <c:v>43334</c:v>
                </c:pt>
                <c:pt idx="719">
                  <c:v>43335</c:v>
                </c:pt>
                <c:pt idx="720">
                  <c:v>43336</c:v>
                </c:pt>
                <c:pt idx="721">
                  <c:v>43339</c:v>
                </c:pt>
                <c:pt idx="722">
                  <c:v>43340</c:v>
                </c:pt>
                <c:pt idx="723">
                  <c:v>43341</c:v>
                </c:pt>
                <c:pt idx="724">
                  <c:v>43342</c:v>
                </c:pt>
                <c:pt idx="725">
                  <c:v>43343</c:v>
                </c:pt>
                <c:pt idx="726">
                  <c:v>43347</c:v>
                </c:pt>
                <c:pt idx="727">
                  <c:v>43348</c:v>
                </c:pt>
                <c:pt idx="728">
                  <c:v>43349</c:v>
                </c:pt>
                <c:pt idx="729">
                  <c:v>43350</c:v>
                </c:pt>
                <c:pt idx="730">
                  <c:v>43353</c:v>
                </c:pt>
                <c:pt idx="731">
                  <c:v>43354</c:v>
                </c:pt>
                <c:pt idx="732">
                  <c:v>43355</c:v>
                </c:pt>
                <c:pt idx="733">
                  <c:v>43356</c:v>
                </c:pt>
                <c:pt idx="734">
                  <c:v>43357</c:v>
                </c:pt>
                <c:pt idx="735">
                  <c:v>43360</c:v>
                </c:pt>
                <c:pt idx="736">
                  <c:v>43361</c:v>
                </c:pt>
                <c:pt idx="737">
                  <c:v>43362</c:v>
                </c:pt>
                <c:pt idx="738">
                  <c:v>43363</c:v>
                </c:pt>
                <c:pt idx="739">
                  <c:v>43364</c:v>
                </c:pt>
                <c:pt idx="740">
                  <c:v>43367</c:v>
                </c:pt>
                <c:pt idx="741">
                  <c:v>43368</c:v>
                </c:pt>
                <c:pt idx="742">
                  <c:v>43369</c:v>
                </c:pt>
                <c:pt idx="743">
                  <c:v>43370</c:v>
                </c:pt>
                <c:pt idx="744">
                  <c:v>43371</c:v>
                </c:pt>
                <c:pt idx="745">
                  <c:v>43374</c:v>
                </c:pt>
                <c:pt idx="746">
                  <c:v>43375</c:v>
                </c:pt>
                <c:pt idx="747">
                  <c:v>43376</c:v>
                </c:pt>
                <c:pt idx="748">
                  <c:v>43377</c:v>
                </c:pt>
                <c:pt idx="749">
                  <c:v>43378</c:v>
                </c:pt>
                <c:pt idx="750">
                  <c:v>43381</c:v>
                </c:pt>
                <c:pt idx="751">
                  <c:v>43382</c:v>
                </c:pt>
                <c:pt idx="752">
                  <c:v>43383</c:v>
                </c:pt>
                <c:pt idx="753">
                  <c:v>43384</c:v>
                </c:pt>
                <c:pt idx="754">
                  <c:v>43385</c:v>
                </c:pt>
                <c:pt idx="755">
                  <c:v>43388</c:v>
                </c:pt>
              </c:numCache>
            </c:numRef>
          </c:xVal>
          <c:yVal>
            <c:numRef>
              <c:f>'tesla-stock-price (3)'!$B$4:$B$759</c:f>
              <c:numCache>
                <c:formatCode>General</c:formatCode>
                <c:ptCount val="756"/>
                <c:pt idx="0">
                  <c:v>221.31</c:v>
                </c:pt>
                <c:pt idx="1">
                  <c:v>227.01</c:v>
                </c:pt>
                <c:pt idx="2">
                  <c:v>228.1</c:v>
                </c:pt>
                <c:pt idx="3">
                  <c:v>213.03</c:v>
                </c:pt>
                <c:pt idx="4">
                  <c:v>210.09</c:v>
                </c:pt>
                <c:pt idx="5">
                  <c:v>211.72</c:v>
                </c:pt>
                <c:pt idx="6">
                  <c:v>209.09</c:v>
                </c:pt>
                <c:pt idx="7">
                  <c:v>215.26</c:v>
                </c:pt>
                <c:pt idx="8">
                  <c:v>210.35</c:v>
                </c:pt>
                <c:pt idx="9">
                  <c:v>212.96</c:v>
                </c:pt>
                <c:pt idx="10">
                  <c:v>211.63</c:v>
                </c:pt>
                <c:pt idx="11">
                  <c:v>206.93</c:v>
                </c:pt>
                <c:pt idx="12">
                  <c:v>213.79</c:v>
                </c:pt>
                <c:pt idx="13">
                  <c:v>208.35</c:v>
                </c:pt>
                <c:pt idx="14">
                  <c:v>231.63</c:v>
                </c:pt>
                <c:pt idx="15">
                  <c:v>231.77</c:v>
                </c:pt>
                <c:pt idx="16">
                  <c:v>232.36</c:v>
                </c:pt>
                <c:pt idx="17">
                  <c:v>225.33</c:v>
                </c:pt>
                <c:pt idx="18">
                  <c:v>216.5</c:v>
                </c:pt>
                <c:pt idx="19">
                  <c:v>219.08</c:v>
                </c:pt>
                <c:pt idx="20">
                  <c:v>212.94</c:v>
                </c:pt>
                <c:pt idx="21">
                  <c:v>207.19</c:v>
                </c:pt>
                <c:pt idx="22">
                  <c:v>214.31</c:v>
                </c:pt>
                <c:pt idx="23">
                  <c:v>214</c:v>
                </c:pt>
                <c:pt idx="24">
                  <c:v>221.07</c:v>
                </c:pt>
                <c:pt idx="25">
                  <c:v>221.8</c:v>
                </c:pt>
                <c:pt idx="26">
                  <c:v>220.01</c:v>
                </c:pt>
                <c:pt idx="27">
                  <c:v>217.75</c:v>
                </c:pt>
                <c:pt idx="28">
                  <c:v>218.25</c:v>
                </c:pt>
                <c:pt idx="29">
                  <c:v>229.64</c:v>
                </c:pt>
                <c:pt idx="30">
                  <c:v>231.61</c:v>
                </c:pt>
                <c:pt idx="31">
                  <c:v>230.26</c:v>
                </c:pt>
                <c:pt idx="32">
                  <c:v>237.19</c:v>
                </c:pt>
                <c:pt idx="33">
                  <c:v>231.99</c:v>
                </c:pt>
                <c:pt idx="34">
                  <c:v>232.71</c:v>
                </c:pt>
                <c:pt idx="35">
                  <c:v>230.38</c:v>
                </c:pt>
                <c:pt idx="36">
                  <c:v>231.13</c:v>
                </c:pt>
                <c:pt idx="37">
                  <c:v>226.72</c:v>
                </c:pt>
                <c:pt idx="38">
                  <c:v>224.52</c:v>
                </c:pt>
                <c:pt idx="39">
                  <c:v>227.07</c:v>
                </c:pt>
                <c:pt idx="40">
                  <c:v>217.02</c:v>
                </c:pt>
                <c:pt idx="41">
                  <c:v>218.58</c:v>
                </c:pt>
                <c:pt idx="42">
                  <c:v>221.09</c:v>
                </c:pt>
                <c:pt idx="43">
                  <c:v>234.51</c:v>
                </c:pt>
                <c:pt idx="44">
                  <c:v>233.39</c:v>
                </c:pt>
                <c:pt idx="45">
                  <c:v>230.46</c:v>
                </c:pt>
                <c:pt idx="46">
                  <c:v>232.56</c:v>
                </c:pt>
                <c:pt idx="47">
                  <c:v>229.95</c:v>
                </c:pt>
                <c:pt idx="48">
                  <c:v>229.7</c:v>
                </c:pt>
                <c:pt idx="49">
                  <c:v>230.57</c:v>
                </c:pt>
                <c:pt idx="50">
                  <c:v>228.95</c:v>
                </c:pt>
                <c:pt idx="51">
                  <c:v>237.19</c:v>
                </c:pt>
                <c:pt idx="52">
                  <c:v>238.09</c:v>
                </c:pt>
                <c:pt idx="53">
                  <c:v>240.01</c:v>
                </c:pt>
                <c:pt idx="54">
                  <c:v>223.41</c:v>
                </c:pt>
                <c:pt idx="55">
                  <c:v>223.43</c:v>
                </c:pt>
                <c:pt idx="56">
                  <c:v>219.04</c:v>
                </c:pt>
                <c:pt idx="57">
                  <c:v>215.65</c:v>
                </c:pt>
                <c:pt idx="58">
                  <c:v>211</c:v>
                </c:pt>
                <c:pt idx="59">
                  <c:v>207.85</c:v>
                </c:pt>
                <c:pt idx="60">
                  <c:v>209.97</c:v>
                </c:pt>
                <c:pt idx="61">
                  <c:v>200.31</c:v>
                </c:pt>
                <c:pt idx="62">
                  <c:v>206.18</c:v>
                </c:pt>
                <c:pt idx="63">
                  <c:v>204.99</c:v>
                </c:pt>
                <c:pt idx="64">
                  <c:v>204.72</c:v>
                </c:pt>
                <c:pt idx="65">
                  <c:v>198.7</c:v>
                </c:pt>
                <c:pt idx="66">
                  <c:v>199.97</c:v>
                </c:pt>
                <c:pt idx="67">
                  <c:v>202.55</c:v>
                </c:pt>
                <c:pt idx="68">
                  <c:v>196.38</c:v>
                </c:pt>
                <c:pt idx="69">
                  <c:v>193.56</c:v>
                </c:pt>
                <c:pt idx="70">
                  <c:v>188.07</c:v>
                </c:pt>
                <c:pt idx="71">
                  <c:v>189.7</c:v>
                </c:pt>
                <c:pt idx="72">
                  <c:v>191.2</c:v>
                </c:pt>
                <c:pt idx="73">
                  <c:v>196.94</c:v>
                </c:pt>
                <c:pt idx="74">
                  <c:v>182.78</c:v>
                </c:pt>
                <c:pt idx="75">
                  <c:v>173.48</c:v>
                </c:pt>
                <c:pt idx="76">
                  <c:v>175.33</c:v>
                </c:pt>
                <c:pt idx="77">
                  <c:v>162.6</c:v>
                </c:pt>
                <c:pt idx="78">
                  <c:v>147.99</c:v>
                </c:pt>
                <c:pt idx="79">
                  <c:v>148.25</c:v>
                </c:pt>
                <c:pt idx="80">
                  <c:v>143.66999999999999</c:v>
                </c:pt>
                <c:pt idx="81">
                  <c:v>150.47</c:v>
                </c:pt>
                <c:pt idx="82">
                  <c:v>151.04</c:v>
                </c:pt>
                <c:pt idx="83">
                  <c:v>155.16999999999999</c:v>
                </c:pt>
                <c:pt idx="84">
                  <c:v>168.68</c:v>
                </c:pt>
                <c:pt idx="85">
                  <c:v>166.77</c:v>
                </c:pt>
                <c:pt idx="86">
                  <c:v>166.58</c:v>
                </c:pt>
                <c:pt idx="87">
                  <c:v>177.74</c:v>
                </c:pt>
                <c:pt idx="88">
                  <c:v>177.21</c:v>
                </c:pt>
                <c:pt idx="89">
                  <c:v>179</c:v>
                </c:pt>
                <c:pt idx="90">
                  <c:v>187.43</c:v>
                </c:pt>
                <c:pt idx="91">
                  <c:v>190.34</c:v>
                </c:pt>
                <c:pt idx="92">
                  <c:v>191.93</c:v>
                </c:pt>
                <c:pt idx="93">
                  <c:v>186.35</c:v>
                </c:pt>
                <c:pt idx="94">
                  <c:v>188.34</c:v>
                </c:pt>
                <c:pt idx="95">
                  <c:v>195.74</c:v>
                </c:pt>
                <c:pt idx="96">
                  <c:v>201.04</c:v>
                </c:pt>
                <c:pt idx="97">
                  <c:v>205.29</c:v>
                </c:pt>
                <c:pt idx="98">
                  <c:v>202.6</c:v>
                </c:pt>
                <c:pt idx="99">
                  <c:v>208.72</c:v>
                </c:pt>
                <c:pt idx="100">
                  <c:v>205.18</c:v>
                </c:pt>
                <c:pt idx="101">
                  <c:v>207.5</c:v>
                </c:pt>
                <c:pt idx="102">
                  <c:v>215.15</c:v>
                </c:pt>
                <c:pt idx="103">
                  <c:v>218.34</c:v>
                </c:pt>
                <c:pt idx="104">
                  <c:v>221.93</c:v>
                </c:pt>
                <c:pt idx="105">
                  <c:v>226.38</c:v>
                </c:pt>
                <c:pt idx="106">
                  <c:v>232.74</c:v>
                </c:pt>
                <c:pt idx="107">
                  <c:v>238.32</c:v>
                </c:pt>
                <c:pt idx="108">
                  <c:v>234.24</c:v>
                </c:pt>
                <c:pt idx="109">
                  <c:v>222.58</c:v>
                </c:pt>
                <c:pt idx="110">
                  <c:v>227.75</c:v>
                </c:pt>
                <c:pt idx="111">
                  <c:v>230.26</c:v>
                </c:pt>
                <c:pt idx="112">
                  <c:v>230.13</c:v>
                </c:pt>
                <c:pt idx="113">
                  <c:v>226.89</c:v>
                </c:pt>
                <c:pt idx="114">
                  <c:v>229.77</c:v>
                </c:pt>
                <c:pt idx="115">
                  <c:v>237.59</c:v>
                </c:pt>
                <c:pt idx="116">
                  <c:v>246.99</c:v>
                </c:pt>
                <c:pt idx="117">
                  <c:v>255.47</c:v>
                </c:pt>
                <c:pt idx="118">
                  <c:v>265.42</c:v>
                </c:pt>
                <c:pt idx="119">
                  <c:v>257.2</c:v>
                </c:pt>
                <c:pt idx="120">
                  <c:v>250.07</c:v>
                </c:pt>
                <c:pt idx="121">
                  <c:v>249.92</c:v>
                </c:pt>
                <c:pt idx="122">
                  <c:v>247.82</c:v>
                </c:pt>
                <c:pt idx="123">
                  <c:v>254.53</c:v>
                </c:pt>
                <c:pt idx="124">
                  <c:v>251.86</c:v>
                </c:pt>
                <c:pt idx="125">
                  <c:v>254.51</c:v>
                </c:pt>
                <c:pt idx="126">
                  <c:v>253.88</c:v>
                </c:pt>
                <c:pt idx="127">
                  <c:v>247.37</c:v>
                </c:pt>
                <c:pt idx="128">
                  <c:v>249.97</c:v>
                </c:pt>
                <c:pt idx="129">
                  <c:v>248.29</c:v>
                </c:pt>
                <c:pt idx="130">
                  <c:v>253.75</c:v>
                </c:pt>
                <c:pt idx="131">
                  <c:v>251.82</c:v>
                </c:pt>
                <c:pt idx="132">
                  <c:v>253.74</c:v>
                </c:pt>
                <c:pt idx="133">
                  <c:v>251.47</c:v>
                </c:pt>
                <c:pt idx="134">
                  <c:v>247.71</c:v>
                </c:pt>
                <c:pt idx="135">
                  <c:v>240.76</c:v>
                </c:pt>
                <c:pt idx="136">
                  <c:v>241.8</c:v>
                </c:pt>
                <c:pt idx="137">
                  <c:v>232.32</c:v>
                </c:pt>
                <c:pt idx="138">
                  <c:v>222.56</c:v>
                </c:pt>
                <c:pt idx="139">
                  <c:v>211.53</c:v>
                </c:pt>
                <c:pt idx="140">
                  <c:v>214.93</c:v>
                </c:pt>
                <c:pt idx="141">
                  <c:v>208.92</c:v>
                </c:pt>
                <c:pt idx="142">
                  <c:v>208.69</c:v>
                </c:pt>
                <c:pt idx="143">
                  <c:v>208.96</c:v>
                </c:pt>
                <c:pt idx="144">
                  <c:v>207.28</c:v>
                </c:pt>
                <c:pt idx="145">
                  <c:v>207.61</c:v>
                </c:pt>
                <c:pt idx="146">
                  <c:v>208.29</c:v>
                </c:pt>
                <c:pt idx="147">
                  <c:v>204.66</c:v>
                </c:pt>
                <c:pt idx="148">
                  <c:v>211.17</c:v>
                </c:pt>
                <c:pt idx="149">
                  <c:v>215.21</c:v>
                </c:pt>
                <c:pt idx="150">
                  <c:v>220.28</c:v>
                </c:pt>
                <c:pt idx="151">
                  <c:v>216.22</c:v>
                </c:pt>
                <c:pt idx="152">
                  <c:v>217.91</c:v>
                </c:pt>
                <c:pt idx="153">
                  <c:v>219.58</c:v>
                </c:pt>
                <c:pt idx="154">
                  <c:v>225.12</c:v>
                </c:pt>
                <c:pt idx="155">
                  <c:v>223.04</c:v>
                </c:pt>
                <c:pt idx="156">
                  <c:v>223.23</c:v>
                </c:pt>
                <c:pt idx="157">
                  <c:v>219.56</c:v>
                </c:pt>
                <c:pt idx="158">
                  <c:v>218.96</c:v>
                </c:pt>
                <c:pt idx="159">
                  <c:v>218.99</c:v>
                </c:pt>
                <c:pt idx="160">
                  <c:v>220.68</c:v>
                </c:pt>
                <c:pt idx="161">
                  <c:v>232.34</c:v>
                </c:pt>
                <c:pt idx="162">
                  <c:v>235.52</c:v>
                </c:pt>
                <c:pt idx="163">
                  <c:v>229.36</c:v>
                </c:pt>
                <c:pt idx="164">
                  <c:v>218.79</c:v>
                </c:pt>
                <c:pt idx="165">
                  <c:v>217.87</c:v>
                </c:pt>
                <c:pt idx="166">
                  <c:v>214.96</c:v>
                </c:pt>
                <c:pt idx="167">
                  <c:v>217.7</c:v>
                </c:pt>
                <c:pt idx="168">
                  <c:v>217.93</c:v>
                </c:pt>
                <c:pt idx="169">
                  <c:v>215.47</c:v>
                </c:pt>
                <c:pt idx="170">
                  <c:v>219.7</c:v>
                </c:pt>
                <c:pt idx="171">
                  <c:v>219.61</c:v>
                </c:pt>
                <c:pt idx="172">
                  <c:v>196.66</c:v>
                </c:pt>
                <c:pt idx="173">
                  <c:v>196.4</c:v>
                </c:pt>
                <c:pt idx="174">
                  <c:v>193.15</c:v>
                </c:pt>
                <c:pt idx="175">
                  <c:v>198.55</c:v>
                </c:pt>
                <c:pt idx="176">
                  <c:v>201.79</c:v>
                </c:pt>
                <c:pt idx="177">
                  <c:v>210.19</c:v>
                </c:pt>
                <c:pt idx="178">
                  <c:v>212.28</c:v>
                </c:pt>
                <c:pt idx="179">
                  <c:v>216.5</c:v>
                </c:pt>
                <c:pt idx="180">
                  <c:v>213.98</c:v>
                </c:pt>
                <c:pt idx="181">
                  <c:v>214.44</c:v>
                </c:pt>
                <c:pt idx="182">
                  <c:v>215.94</c:v>
                </c:pt>
                <c:pt idx="183">
                  <c:v>216.78</c:v>
                </c:pt>
                <c:pt idx="184">
                  <c:v>224.78</c:v>
                </c:pt>
                <c:pt idx="185">
                  <c:v>224.65</c:v>
                </c:pt>
                <c:pt idx="186">
                  <c:v>222.53</c:v>
                </c:pt>
                <c:pt idx="187">
                  <c:v>221.53</c:v>
                </c:pt>
                <c:pt idx="188">
                  <c:v>220.4</c:v>
                </c:pt>
                <c:pt idx="189">
                  <c:v>226.25</c:v>
                </c:pt>
                <c:pt idx="190">
                  <c:v>225.26</c:v>
                </c:pt>
                <c:pt idx="191">
                  <c:v>228.36</c:v>
                </c:pt>
                <c:pt idx="192">
                  <c:v>220.5</c:v>
                </c:pt>
                <c:pt idx="193">
                  <c:v>222.27</c:v>
                </c:pt>
                <c:pt idx="194">
                  <c:v>230.01</c:v>
                </c:pt>
                <c:pt idx="195">
                  <c:v>229.51</c:v>
                </c:pt>
                <c:pt idx="196">
                  <c:v>228.49</c:v>
                </c:pt>
                <c:pt idx="197">
                  <c:v>230.61</c:v>
                </c:pt>
                <c:pt idx="198">
                  <c:v>234.79</c:v>
                </c:pt>
                <c:pt idx="199">
                  <c:v>230.01</c:v>
                </c:pt>
                <c:pt idx="200">
                  <c:v>227.2</c:v>
                </c:pt>
                <c:pt idx="201">
                  <c:v>225.79</c:v>
                </c:pt>
                <c:pt idx="202">
                  <c:v>230.61</c:v>
                </c:pt>
                <c:pt idx="203">
                  <c:v>230.03</c:v>
                </c:pt>
                <c:pt idx="204">
                  <c:v>226.16</c:v>
                </c:pt>
                <c:pt idx="205">
                  <c:v>229.08</c:v>
                </c:pt>
                <c:pt idx="206">
                  <c:v>225.65</c:v>
                </c:pt>
                <c:pt idx="207">
                  <c:v>224.91</c:v>
                </c:pt>
                <c:pt idx="208">
                  <c:v>225.61</c:v>
                </c:pt>
                <c:pt idx="209">
                  <c:v>225.59</c:v>
                </c:pt>
                <c:pt idx="210">
                  <c:v>223.61</c:v>
                </c:pt>
                <c:pt idx="211">
                  <c:v>223.24</c:v>
                </c:pt>
                <c:pt idx="212">
                  <c:v>223.51</c:v>
                </c:pt>
                <c:pt idx="213">
                  <c:v>225</c:v>
                </c:pt>
                <c:pt idx="214">
                  <c:v>222.93</c:v>
                </c:pt>
                <c:pt idx="215">
                  <c:v>224.84</c:v>
                </c:pt>
                <c:pt idx="216">
                  <c:v>222.62</c:v>
                </c:pt>
                <c:pt idx="217">
                  <c:v>220.96</c:v>
                </c:pt>
                <c:pt idx="218">
                  <c:v>219.99</c:v>
                </c:pt>
                <c:pt idx="219">
                  <c:v>215.2</c:v>
                </c:pt>
                <c:pt idx="220">
                  <c:v>211.34</c:v>
                </c:pt>
                <c:pt idx="221">
                  <c:v>212.01</c:v>
                </c:pt>
                <c:pt idx="222">
                  <c:v>200.77</c:v>
                </c:pt>
                <c:pt idx="223">
                  <c:v>197.78</c:v>
                </c:pt>
                <c:pt idx="224">
                  <c:v>202.83</c:v>
                </c:pt>
                <c:pt idx="225">
                  <c:v>201.71</c:v>
                </c:pt>
                <c:pt idx="226">
                  <c:v>197.36</c:v>
                </c:pt>
                <c:pt idx="227">
                  <c:v>194.47</c:v>
                </c:pt>
                <c:pt idx="228">
                  <c:v>198.3</c:v>
                </c:pt>
                <c:pt idx="229">
                  <c:v>196.05</c:v>
                </c:pt>
                <c:pt idx="230">
                  <c:v>196.41</c:v>
                </c:pt>
                <c:pt idx="231">
                  <c:v>200.42</c:v>
                </c:pt>
                <c:pt idx="232">
                  <c:v>205.4</c:v>
                </c:pt>
                <c:pt idx="233">
                  <c:v>206.34</c:v>
                </c:pt>
                <c:pt idx="234">
                  <c:v>204.64</c:v>
                </c:pt>
                <c:pt idx="235">
                  <c:v>205.22</c:v>
                </c:pt>
                <c:pt idx="236">
                  <c:v>206.43</c:v>
                </c:pt>
                <c:pt idx="237">
                  <c:v>207.45</c:v>
                </c:pt>
                <c:pt idx="238">
                  <c:v>208.99</c:v>
                </c:pt>
                <c:pt idx="239">
                  <c:v>205.81</c:v>
                </c:pt>
                <c:pt idx="240">
                  <c:v>206.27</c:v>
                </c:pt>
                <c:pt idx="241">
                  <c:v>200.7</c:v>
                </c:pt>
                <c:pt idx="242">
                  <c:v>204.03</c:v>
                </c:pt>
                <c:pt idx="243">
                  <c:v>213.7</c:v>
                </c:pt>
                <c:pt idx="244">
                  <c:v>211.41</c:v>
                </c:pt>
                <c:pt idx="245">
                  <c:v>208.46</c:v>
                </c:pt>
                <c:pt idx="246">
                  <c:v>201</c:v>
                </c:pt>
                <c:pt idx="247">
                  <c:v>196.61</c:v>
                </c:pt>
                <c:pt idx="248">
                  <c:v>200.95</c:v>
                </c:pt>
                <c:pt idx="249">
                  <c:v>200.1</c:v>
                </c:pt>
                <c:pt idx="250">
                  <c:v>201.51</c:v>
                </c:pt>
                <c:pt idx="251">
                  <c:v>200.24</c:v>
                </c:pt>
                <c:pt idx="252">
                  <c:v>196.51</c:v>
                </c:pt>
                <c:pt idx="253">
                  <c:v>193.96</c:v>
                </c:pt>
                <c:pt idx="254">
                  <c:v>199.1</c:v>
                </c:pt>
                <c:pt idx="255">
                  <c:v>203.56</c:v>
                </c:pt>
                <c:pt idx="256">
                  <c:v>199.1</c:v>
                </c:pt>
                <c:pt idx="257">
                  <c:v>200.09</c:v>
                </c:pt>
                <c:pt idx="258">
                  <c:v>202.76</c:v>
                </c:pt>
                <c:pt idx="259">
                  <c:v>202.34</c:v>
                </c:pt>
                <c:pt idx="260">
                  <c:v>202.24</c:v>
                </c:pt>
                <c:pt idx="261">
                  <c:v>204.01</c:v>
                </c:pt>
                <c:pt idx="262">
                  <c:v>199.97</c:v>
                </c:pt>
                <c:pt idx="263">
                  <c:v>197.73</c:v>
                </c:pt>
                <c:pt idx="264">
                  <c:v>190.79</c:v>
                </c:pt>
                <c:pt idx="265">
                  <c:v>188.02</c:v>
                </c:pt>
                <c:pt idx="266">
                  <c:v>187.42</c:v>
                </c:pt>
                <c:pt idx="267">
                  <c:v>190.56</c:v>
                </c:pt>
                <c:pt idx="268">
                  <c:v>193.21</c:v>
                </c:pt>
                <c:pt idx="269">
                  <c:v>194.94</c:v>
                </c:pt>
                <c:pt idx="270">
                  <c:v>190.06</c:v>
                </c:pt>
                <c:pt idx="271">
                  <c:v>185.35</c:v>
                </c:pt>
                <c:pt idx="272">
                  <c:v>188.56</c:v>
                </c:pt>
                <c:pt idx="273">
                  <c:v>181.45</c:v>
                </c:pt>
                <c:pt idx="274">
                  <c:v>183.77</c:v>
                </c:pt>
                <c:pt idx="275">
                  <c:v>183.93</c:v>
                </c:pt>
                <c:pt idx="276">
                  <c:v>188.66</c:v>
                </c:pt>
                <c:pt idx="277">
                  <c:v>185.02</c:v>
                </c:pt>
                <c:pt idx="278">
                  <c:v>184.52</c:v>
                </c:pt>
                <c:pt idx="279">
                  <c:v>191.17</c:v>
                </c:pt>
                <c:pt idx="280">
                  <c:v>193.14</c:v>
                </c:pt>
                <c:pt idx="281">
                  <c:v>196.65</c:v>
                </c:pt>
                <c:pt idx="282">
                  <c:v>196.12</c:v>
                </c:pt>
                <c:pt idx="283">
                  <c:v>189.57</c:v>
                </c:pt>
                <c:pt idx="284">
                  <c:v>189.4</c:v>
                </c:pt>
                <c:pt idx="285">
                  <c:v>181.88</c:v>
                </c:pt>
                <c:pt idx="286">
                  <c:v>181.47</c:v>
                </c:pt>
                <c:pt idx="287">
                  <c:v>186.8</c:v>
                </c:pt>
                <c:pt idx="288">
                  <c:v>185.85</c:v>
                </c:pt>
                <c:pt idx="289">
                  <c:v>193.15</c:v>
                </c:pt>
                <c:pt idx="290">
                  <c:v>192.29</c:v>
                </c:pt>
                <c:pt idx="291">
                  <c:v>192.18</c:v>
                </c:pt>
                <c:pt idx="292">
                  <c:v>192.43</c:v>
                </c:pt>
                <c:pt idx="293">
                  <c:v>198.15</c:v>
                </c:pt>
                <c:pt idx="294">
                  <c:v>198.69</c:v>
                </c:pt>
                <c:pt idx="295">
                  <c:v>197.58</c:v>
                </c:pt>
                <c:pt idx="296">
                  <c:v>202.49</c:v>
                </c:pt>
                <c:pt idx="297">
                  <c:v>202.73</c:v>
                </c:pt>
                <c:pt idx="298">
                  <c:v>208.79</c:v>
                </c:pt>
                <c:pt idx="299">
                  <c:v>207.7</c:v>
                </c:pt>
                <c:pt idx="300">
                  <c:v>208.45</c:v>
                </c:pt>
                <c:pt idx="301">
                  <c:v>213.34</c:v>
                </c:pt>
                <c:pt idx="302">
                  <c:v>219.53</c:v>
                </c:pt>
                <c:pt idx="303">
                  <c:v>219.74</c:v>
                </c:pt>
                <c:pt idx="304">
                  <c:v>214.68</c:v>
                </c:pt>
                <c:pt idx="305">
                  <c:v>213.69</c:v>
                </c:pt>
                <c:pt idx="306">
                  <c:v>216.99</c:v>
                </c:pt>
                <c:pt idx="307">
                  <c:v>226.99</c:v>
                </c:pt>
                <c:pt idx="308">
                  <c:v>226.75</c:v>
                </c:pt>
                <c:pt idx="309">
                  <c:v>229.01</c:v>
                </c:pt>
                <c:pt idx="310">
                  <c:v>231.28</c:v>
                </c:pt>
                <c:pt idx="311">
                  <c:v>229.87</c:v>
                </c:pt>
                <c:pt idx="312">
                  <c:v>229.73</c:v>
                </c:pt>
                <c:pt idx="313">
                  <c:v>229.59</c:v>
                </c:pt>
                <c:pt idx="314">
                  <c:v>237.75</c:v>
                </c:pt>
                <c:pt idx="315">
                  <c:v>235.58</c:v>
                </c:pt>
                <c:pt idx="316">
                  <c:v>238.36</c:v>
                </c:pt>
                <c:pt idx="317">
                  <c:v>243.76</c:v>
                </c:pt>
                <c:pt idx="318">
                  <c:v>244.73</c:v>
                </c:pt>
                <c:pt idx="319">
                  <c:v>248.92</c:v>
                </c:pt>
                <c:pt idx="320">
                  <c:v>254.61</c:v>
                </c:pt>
                <c:pt idx="321">
                  <c:v>254.47</c:v>
                </c:pt>
                <c:pt idx="322">
                  <c:v>252.51</c:v>
                </c:pt>
                <c:pt idx="323">
                  <c:v>252.95</c:v>
                </c:pt>
                <c:pt idx="324">
                  <c:v>250.63</c:v>
                </c:pt>
                <c:pt idx="325">
                  <c:v>251.93</c:v>
                </c:pt>
                <c:pt idx="326">
                  <c:v>249.24</c:v>
                </c:pt>
                <c:pt idx="327">
                  <c:v>251.55</c:v>
                </c:pt>
                <c:pt idx="328">
                  <c:v>251.33</c:v>
                </c:pt>
                <c:pt idx="329">
                  <c:v>257.77</c:v>
                </c:pt>
                <c:pt idx="330">
                  <c:v>257.48</c:v>
                </c:pt>
                <c:pt idx="331">
                  <c:v>262.08</c:v>
                </c:pt>
                <c:pt idx="332">
                  <c:v>269.2</c:v>
                </c:pt>
                <c:pt idx="333">
                  <c:v>269.23</c:v>
                </c:pt>
                <c:pt idx="334">
                  <c:v>280.60000000000002</c:v>
                </c:pt>
                <c:pt idx="335">
                  <c:v>280.98</c:v>
                </c:pt>
                <c:pt idx="336">
                  <c:v>279.76</c:v>
                </c:pt>
                <c:pt idx="337">
                  <c:v>268.95</c:v>
                </c:pt>
                <c:pt idx="338">
                  <c:v>272.23</c:v>
                </c:pt>
                <c:pt idx="339">
                  <c:v>277.39</c:v>
                </c:pt>
                <c:pt idx="340">
                  <c:v>273.51</c:v>
                </c:pt>
                <c:pt idx="341">
                  <c:v>255.99</c:v>
                </c:pt>
                <c:pt idx="342">
                  <c:v>257</c:v>
                </c:pt>
                <c:pt idx="343">
                  <c:v>246.23</c:v>
                </c:pt>
                <c:pt idx="344">
                  <c:v>249.99</c:v>
                </c:pt>
                <c:pt idx="345">
                  <c:v>250.02</c:v>
                </c:pt>
                <c:pt idx="346">
                  <c:v>250.48</c:v>
                </c:pt>
                <c:pt idx="347">
                  <c:v>251.57</c:v>
                </c:pt>
                <c:pt idx="348">
                  <c:v>251.21</c:v>
                </c:pt>
                <c:pt idx="349">
                  <c:v>248.59</c:v>
                </c:pt>
                <c:pt idx="350">
                  <c:v>246.87</c:v>
                </c:pt>
                <c:pt idx="351">
                  <c:v>244.9</c:v>
                </c:pt>
                <c:pt idx="352">
                  <c:v>243.69</c:v>
                </c:pt>
                <c:pt idx="353">
                  <c:v>246.17</c:v>
                </c:pt>
                <c:pt idx="354">
                  <c:v>258</c:v>
                </c:pt>
                <c:pt idx="355">
                  <c:v>255.73</c:v>
                </c:pt>
                <c:pt idx="356">
                  <c:v>262.05</c:v>
                </c:pt>
                <c:pt idx="357">
                  <c:v>261.5</c:v>
                </c:pt>
                <c:pt idx="358">
                  <c:v>261.92</c:v>
                </c:pt>
                <c:pt idx="359">
                  <c:v>250.68</c:v>
                </c:pt>
                <c:pt idx="360">
                  <c:v>255.01</c:v>
                </c:pt>
                <c:pt idx="361">
                  <c:v>254.78</c:v>
                </c:pt>
                <c:pt idx="362">
                  <c:v>263.16000000000003</c:v>
                </c:pt>
                <c:pt idx="363">
                  <c:v>270.22000000000003</c:v>
                </c:pt>
                <c:pt idx="364">
                  <c:v>277.45</c:v>
                </c:pt>
                <c:pt idx="365">
                  <c:v>277.38</c:v>
                </c:pt>
                <c:pt idx="366">
                  <c:v>277.92</c:v>
                </c:pt>
                <c:pt idx="367">
                  <c:v>278.3</c:v>
                </c:pt>
                <c:pt idx="368">
                  <c:v>298.52</c:v>
                </c:pt>
                <c:pt idx="369">
                  <c:v>303.7</c:v>
                </c:pt>
                <c:pt idx="370">
                  <c:v>295</c:v>
                </c:pt>
                <c:pt idx="371">
                  <c:v>298.7</c:v>
                </c:pt>
                <c:pt idx="372">
                  <c:v>302.54000000000002</c:v>
                </c:pt>
                <c:pt idx="373">
                  <c:v>312.39</c:v>
                </c:pt>
                <c:pt idx="374">
                  <c:v>308.70999999999998</c:v>
                </c:pt>
                <c:pt idx="375">
                  <c:v>296.83999999999997</c:v>
                </c:pt>
                <c:pt idx="376">
                  <c:v>304</c:v>
                </c:pt>
                <c:pt idx="377">
                  <c:v>301.44</c:v>
                </c:pt>
                <c:pt idx="378">
                  <c:v>300.25</c:v>
                </c:pt>
                <c:pt idx="379">
                  <c:v>305.52</c:v>
                </c:pt>
                <c:pt idx="380">
                  <c:v>302.51</c:v>
                </c:pt>
                <c:pt idx="381">
                  <c:v>305.60000000000002</c:v>
                </c:pt>
                <c:pt idx="382">
                  <c:v>308.02999999999997</c:v>
                </c:pt>
                <c:pt idx="383">
                  <c:v>313.79000000000002</c:v>
                </c:pt>
                <c:pt idx="384">
                  <c:v>310.17</c:v>
                </c:pt>
                <c:pt idx="385">
                  <c:v>308.63</c:v>
                </c:pt>
                <c:pt idx="386">
                  <c:v>314.07</c:v>
                </c:pt>
                <c:pt idx="387">
                  <c:v>322.83</c:v>
                </c:pt>
                <c:pt idx="388">
                  <c:v>318.89</c:v>
                </c:pt>
                <c:pt idx="389">
                  <c:v>311.02</c:v>
                </c:pt>
                <c:pt idx="390">
                  <c:v>295.45999999999998</c:v>
                </c:pt>
                <c:pt idx="391">
                  <c:v>308.35000000000002</c:v>
                </c:pt>
                <c:pt idx="392">
                  <c:v>307.19</c:v>
                </c:pt>
                <c:pt idx="393">
                  <c:v>321.26</c:v>
                </c:pt>
                <c:pt idx="394">
                  <c:v>325.22000000000003</c:v>
                </c:pt>
                <c:pt idx="395">
                  <c:v>323.10000000000002</c:v>
                </c:pt>
                <c:pt idx="396">
                  <c:v>324.81</c:v>
                </c:pt>
                <c:pt idx="397">
                  <c:v>315.88</c:v>
                </c:pt>
                <c:pt idx="398">
                  <c:v>317.01</c:v>
                </c:pt>
                <c:pt idx="399">
                  <c:v>306.11</c:v>
                </c:pt>
                <c:pt idx="400">
                  <c:v>313.06</c:v>
                </c:pt>
                <c:pt idx="401">
                  <c:v>310.83</c:v>
                </c:pt>
                <c:pt idx="402">
                  <c:v>310.35000000000002</c:v>
                </c:pt>
                <c:pt idx="403">
                  <c:v>303.86</c:v>
                </c:pt>
                <c:pt idx="404">
                  <c:v>310.22000000000003</c:v>
                </c:pt>
                <c:pt idx="405">
                  <c:v>316.83</c:v>
                </c:pt>
                <c:pt idx="406">
                  <c:v>325.14</c:v>
                </c:pt>
                <c:pt idx="407">
                  <c:v>335.1</c:v>
                </c:pt>
                <c:pt idx="408">
                  <c:v>341.01</c:v>
                </c:pt>
                <c:pt idx="409">
                  <c:v>340.37</c:v>
                </c:pt>
                <c:pt idx="410">
                  <c:v>339.85</c:v>
                </c:pt>
                <c:pt idx="411">
                  <c:v>347.32</c:v>
                </c:pt>
                <c:pt idx="412">
                  <c:v>352.85</c:v>
                </c:pt>
                <c:pt idx="413">
                  <c:v>359.65</c:v>
                </c:pt>
                <c:pt idx="414">
                  <c:v>370</c:v>
                </c:pt>
                <c:pt idx="415">
                  <c:v>357.32</c:v>
                </c:pt>
                <c:pt idx="416">
                  <c:v>359.01</c:v>
                </c:pt>
                <c:pt idx="417">
                  <c:v>375.95</c:v>
                </c:pt>
                <c:pt idx="418">
                  <c:v>380.66</c:v>
                </c:pt>
                <c:pt idx="419">
                  <c:v>375.34</c:v>
                </c:pt>
                <c:pt idx="420">
                  <c:v>371.4</c:v>
                </c:pt>
                <c:pt idx="421">
                  <c:v>369.8</c:v>
                </c:pt>
                <c:pt idx="422">
                  <c:v>372.24</c:v>
                </c:pt>
                <c:pt idx="423">
                  <c:v>376.4</c:v>
                </c:pt>
                <c:pt idx="424">
                  <c:v>382.61</c:v>
                </c:pt>
                <c:pt idx="425">
                  <c:v>383.45</c:v>
                </c:pt>
                <c:pt idx="426">
                  <c:v>377.49</c:v>
                </c:pt>
                <c:pt idx="427">
                  <c:v>362.37</c:v>
                </c:pt>
                <c:pt idx="428">
                  <c:v>371.24</c:v>
                </c:pt>
                <c:pt idx="429">
                  <c:v>360.75</c:v>
                </c:pt>
                <c:pt idx="430">
                  <c:v>361.61</c:v>
                </c:pt>
                <c:pt idx="431">
                  <c:v>352.62</c:v>
                </c:pt>
                <c:pt idx="432">
                  <c:v>327.08999999999997</c:v>
                </c:pt>
                <c:pt idx="433">
                  <c:v>308.83</c:v>
                </c:pt>
                <c:pt idx="434">
                  <c:v>313.22000000000003</c:v>
                </c:pt>
                <c:pt idx="435">
                  <c:v>316.05</c:v>
                </c:pt>
                <c:pt idx="436">
                  <c:v>327.22000000000003</c:v>
                </c:pt>
                <c:pt idx="437">
                  <c:v>329.52</c:v>
                </c:pt>
                <c:pt idx="438">
                  <c:v>323.41000000000003</c:v>
                </c:pt>
                <c:pt idx="439">
                  <c:v>327.78</c:v>
                </c:pt>
                <c:pt idx="440">
                  <c:v>319.57</c:v>
                </c:pt>
                <c:pt idx="441">
                  <c:v>328.24</c:v>
                </c:pt>
                <c:pt idx="442">
                  <c:v>325.26</c:v>
                </c:pt>
                <c:pt idx="443">
                  <c:v>329.92</c:v>
                </c:pt>
                <c:pt idx="444">
                  <c:v>328.4</c:v>
                </c:pt>
                <c:pt idx="445">
                  <c:v>342.52</c:v>
                </c:pt>
                <c:pt idx="446">
                  <c:v>339.6</c:v>
                </c:pt>
                <c:pt idx="447">
                  <c:v>343.85</c:v>
                </c:pt>
                <c:pt idx="448">
                  <c:v>334.46</c:v>
                </c:pt>
                <c:pt idx="449">
                  <c:v>335.07</c:v>
                </c:pt>
                <c:pt idx="450">
                  <c:v>323.47000000000003</c:v>
                </c:pt>
                <c:pt idx="451">
                  <c:v>319.57</c:v>
                </c:pt>
                <c:pt idx="452">
                  <c:v>325.89</c:v>
                </c:pt>
                <c:pt idx="453">
                  <c:v>347.09</c:v>
                </c:pt>
                <c:pt idx="454">
                  <c:v>356.91</c:v>
                </c:pt>
                <c:pt idx="455">
                  <c:v>355.17</c:v>
                </c:pt>
                <c:pt idx="456">
                  <c:v>365.22</c:v>
                </c:pt>
                <c:pt idx="457">
                  <c:v>363.53</c:v>
                </c:pt>
                <c:pt idx="458">
                  <c:v>355.4</c:v>
                </c:pt>
                <c:pt idx="459">
                  <c:v>357.87</c:v>
                </c:pt>
                <c:pt idx="460">
                  <c:v>363.8</c:v>
                </c:pt>
                <c:pt idx="461">
                  <c:v>362.33</c:v>
                </c:pt>
                <c:pt idx="462">
                  <c:v>362.91</c:v>
                </c:pt>
                <c:pt idx="463">
                  <c:v>351.92</c:v>
                </c:pt>
                <c:pt idx="464">
                  <c:v>347.46</c:v>
                </c:pt>
                <c:pt idx="465">
                  <c:v>337.86</c:v>
                </c:pt>
                <c:pt idx="466">
                  <c:v>341.35</c:v>
                </c:pt>
                <c:pt idx="467">
                  <c:v>352.77</c:v>
                </c:pt>
                <c:pt idx="468">
                  <c:v>352.93</c:v>
                </c:pt>
                <c:pt idx="469">
                  <c:v>348.05</c:v>
                </c:pt>
                <c:pt idx="470">
                  <c:v>345.66</c:v>
                </c:pt>
                <c:pt idx="471">
                  <c:v>347.36</c:v>
                </c:pt>
                <c:pt idx="472">
                  <c:v>353.18</c:v>
                </c:pt>
                <c:pt idx="473">
                  <c:v>355.9</c:v>
                </c:pt>
                <c:pt idx="474">
                  <c:v>355.4</c:v>
                </c:pt>
                <c:pt idx="475">
                  <c:v>349.59</c:v>
                </c:pt>
                <c:pt idx="476">
                  <c:v>344.53</c:v>
                </c:pt>
                <c:pt idx="477">
                  <c:v>350.61</c:v>
                </c:pt>
                <c:pt idx="478">
                  <c:v>343.4</c:v>
                </c:pt>
                <c:pt idx="479">
                  <c:v>363.69</c:v>
                </c:pt>
                <c:pt idx="480">
                  <c:v>362.75</c:v>
                </c:pt>
                <c:pt idx="481">
                  <c:v>366.23</c:v>
                </c:pt>
                <c:pt idx="482">
                  <c:v>377.64</c:v>
                </c:pt>
                <c:pt idx="483">
                  <c:v>379.81</c:v>
                </c:pt>
                <c:pt idx="484">
                  <c:v>385</c:v>
                </c:pt>
                <c:pt idx="485">
                  <c:v>375.1</c:v>
                </c:pt>
                <c:pt idx="486">
                  <c:v>373.91</c:v>
                </c:pt>
                <c:pt idx="487">
                  <c:v>366.48</c:v>
                </c:pt>
                <c:pt idx="488">
                  <c:v>351.09</c:v>
                </c:pt>
                <c:pt idx="489">
                  <c:v>344.99</c:v>
                </c:pt>
                <c:pt idx="490">
                  <c:v>345.25</c:v>
                </c:pt>
                <c:pt idx="491">
                  <c:v>340.97</c:v>
                </c:pt>
                <c:pt idx="492">
                  <c:v>339.6</c:v>
                </c:pt>
                <c:pt idx="493">
                  <c:v>341.1</c:v>
                </c:pt>
                <c:pt idx="494">
                  <c:v>341.53</c:v>
                </c:pt>
                <c:pt idx="495">
                  <c:v>348.14</c:v>
                </c:pt>
                <c:pt idx="496">
                  <c:v>355.01</c:v>
                </c:pt>
                <c:pt idx="497">
                  <c:v>355.33</c:v>
                </c:pt>
                <c:pt idx="498">
                  <c:v>356.88</c:v>
                </c:pt>
                <c:pt idx="499">
                  <c:v>342.94</c:v>
                </c:pt>
                <c:pt idx="500">
                  <c:v>355.59</c:v>
                </c:pt>
                <c:pt idx="501">
                  <c:v>354.6</c:v>
                </c:pt>
                <c:pt idx="502">
                  <c:v>355.68</c:v>
                </c:pt>
                <c:pt idx="503">
                  <c:v>355.57</c:v>
                </c:pt>
                <c:pt idx="504">
                  <c:v>350.6</c:v>
                </c:pt>
                <c:pt idx="505">
                  <c:v>355.75</c:v>
                </c:pt>
                <c:pt idx="506">
                  <c:v>359.65</c:v>
                </c:pt>
                <c:pt idx="507">
                  <c:v>351.81</c:v>
                </c:pt>
                <c:pt idx="508">
                  <c:v>345.1</c:v>
                </c:pt>
                <c:pt idx="509">
                  <c:v>337.02</c:v>
                </c:pt>
                <c:pt idx="510">
                  <c:v>337.34</c:v>
                </c:pt>
                <c:pt idx="511">
                  <c:v>325.83999999999997</c:v>
                </c:pt>
                <c:pt idx="512">
                  <c:v>326.17</c:v>
                </c:pt>
                <c:pt idx="513">
                  <c:v>320.87</c:v>
                </c:pt>
                <c:pt idx="514">
                  <c:v>320.08</c:v>
                </c:pt>
                <c:pt idx="515">
                  <c:v>331.53</c:v>
                </c:pt>
                <c:pt idx="516">
                  <c:v>321.08</c:v>
                </c:pt>
                <c:pt idx="517">
                  <c:v>299.26</c:v>
                </c:pt>
                <c:pt idx="518">
                  <c:v>306.08999999999997</c:v>
                </c:pt>
                <c:pt idx="519">
                  <c:v>302.77999999999997</c:v>
                </c:pt>
                <c:pt idx="520">
                  <c:v>306.05</c:v>
                </c:pt>
                <c:pt idx="521">
                  <c:v>304.39</c:v>
                </c:pt>
                <c:pt idx="522">
                  <c:v>302.99</c:v>
                </c:pt>
                <c:pt idx="523">
                  <c:v>302.99</c:v>
                </c:pt>
                <c:pt idx="524">
                  <c:v>315.39999999999998</c:v>
                </c:pt>
                <c:pt idx="525">
                  <c:v>308.7</c:v>
                </c:pt>
                <c:pt idx="526">
                  <c:v>311.3</c:v>
                </c:pt>
                <c:pt idx="527">
                  <c:v>312.5</c:v>
                </c:pt>
                <c:pt idx="528">
                  <c:v>315.05</c:v>
                </c:pt>
                <c:pt idx="529">
                  <c:v>308.74</c:v>
                </c:pt>
                <c:pt idx="530">
                  <c:v>317.81</c:v>
                </c:pt>
                <c:pt idx="531">
                  <c:v>312.60000000000002</c:v>
                </c:pt>
                <c:pt idx="532">
                  <c:v>315.55</c:v>
                </c:pt>
                <c:pt idx="533">
                  <c:v>316.81</c:v>
                </c:pt>
                <c:pt idx="534">
                  <c:v>317.55</c:v>
                </c:pt>
                <c:pt idx="535">
                  <c:v>307.54000000000002</c:v>
                </c:pt>
                <c:pt idx="536">
                  <c:v>308.85000000000002</c:v>
                </c:pt>
                <c:pt idx="537">
                  <c:v>306.52999999999997</c:v>
                </c:pt>
                <c:pt idx="538">
                  <c:v>305.2</c:v>
                </c:pt>
                <c:pt idx="539">
                  <c:v>303.7</c:v>
                </c:pt>
                <c:pt idx="540">
                  <c:v>313.26</c:v>
                </c:pt>
                <c:pt idx="541">
                  <c:v>311.24</c:v>
                </c:pt>
                <c:pt idx="542">
                  <c:v>315.13</c:v>
                </c:pt>
                <c:pt idx="543">
                  <c:v>328.91</c:v>
                </c:pt>
                <c:pt idx="544">
                  <c:v>341.03</c:v>
                </c:pt>
                <c:pt idx="545">
                  <c:v>339.03</c:v>
                </c:pt>
                <c:pt idx="546">
                  <c:v>337.89</c:v>
                </c:pt>
                <c:pt idx="547">
                  <c:v>343.45</c:v>
                </c:pt>
                <c:pt idx="548">
                  <c:v>338.87</c:v>
                </c:pt>
                <c:pt idx="549">
                  <c:v>331.1</c:v>
                </c:pt>
                <c:pt idx="550">
                  <c:v>328.98</c:v>
                </c:pt>
                <c:pt idx="551">
                  <c:v>331.66</c:v>
                </c:pt>
                <c:pt idx="552">
                  <c:v>325.2</c:v>
                </c:pt>
                <c:pt idx="553">
                  <c:v>317.29000000000002</c:v>
                </c:pt>
                <c:pt idx="554">
                  <c:v>311.64</c:v>
                </c:pt>
                <c:pt idx="555">
                  <c:v>315.36</c:v>
                </c:pt>
                <c:pt idx="556">
                  <c:v>311.35000000000002</c:v>
                </c:pt>
                <c:pt idx="557">
                  <c:v>320.52999999999997</c:v>
                </c:pt>
                <c:pt idx="558">
                  <c:v>317.25</c:v>
                </c:pt>
                <c:pt idx="559">
                  <c:v>314.62</c:v>
                </c:pt>
                <c:pt idx="560">
                  <c:v>316.58</c:v>
                </c:pt>
                <c:pt idx="561">
                  <c:v>336.41</c:v>
                </c:pt>
                <c:pt idx="562">
                  <c:v>333.69</c:v>
                </c:pt>
                <c:pt idx="563">
                  <c:v>334.8</c:v>
                </c:pt>
                <c:pt idx="564">
                  <c:v>337.95</c:v>
                </c:pt>
                <c:pt idx="565">
                  <c:v>336.22</c:v>
                </c:pt>
                <c:pt idx="566">
                  <c:v>340.06</c:v>
                </c:pt>
                <c:pt idx="567">
                  <c:v>347.16</c:v>
                </c:pt>
                <c:pt idx="568">
                  <c:v>344.57</c:v>
                </c:pt>
                <c:pt idx="569">
                  <c:v>350.02</c:v>
                </c:pt>
                <c:pt idx="570">
                  <c:v>351.56</c:v>
                </c:pt>
                <c:pt idx="571">
                  <c:v>352.79</c:v>
                </c:pt>
                <c:pt idx="572">
                  <c:v>345.89</c:v>
                </c:pt>
                <c:pt idx="573">
                  <c:v>337.64</c:v>
                </c:pt>
                <c:pt idx="574">
                  <c:v>342.85</c:v>
                </c:pt>
                <c:pt idx="575">
                  <c:v>349.53</c:v>
                </c:pt>
                <c:pt idx="576">
                  <c:v>345.82</c:v>
                </c:pt>
                <c:pt idx="577">
                  <c:v>354.31</c:v>
                </c:pt>
                <c:pt idx="578">
                  <c:v>349.25</c:v>
                </c:pt>
                <c:pt idx="579">
                  <c:v>343.75</c:v>
                </c:pt>
                <c:pt idx="580">
                  <c:v>333.13</c:v>
                </c:pt>
                <c:pt idx="581">
                  <c:v>333.97</c:v>
                </c:pt>
                <c:pt idx="582">
                  <c:v>345</c:v>
                </c:pt>
                <c:pt idx="583">
                  <c:v>315.23</c:v>
                </c:pt>
                <c:pt idx="584">
                  <c:v>310.42</c:v>
                </c:pt>
                <c:pt idx="585">
                  <c:v>315.73</c:v>
                </c:pt>
                <c:pt idx="586">
                  <c:v>323.66000000000003</c:v>
                </c:pt>
                <c:pt idx="587">
                  <c:v>322.31</c:v>
                </c:pt>
                <c:pt idx="588">
                  <c:v>334.065</c:v>
                </c:pt>
                <c:pt idx="589">
                  <c:v>335.49</c:v>
                </c:pt>
                <c:pt idx="590">
                  <c:v>334.77</c:v>
                </c:pt>
                <c:pt idx="591">
                  <c:v>333.3</c:v>
                </c:pt>
                <c:pt idx="592">
                  <c:v>346.17</c:v>
                </c:pt>
                <c:pt idx="593">
                  <c:v>352.05</c:v>
                </c:pt>
                <c:pt idx="594">
                  <c:v>357.42</c:v>
                </c:pt>
                <c:pt idx="595">
                  <c:v>350.99</c:v>
                </c:pt>
                <c:pt idx="596">
                  <c:v>343.06</c:v>
                </c:pt>
                <c:pt idx="597">
                  <c:v>330.93</c:v>
                </c:pt>
                <c:pt idx="598">
                  <c:v>335.12</c:v>
                </c:pt>
                <c:pt idx="599">
                  <c:v>333.35</c:v>
                </c:pt>
                <c:pt idx="600">
                  <c:v>328.2</c:v>
                </c:pt>
                <c:pt idx="601">
                  <c:v>332.3</c:v>
                </c:pt>
                <c:pt idx="602">
                  <c:v>329.1</c:v>
                </c:pt>
                <c:pt idx="603">
                  <c:v>327.17</c:v>
                </c:pt>
                <c:pt idx="604">
                  <c:v>345.51</c:v>
                </c:pt>
                <c:pt idx="605">
                  <c:v>341.84</c:v>
                </c:pt>
                <c:pt idx="606">
                  <c:v>326.63</c:v>
                </c:pt>
                <c:pt idx="607">
                  <c:v>325.60000000000002</c:v>
                </c:pt>
                <c:pt idx="608">
                  <c:v>321.35000000000002</c:v>
                </c:pt>
                <c:pt idx="609">
                  <c:v>313.56</c:v>
                </c:pt>
                <c:pt idx="610">
                  <c:v>310.55</c:v>
                </c:pt>
                <c:pt idx="611">
                  <c:v>316.52999999999997</c:v>
                </c:pt>
                <c:pt idx="612">
                  <c:v>309.10000000000002</c:v>
                </c:pt>
                <c:pt idx="613">
                  <c:v>301.54000000000002</c:v>
                </c:pt>
                <c:pt idx="614">
                  <c:v>304.18</c:v>
                </c:pt>
                <c:pt idx="615">
                  <c:v>279.18</c:v>
                </c:pt>
                <c:pt idx="616">
                  <c:v>257.77999999999997</c:v>
                </c:pt>
                <c:pt idx="617">
                  <c:v>266.13</c:v>
                </c:pt>
                <c:pt idx="618">
                  <c:v>252.48</c:v>
                </c:pt>
                <c:pt idx="619">
                  <c:v>267.52999999999997</c:v>
                </c:pt>
                <c:pt idx="620">
                  <c:v>286.94</c:v>
                </c:pt>
                <c:pt idx="621">
                  <c:v>305.72000000000003</c:v>
                </c:pt>
                <c:pt idx="622">
                  <c:v>299.3</c:v>
                </c:pt>
                <c:pt idx="623">
                  <c:v>289.66000000000003</c:v>
                </c:pt>
                <c:pt idx="624">
                  <c:v>304.7</c:v>
                </c:pt>
                <c:pt idx="625">
                  <c:v>300.93</c:v>
                </c:pt>
                <c:pt idx="626">
                  <c:v>294.08</c:v>
                </c:pt>
                <c:pt idx="627">
                  <c:v>300.33999999999997</c:v>
                </c:pt>
                <c:pt idx="628">
                  <c:v>291.20999999999998</c:v>
                </c:pt>
                <c:pt idx="629">
                  <c:v>287.69</c:v>
                </c:pt>
                <c:pt idx="630">
                  <c:v>293.35000000000002</c:v>
                </c:pt>
                <c:pt idx="631">
                  <c:v>300.08</c:v>
                </c:pt>
                <c:pt idx="632">
                  <c:v>290.24</c:v>
                </c:pt>
                <c:pt idx="633">
                  <c:v>283.37</c:v>
                </c:pt>
                <c:pt idx="634">
                  <c:v>283.45999999999998</c:v>
                </c:pt>
                <c:pt idx="635">
                  <c:v>280.69</c:v>
                </c:pt>
                <c:pt idx="636">
                  <c:v>285.48</c:v>
                </c:pt>
                <c:pt idx="637">
                  <c:v>294.07499999999999</c:v>
                </c:pt>
                <c:pt idx="638">
                  <c:v>293.89999999999998</c:v>
                </c:pt>
                <c:pt idx="639">
                  <c:v>299.92</c:v>
                </c:pt>
                <c:pt idx="640">
                  <c:v>301.14999999999998</c:v>
                </c:pt>
                <c:pt idx="641">
                  <c:v>284.45</c:v>
                </c:pt>
                <c:pt idx="642">
                  <c:v>294.08999999999997</c:v>
                </c:pt>
                <c:pt idx="643">
                  <c:v>302.77</c:v>
                </c:pt>
                <c:pt idx="644">
                  <c:v>301.97000000000003</c:v>
                </c:pt>
                <c:pt idx="645">
                  <c:v>306.85000000000002</c:v>
                </c:pt>
                <c:pt idx="646">
                  <c:v>305.02</c:v>
                </c:pt>
                <c:pt idx="647">
                  <c:v>301.06</c:v>
                </c:pt>
                <c:pt idx="648">
                  <c:v>291.97000000000003</c:v>
                </c:pt>
                <c:pt idx="649">
                  <c:v>284.18</c:v>
                </c:pt>
                <c:pt idx="650">
                  <c:v>286.48</c:v>
                </c:pt>
                <c:pt idx="651">
                  <c:v>284.54000000000002</c:v>
                </c:pt>
                <c:pt idx="652">
                  <c:v>276.82</c:v>
                </c:pt>
                <c:pt idx="653">
                  <c:v>284.49</c:v>
                </c:pt>
                <c:pt idx="654">
                  <c:v>275.01</c:v>
                </c:pt>
                <c:pt idx="655">
                  <c:v>279.07</c:v>
                </c:pt>
                <c:pt idx="656">
                  <c:v>277.85000000000002</c:v>
                </c:pt>
                <c:pt idx="657">
                  <c:v>278.85000000000002</c:v>
                </c:pt>
                <c:pt idx="658">
                  <c:v>283.76</c:v>
                </c:pt>
                <c:pt idx="659">
                  <c:v>291.72000000000003</c:v>
                </c:pt>
                <c:pt idx="660">
                  <c:v>284.73</c:v>
                </c:pt>
                <c:pt idx="661">
                  <c:v>291.82</c:v>
                </c:pt>
                <c:pt idx="662">
                  <c:v>296.74</c:v>
                </c:pt>
                <c:pt idx="663">
                  <c:v>291.13</c:v>
                </c:pt>
                <c:pt idx="664">
                  <c:v>319.5</c:v>
                </c:pt>
                <c:pt idx="665">
                  <c:v>316.08999999999997</c:v>
                </c:pt>
                <c:pt idx="666">
                  <c:v>317.66000000000003</c:v>
                </c:pt>
                <c:pt idx="667">
                  <c:v>332.1</c:v>
                </c:pt>
                <c:pt idx="668">
                  <c:v>342.77</c:v>
                </c:pt>
                <c:pt idx="669">
                  <c:v>344.78</c:v>
                </c:pt>
                <c:pt idx="670">
                  <c:v>357.72</c:v>
                </c:pt>
                <c:pt idx="671">
                  <c:v>358.17</c:v>
                </c:pt>
                <c:pt idx="672">
                  <c:v>370.83</c:v>
                </c:pt>
                <c:pt idx="673">
                  <c:v>352.55</c:v>
                </c:pt>
                <c:pt idx="674">
                  <c:v>362.22</c:v>
                </c:pt>
                <c:pt idx="675">
                  <c:v>347.51</c:v>
                </c:pt>
                <c:pt idx="676">
                  <c:v>333.63</c:v>
                </c:pt>
                <c:pt idx="677">
                  <c:v>333.01</c:v>
                </c:pt>
                <c:pt idx="678">
                  <c:v>342</c:v>
                </c:pt>
                <c:pt idx="679">
                  <c:v>344.5</c:v>
                </c:pt>
                <c:pt idx="680">
                  <c:v>349.93</c:v>
                </c:pt>
                <c:pt idx="681">
                  <c:v>342.95</c:v>
                </c:pt>
                <c:pt idx="682">
                  <c:v>335.07</c:v>
                </c:pt>
                <c:pt idx="683">
                  <c:v>310.86</c:v>
                </c:pt>
                <c:pt idx="684">
                  <c:v>309.16000000000003</c:v>
                </c:pt>
                <c:pt idx="685">
                  <c:v>308.89999999999998</c:v>
                </c:pt>
                <c:pt idx="686">
                  <c:v>318.51</c:v>
                </c:pt>
                <c:pt idx="687">
                  <c:v>322.47000000000003</c:v>
                </c:pt>
                <c:pt idx="688">
                  <c:v>318.95999999999998</c:v>
                </c:pt>
                <c:pt idx="689">
                  <c:v>316.70999999999998</c:v>
                </c:pt>
                <c:pt idx="690">
                  <c:v>318.87</c:v>
                </c:pt>
                <c:pt idx="691">
                  <c:v>310.10000000000002</c:v>
                </c:pt>
                <c:pt idx="692">
                  <c:v>322.69</c:v>
                </c:pt>
                <c:pt idx="693">
                  <c:v>323.85000000000002</c:v>
                </c:pt>
                <c:pt idx="694">
                  <c:v>320.23</c:v>
                </c:pt>
                <c:pt idx="695">
                  <c:v>313.58</c:v>
                </c:pt>
                <c:pt idx="696">
                  <c:v>303.2</c:v>
                </c:pt>
                <c:pt idx="697">
                  <c:v>297.43</c:v>
                </c:pt>
                <c:pt idx="698">
                  <c:v>308.74</c:v>
                </c:pt>
                <c:pt idx="699">
                  <c:v>306.64999999999998</c:v>
                </c:pt>
                <c:pt idx="700">
                  <c:v>297.18</c:v>
                </c:pt>
                <c:pt idx="701">
                  <c:v>290.17</c:v>
                </c:pt>
                <c:pt idx="702">
                  <c:v>298.14</c:v>
                </c:pt>
                <c:pt idx="703">
                  <c:v>300.83999999999997</c:v>
                </c:pt>
                <c:pt idx="704">
                  <c:v>349.54</c:v>
                </c:pt>
                <c:pt idx="705">
                  <c:v>348.17</c:v>
                </c:pt>
                <c:pt idx="706">
                  <c:v>341.99</c:v>
                </c:pt>
                <c:pt idx="707">
                  <c:v>379.57</c:v>
                </c:pt>
                <c:pt idx="708">
                  <c:v>370.34</c:v>
                </c:pt>
                <c:pt idx="709">
                  <c:v>352.45</c:v>
                </c:pt>
                <c:pt idx="710">
                  <c:v>355.49</c:v>
                </c:pt>
                <c:pt idx="711">
                  <c:v>356.41</c:v>
                </c:pt>
                <c:pt idx="712">
                  <c:v>347.64</c:v>
                </c:pt>
                <c:pt idx="713">
                  <c:v>338.69</c:v>
                </c:pt>
                <c:pt idx="714">
                  <c:v>335.45</c:v>
                </c:pt>
                <c:pt idx="715">
                  <c:v>305.5</c:v>
                </c:pt>
                <c:pt idx="716">
                  <c:v>308.44</c:v>
                </c:pt>
                <c:pt idx="717">
                  <c:v>321.89999999999998</c:v>
                </c:pt>
                <c:pt idx="718">
                  <c:v>321.64</c:v>
                </c:pt>
                <c:pt idx="719">
                  <c:v>320.10000000000002</c:v>
                </c:pt>
                <c:pt idx="720">
                  <c:v>322.82</c:v>
                </c:pt>
                <c:pt idx="721">
                  <c:v>319.27</c:v>
                </c:pt>
                <c:pt idx="722">
                  <c:v>311.86</c:v>
                </c:pt>
                <c:pt idx="723">
                  <c:v>305.01</c:v>
                </c:pt>
                <c:pt idx="724">
                  <c:v>303.14999999999998</c:v>
                </c:pt>
                <c:pt idx="725">
                  <c:v>301.66000000000003</c:v>
                </c:pt>
                <c:pt idx="726">
                  <c:v>288.95</c:v>
                </c:pt>
                <c:pt idx="727">
                  <c:v>280.74</c:v>
                </c:pt>
                <c:pt idx="728">
                  <c:v>280.95</c:v>
                </c:pt>
                <c:pt idx="729">
                  <c:v>263.24</c:v>
                </c:pt>
                <c:pt idx="730">
                  <c:v>285.5</c:v>
                </c:pt>
                <c:pt idx="731">
                  <c:v>279.44</c:v>
                </c:pt>
                <c:pt idx="732">
                  <c:v>290.54000000000002</c:v>
                </c:pt>
                <c:pt idx="733">
                  <c:v>289.45999999999998</c:v>
                </c:pt>
                <c:pt idx="734">
                  <c:v>295.2</c:v>
                </c:pt>
                <c:pt idx="735">
                  <c:v>294.83999999999997</c:v>
                </c:pt>
                <c:pt idx="736">
                  <c:v>284.95999999999998</c:v>
                </c:pt>
                <c:pt idx="737">
                  <c:v>299.02</c:v>
                </c:pt>
                <c:pt idx="738">
                  <c:v>298.33</c:v>
                </c:pt>
                <c:pt idx="739">
                  <c:v>299.10000000000002</c:v>
                </c:pt>
                <c:pt idx="740">
                  <c:v>299.68</c:v>
                </c:pt>
                <c:pt idx="741">
                  <c:v>300.99</c:v>
                </c:pt>
                <c:pt idx="742">
                  <c:v>309.58</c:v>
                </c:pt>
                <c:pt idx="743">
                  <c:v>307.52</c:v>
                </c:pt>
                <c:pt idx="744">
                  <c:v>264.77</c:v>
                </c:pt>
                <c:pt idx="745">
                  <c:v>310.7</c:v>
                </c:pt>
                <c:pt idx="746">
                  <c:v>301.02</c:v>
                </c:pt>
                <c:pt idx="747">
                  <c:v>294.8</c:v>
                </c:pt>
                <c:pt idx="748">
                  <c:v>281.83</c:v>
                </c:pt>
                <c:pt idx="749">
                  <c:v>261.95</c:v>
                </c:pt>
                <c:pt idx="750">
                  <c:v>250.56</c:v>
                </c:pt>
                <c:pt idx="751">
                  <c:v>262.8</c:v>
                </c:pt>
                <c:pt idx="752">
                  <c:v>256.88</c:v>
                </c:pt>
                <c:pt idx="753">
                  <c:v>252.23</c:v>
                </c:pt>
                <c:pt idx="754">
                  <c:v>258.77999999999997</c:v>
                </c:pt>
                <c:pt idx="755">
                  <c:v>259.58999999999997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EF-426D-B9FC-1101F7003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051007"/>
        <c:axId val="413050591"/>
      </c:scatterChart>
      <c:valAx>
        <c:axId val="312921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20015"/>
        <c:crosses val="autoZero"/>
        <c:crossBetween val="midCat"/>
      </c:valAx>
      <c:valAx>
        <c:axId val="31292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21263"/>
        <c:crosses val="autoZero"/>
        <c:crossBetween val="midCat"/>
      </c:valAx>
      <c:valAx>
        <c:axId val="41305059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051007"/>
        <c:crosses val="max"/>
        <c:crossBetween val="midCat"/>
      </c:valAx>
      <c:valAx>
        <c:axId val="4130510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3050591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portfolio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'tesla-stock-price (3)'!$A$22:$A$759</c:f>
              <c:numCache>
                <c:formatCode>General</c:formatCode>
                <c:ptCount val="738"/>
                <c:pt idx="0">
                  <c:v>42318</c:v>
                </c:pt>
                <c:pt idx="1">
                  <c:v>42319</c:v>
                </c:pt>
                <c:pt idx="2">
                  <c:v>42320</c:v>
                </c:pt>
                <c:pt idx="3">
                  <c:v>42321</c:v>
                </c:pt>
                <c:pt idx="4">
                  <c:v>42324</c:v>
                </c:pt>
                <c:pt idx="5">
                  <c:v>42325</c:v>
                </c:pt>
                <c:pt idx="6">
                  <c:v>42326</c:v>
                </c:pt>
                <c:pt idx="7">
                  <c:v>42327</c:v>
                </c:pt>
                <c:pt idx="8">
                  <c:v>42328</c:v>
                </c:pt>
                <c:pt idx="9">
                  <c:v>42331</c:v>
                </c:pt>
                <c:pt idx="10">
                  <c:v>42332</c:v>
                </c:pt>
                <c:pt idx="11">
                  <c:v>42333</c:v>
                </c:pt>
                <c:pt idx="12">
                  <c:v>42335</c:v>
                </c:pt>
                <c:pt idx="13">
                  <c:v>42338</c:v>
                </c:pt>
                <c:pt idx="14">
                  <c:v>42339</c:v>
                </c:pt>
                <c:pt idx="15">
                  <c:v>42340</c:v>
                </c:pt>
                <c:pt idx="16">
                  <c:v>42341</c:v>
                </c:pt>
                <c:pt idx="17">
                  <c:v>42342</c:v>
                </c:pt>
                <c:pt idx="18">
                  <c:v>42345</c:v>
                </c:pt>
                <c:pt idx="19">
                  <c:v>42346</c:v>
                </c:pt>
                <c:pt idx="20">
                  <c:v>42347</c:v>
                </c:pt>
                <c:pt idx="21">
                  <c:v>42348</c:v>
                </c:pt>
                <c:pt idx="22">
                  <c:v>42349</c:v>
                </c:pt>
                <c:pt idx="23">
                  <c:v>42352</c:v>
                </c:pt>
                <c:pt idx="24">
                  <c:v>42353</c:v>
                </c:pt>
                <c:pt idx="25">
                  <c:v>42354</c:v>
                </c:pt>
                <c:pt idx="26">
                  <c:v>42355</c:v>
                </c:pt>
                <c:pt idx="27">
                  <c:v>42356</c:v>
                </c:pt>
                <c:pt idx="28">
                  <c:v>42359</c:v>
                </c:pt>
                <c:pt idx="29">
                  <c:v>42360</c:v>
                </c:pt>
                <c:pt idx="30">
                  <c:v>42361</c:v>
                </c:pt>
                <c:pt idx="31">
                  <c:v>42362</c:v>
                </c:pt>
                <c:pt idx="32">
                  <c:v>42366</c:v>
                </c:pt>
                <c:pt idx="33">
                  <c:v>42367</c:v>
                </c:pt>
                <c:pt idx="34">
                  <c:v>42368</c:v>
                </c:pt>
                <c:pt idx="35">
                  <c:v>42369</c:v>
                </c:pt>
                <c:pt idx="36">
                  <c:v>42373</c:v>
                </c:pt>
                <c:pt idx="37">
                  <c:v>42374</c:v>
                </c:pt>
                <c:pt idx="38">
                  <c:v>42375</c:v>
                </c:pt>
                <c:pt idx="39">
                  <c:v>42376</c:v>
                </c:pt>
                <c:pt idx="40">
                  <c:v>42377</c:v>
                </c:pt>
                <c:pt idx="41">
                  <c:v>42380</c:v>
                </c:pt>
                <c:pt idx="42">
                  <c:v>42381</c:v>
                </c:pt>
                <c:pt idx="43">
                  <c:v>42382</c:v>
                </c:pt>
                <c:pt idx="44">
                  <c:v>42383</c:v>
                </c:pt>
                <c:pt idx="45">
                  <c:v>42384</c:v>
                </c:pt>
                <c:pt idx="46">
                  <c:v>42388</c:v>
                </c:pt>
                <c:pt idx="47">
                  <c:v>42389</c:v>
                </c:pt>
                <c:pt idx="48">
                  <c:v>42390</c:v>
                </c:pt>
                <c:pt idx="49">
                  <c:v>42391</c:v>
                </c:pt>
                <c:pt idx="50">
                  <c:v>42394</c:v>
                </c:pt>
                <c:pt idx="51">
                  <c:v>42395</c:v>
                </c:pt>
                <c:pt idx="52">
                  <c:v>42396</c:v>
                </c:pt>
                <c:pt idx="53">
                  <c:v>42397</c:v>
                </c:pt>
                <c:pt idx="54">
                  <c:v>42398</c:v>
                </c:pt>
                <c:pt idx="55">
                  <c:v>42401</c:v>
                </c:pt>
                <c:pt idx="56">
                  <c:v>42402</c:v>
                </c:pt>
                <c:pt idx="57">
                  <c:v>42403</c:v>
                </c:pt>
                <c:pt idx="58">
                  <c:v>42404</c:v>
                </c:pt>
                <c:pt idx="59">
                  <c:v>42405</c:v>
                </c:pt>
                <c:pt idx="60">
                  <c:v>42408</c:v>
                </c:pt>
                <c:pt idx="61">
                  <c:v>42409</c:v>
                </c:pt>
                <c:pt idx="62">
                  <c:v>42410</c:v>
                </c:pt>
                <c:pt idx="63">
                  <c:v>42411</c:v>
                </c:pt>
                <c:pt idx="64">
                  <c:v>42412</c:v>
                </c:pt>
                <c:pt idx="65">
                  <c:v>42416</c:v>
                </c:pt>
                <c:pt idx="66">
                  <c:v>42417</c:v>
                </c:pt>
                <c:pt idx="67">
                  <c:v>42418</c:v>
                </c:pt>
                <c:pt idx="68">
                  <c:v>42419</c:v>
                </c:pt>
                <c:pt idx="69">
                  <c:v>42422</c:v>
                </c:pt>
                <c:pt idx="70">
                  <c:v>42423</c:v>
                </c:pt>
                <c:pt idx="71">
                  <c:v>42424</c:v>
                </c:pt>
                <c:pt idx="72">
                  <c:v>42425</c:v>
                </c:pt>
                <c:pt idx="73">
                  <c:v>42426</c:v>
                </c:pt>
                <c:pt idx="74">
                  <c:v>42429</c:v>
                </c:pt>
                <c:pt idx="75">
                  <c:v>42430</c:v>
                </c:pt>
                <c:pt idx="76">
                  <c:v>42431</c:v>
                </c:pt>
                <c:pt idx="77">
                  <c:v>42432</c:v>
                </c:pt>
                <c:pt idx="78">
                  <c:v>42433</c:v>
                </c:pt>
                <c:pt idx="79">
                  <c:v>42436</c:v>
                </c:pt>
                <c:pt idx="80">
                  <c:v>42437</c:v>
                </c:pt>
                <c:pt idx="81">
                  <c:v>42438</c:v>
                </c:pt>
                <c:pt idx="82">
                  <c:v>42439</c:v>
                </c:pt>
                <c:pt idx="83">
                  <c:v>42440</c:v>
                </c:pt>
                <c:pt idx="84">
                  <c:v>42443</c:v>
                </c:pt>
                <c:pt idx="85">
                  <c:v>42444</c:v>
                </c:pt>
                <c:pt idx="86">
                  <c:v>42445</c:v>
                </c:pt>
                <c:pt idx="87">
                  <c:v>42446</c:v>
                </c:pt>
                <c:pt idx="88">
                  <c:v>42447</c:v>
                </c:pt>
                <c:pt idx="89">
                  <c:v>42450</c:v>
                </c:pt>
                <c:pt idx="90">
                  <c:v>42451</c:v>
                </c:pt>
                <c:pt idx="91">
                  <c:v>42452</c:v>
                </c:pt>
                <c:pt idx="92">
                  <c:v>42453</c:v>
                </c:pt>
                <c:pt idx="93">
                  <c:v>42457</c:v>
                </c:pt>
                <c:pt idx="94">
                  <c:v>42458</c:v>
                </c:pt>
                <c:pt idx="95">
                  <c:v>42459</c:v>
                </c:pt>
                <c:pt idx="96">
                  <c:v>42460</c:v>
                </c:pt>
                <c:pt idx="97">
                  <c:v>42461</c:v>
                </c:pt>
                <c:pt idx="98">
                  <c:v>42464</c:v>
                </c:pt>
                <c:pt idx="99">
                  <c:v>42465</c:v>
                </c:pt>
                <c:pt idx="100">
                  <c:v>42466</c:v>
                </c:pt>
                <c:pt idx="101">
                  <c:v>42467</c:v>
                </c:pt>
                <c:pt idx="102">
                  <c:v>42468</c:v>
                </c:pt>
                <c:pt idx="103">
                  <c:v>42471</c:v>
                </c:pt>
                <c:pt idx="104">
                  <c:v>42472</c:v>
                </c:pt>
                <c:pt idx="105">
                  <c:v>42473</c:v>
                </c:pt>
                <c:pt idx="106">
                  <c:v>42474</c:v>
                </c:pt>
                <c:pt idx="107">
                  <c:v>42475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42485</c:v>
                </c:pt>
                <c:pt idx="114">
                  <c:v>42486</c:v>
                </c:pt>
                <c:pt idx="115">
                  <c:v>42487</c:v>
                </c:pt>
                <c:pt idx="116">
                  <c:v>42488</c:v>
                </c:pt>
                <c:pt idx="117">
                  <c:v>42489</c:v>
                </c:pt>
                <c:pt idx="118">
                  <c:v>42492</c:v>
                </c:pt>
                <c:pt idx="119">
                  <c:v>42493</c:v>
                </c:pt>
                <c:pt idx="120">
                  <c:v>42494</c:v>
                </c:pt>
                <c:pt idx="121">
                  <c:v>42495</c:v>
                </c:pt>
                <c:pt idx="122">
                  <c:v>42496</c:v>
                </c:pt>
                <c:pt idx="123">
                  <c:v>42499</c:v>
                </c:pt>
                <c:pt idx="124">
                  <c:v>42500</c:v>
                </c:pt>
                <c:pt idx="125">
                  <c:v>42501</c:v>
                </c:pt>
                <c:pt idx="126">
                  <c:v>42502</c:v>
                </c:pt>
                <c:pt idx="127">
                  <c:v>42503</c:v>
                </c:pt>
                <c:pt idx="128">
                  <c:v>42506</c:v>
                </c:pt>
                <c:pt idx="129">
                  <c:v>42507</c:v>
                </c:pt>
                <c:pt idx="130">
                  <c:v>42508</c:v>
                </c:pt>
                <c:pt idx="131">
                  <c:v>42509</c:v>
                </c:pt>
                <c:pt idx="132">
                  <c:v>42510</c:v>
                </c:pt>
                <c:pt idx="133">
                  <c:v>42513</c:v>
                </c:pt>
                <c:pt idx="134">
                  <c:v>42514</c:v>
                </c:pt>
                <c:pt idx="135">
                  <c:v>42515</c:v>
                </c:pt>
                <c:pt idx="136">
                  <c:v>42516</c:v>
                </c:pt>
                <c:pt idx="137">
                  <c:v>42517</c:v>
                </c:pt>
                <c:pt idx="138">
                  <c:v>42521</c:v>
                </c:pt>
                <c:pt idx="139">
                  <c:v>42522</c:v>
                </c:pt>
                <c:pt idx="140">
                  <c:v>42523</c:v>
                </c:pt>
                <c:pt idx="141">
                  <c:v>42524</c:v>
                </c:pt>
                <c:pt idx="142">
                  <c:v>42527</c:v>
                </c:pt>
                <c:pt idx="143">
                  <c:v>42528</c:v>
                </c:pt>
                <c:pt idx="144">
                  <c:v>42529</c:v>
                </c:pt>
                <c:pt idx="145">
                  <c:v>42530</c:v>
                </c:pt>
                <c:pt idx="146">
                  <c:v>42531</c:v>
                </c:pt>
                <c:pt idx="147">
                  <c:v>42534</c:v>
                </c:pt>
                <c:pt idx="148">
                  <c:v>42535</c:v>
                </c:pt>
                <c:pt idx="149">
                  <c:v>42536</c:v>
                </c:pt>
                <c:pt idx="150">
                  <c:v>42537</c:v>
                </c:pt>
                <c:pt idx="151">
                  <c:v>42538</c:v>
                </c:pt>
                <c:pt idx="152">
                  <c:v>42541</c:v>
                </c:pt>
                <c:pt idx="153">
                  <c:v>42542</c:v>
                </c:pt>
                <c:pt idx="154">
                  <c:v>42543</c:v>
                </c:pt>
                <c:pt idx="155">
                  <c:v>42544</c:v>
                </c:pt>
                <c:pt idx="156">
                  <c:v>42545</c:v>
                </c:pt>
                <c:pt idx="157">
                  <c:v>42548</c:v>
                </c:pt>
                <c:pt idx="158">
                  <c:v>42549</c:v>
                </c:pt>
                <c:pt idx="159">
                  <c:v>42550</c:v>
                </c:pt>
                <c:pt idx="160">
                  <c:v>42551</c:v>
                </c:pt>
                <c:pt idx="161">
                  <c:v>42552</c:v>
                </c:pt>
                <c:pt idx="162">
                  <c:v>42556</c:v>
                </c:pt>
                <c:pt idx="163">
                  <c:v>42557</c:v>
                </c:pt>
                <c:pt idx="164">
                  <c:v>42558</c:v>
                </c:pt>
                <c:pt idx="165">
                  <c:v>42559</c:v>
                </c:pt>
                <c:pt idx="166">
                  <c:v>42562</c:v>
                </c:pt>
                <c:pt idx="167">
                  <c:v>42563</c:v>
                </c:pt>
                <c:pt idx="168">
                  <c:v>42564</c:v>
                </c:pt>
                <c:pt idx="169">
                  <c:v>42565</c:v>
                </c:pt>
                <c:pt idx="170">
                  <c:v>42566</c:v>
                </c:pt>
                <c:pt idx="171">
                  <c:v>42569</c:v>
                </c:pt>
                <c:pt idx="172">
                  <c:v>42570</c:v>
                </c:pt>
                <c:pt idx="173">
                  <c:v>42571</c:v>
                </c:pt>
                <c:pt idx="174">
                  <c:v>42572</c:v>
                </c:pt>
                <c:pt idx="175">
                  <c:v>42573</c:v>
                </c:pt>
                <c:pt idx="176">
                  <c:v>42576</c:v>
                </c:pt>
                <c:pt idx="177">
                  <c:v>42577</c:v>
                </c:pt>
                <c:pt idx="178">
                  <c:v>42578</c:v>
                </c:pt>
                <c:pt idx="179">
                  <c:v>42579</c:v>
                </c:pt>
                <c:pt idx="180">
                  <c:v>42580</c:v>
                </c:pt>
                <c:pt idx="181">
                  <c:v>42583</c:v>
                </c:pt>
                <c:pt idx="182">
                  <c:v>42584</c:v>
                </c:pt>
                <c:pt idx="183">
                  <c:v>42585</c:v>
                </c:pt>
                <c:pt idx="184">
                  <c:v>42586</c:v>
                </c:pt>
                <c:pt idx="185">
                  <c:v>42587</c:v>
                </c:pt>
                <c:pt idx="186">
                  <c:v>42590</c:v>
                </c:pt>
                <c:pt idx="187">
                  <c:v>42591</c:v>
                </c:pt>
                <c:pt idx="188">
                  <c:v>42592</c:v>
                </c:pt>
                <c:pt idx="189">
                  <c:v>42593</c:v>
                </c:pt>
                <c:pt idx="190">
                  <c:v>42594</c:v>
                </c:pt>
                <c:pt idx="191">
                  <c:v>42597</c:v>
                </c:pt>
                <c:pt idx="192">
                  <c:v>42598</c:v>
                </c:pt>
                <c:pt idx="193">
                  <c:v>42599</c:v>
                </c:pt>
                <c:pt idx="194">
                  <c:v>42600</c:v>
                </c:pt>
                <c:pt idx="195">
                  <c:v>42601</c:v>
                </c:pt>
                <c:pt idx="196">
                  <c:v>42604</c:v>
                </c:pt>
                <c:pt idx="197">
                  <c:v>42605</c:v>
                </c:pt>
                <c:pt idx="198">
                  <c:v>42606</c:v>
                </c:pt>
                <c:pt idx="199">
                  <c:v>42607</c:v>
                </c:pt>
                <c:pt idx="200">
                  <c:v>42608</c:v>
                </c:pt>
                <c:pt idx="201">
                  <c:v>42611</c:v>
                </c:pt>
                <c:pt idx="202">
                  <c:v>42612</c:v>
                </c:pt>
                <c:pt idx="203">
                  <c:v>42613</c:v>
                </c:pt>
                <c:pt idx="204">
                  <c:v>42614</c:v>
                </c:pt>
                <c:pt idx="205">
                  <c:v>42615</c:v>
                </c:pt>
                <c:pt idx="206">
                  <c:v>42619</c:v>
                </c:pt>
                <c:pt idx="207">
                  <c:v>42620</c:v>
                </c:pt>
                <c:pt idx="208">
                  <c:v>42621</c:v>
                </c:pt>
                <c:pt idx="209">
                  <c:v>42622</c:v>
                </c:pt>
                <c:pt idx="210">
                  <c:v>42625</c:v>
                </c:pt>
                <c:pt idx="211">
                  <c:v>42626</c:v>
                </c:pt>
                <c:pt idx="212">
                  <c:v>42627</c:v>
                </c:pt>
                <c:pt idx="213">
                  <c:v>42628</c:v>
                </c:pt>
                <c:pt idx="214">
                  <c:v>42629</c:v>
                </c:pt>
                <c:pt idx="215">
                  <c:v>42632</c:v>
                </c:pt>
                <c:pt idx="216">
                  <c:v>42633</c:v>
                </c:pt>
                <c:pt idx="217">
                  <c:v>42634</c:v>
                </c:pt>
                <c:pt idx="218">
                  <c:v>42635</c:v>
                </c:pt>
                <c:pt idx="219">
                  <c:v>42636</c:v>
                </c:pt>
                <c:pt idx="220">
                  <c:v>42639</c:v>
                </c:pt>
                <c:pt idx="221">
                  <c:v>42640</c:v>
                </c:pt>
                <c:pt idx="222">
                  <c:v>42641</c:v>
                </c:pt>
                <c:pt idx="223">
                  <c:v>42642</c:v>
                </c:pt>
                <c:pt idx="224">
                  <c:v>42643</c:v>
                </c:pt>
                <c:pt idx="225">
                  <c:v>42646</c:v>
                </c:pt>
                <c:pt idx="226">
                  <c:v>42647</c:v>
                </c:pt>
                <c:pt idx="227">
                  <c:v>42648</c:v>
                </c:pt>
                <c:pt idx="228">
                  <c:v>42649</c:v>
                </c:pt>
                <c:pt idx="229">
                  <c:v>42650</c:v>
                </c:pt>
                <c:pt idx="230">
                  <c:v>42653</c:v>
                </c:pt>
                <c:pt idx="231">
                  <c:v>42654</c:v>
                </c:pt>
                <c:pt idx="232">
                  <c:v>42655</c:v>
                </c:pt>
                <c:pt idx="233">
                  <c:v>42656</c:v>
                </c:pt>
                <c:pt idx="234">
                  <c:v>42657</c:v>
                </c:pt>
                <c:pt idx="235">
                  <c:v>42660</c:v>
                </c:pt>
                <c:pt idx="236">
                  <c:v>42661</c:v>
                </c:pt>
                <c:pt idx="237">
                  <c:v>42662</c:v>
                </c:pt>
                <c:pt idx="238">
                  <c:v>42663</c:v>
                </c:pt>
                <c:pt idx="239">
                  <c:v>42664</c:v>
                </c:pt>
                <c:pt idx="240">
                  <c:v>42667</c:v>
                </c:pt>
                <c:pt idx="241">
                  <c:v>42668</c:v>
                </c:pt>
                <c:pt idx="242">
                  <c:v>42669</c:v>
                </c:pt>
                <c:pt idx="243">
                  <c:v>42670</c:v>
                </c:pt>
                <c:pt idx="244">
                  <c:v>42671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42681</c:v>
                </c:pt>
                <c:pt idx="251">
                  <c:v>42682</c:v>
                </c:pt>
                <c:pt idx="252">
                  <c:v>42683</c:v>
                </c:pt>
                <c:pt idx="253">
                  <c:v>42684</c:v>
                </c:pt>
                <c:pt idx="254">
                  <c:v>42685</c:v>
                </c:pt>
                <c:pt idx="255">
                  <c:v>42688</c:v>
                </c:pt>
                <c:pt idx="256">
                  <c:v>42689</c:v>
                </c:pt>
                <c:pt idx="257">
                  <c:v>42690</c:v>
                </c:pt>
                <c:pt idx="258">
                  <c:v>42691</c:v>
                </c:pt>
                <c:pt idx="259">
                  <c:v>42692</c:v>
                </c:pt>
                <c:pt idx="260">
                  <c:v>42695</c:v>
                </c:pt>
                <c:pt idx="261">
                  <c:v>42696</c:v>
                </c:pt>
                <c:pt idx="262">
                  <c:v>42697</c:v>
                </c:pt>
                <c:pt idx="263">
                  <c:v>42699</c:v>
                </c:pt>
                <c:pt idx="264">
                  <c:v>42702</c:v>
                </c:pt>
                <c:pt idx="265">
                  <c:v>42703</c:v>
                </c:pt>
                <c:pt idx="266">
                  <c:v>42704</c:v>
                </c:pt>
                <c:pt idx="267">
                  <c:v>42705</c:v>
                </c:pt>
                <c:pt idx="268">
                  <c:v>42706</c:v>
                </c:pt>
                <c:pt idx="269">
                  <c:v>42709</c:v>
                </c:pt>
                <c:pt idx="270">
                  <c:v>42710</c:v>
                </c:pt>
                <c:pt idx="271">
                  <c:v>42711</c:v>
                </c:pt>
                <c:pt idx="272">
                  <c:v>42712</c:v>
                </c:pt>
                <c:pt idx="273">
                  <c:v>42713</c:v>
                </c:pt>
                <c:pt idx="274">
                  <c:v>42716</c:v>
                </c:pt>
                <c:pt idx="275">
                  <c:v>42717</c:v>
                </c:pt>
                <c:pt idx="276">
                  <c:v>42718</c:v>
                </c:pt>
                <c:pt idx="277">
                  <c:v>42719</c:v>
                </c:pt>
                <c:pt idx="278">
                  <c:v>42720</c:v>
                </c:pt>
                <c:pt idx="279">
                  <c:v>42723</c:v>
                </c:pt>
                <c:pt idx="280">
                  <c:v>42724</c:v>
                </c:pt>
                <c:pt idx="281">
                  <c:v>42725</c:v>
                </c:pt>
                <c:pt idx="282">
                  <c:v>42726</c:v>
                </c:pt>
                <c:pt idx="283">
                  <c:v>42727</c:v>
                </c:pt>
                <c:pt idx="284">
                  <c:v>42731</c:v>
                </c:pt>
                <c:pt idx="285">
                  <c:v>42732</c:v>
                </c:pt>
                <c:pt idx="286">
                  <c:v>42733</c:v>
                </c:pt>
                <c:pt idx="287">
                  <c:v>42734</c:v>
                </c:pt>
                <c:pt idx="288">
                  <c:v>42738</c:v>
                </c:pt>
                <c:pt idx="289">
                  <c:v>42739</c:v>
                </c:pt>
                <c:pt idx="290">
                  <c:v>42740</c:v>
                </c:pt>
                <c:pt idx="291">
                  <c:v>42741</c:v>
                </c:pt>
                <c:pt idx="292">
                  <c:v>42744</c:v>
                </c:pt>
                <c:pt idx="293">
                  <c:v>42745</c:v>
                </c:pt>
                <c:pt idx="294">
                  <c:v>42746</c:v>
                </c:pt>
                <c:pt idx="295">
                  <c:v>42747</c:v>
                </c:pt>
                <c:pt idx="296">
                  <c:v>42748</c:v>
                </c:pt>
                <c:pt idx="297">
                  <c:v>42752</c:v>
                </c:pt>
                <c:pt idx="298">
                  <c:v>42753</c:v>
                </c:pt>
                <c:pt idx="299">
                  <c:v>42754</c:v>
                </c:pt>
                <c:pt idx="300">
                  <c:v>42755</c:v>
                </c:pt>
                <c:pt idx="301">
                  <c:v>42758</c:v>
                </c:pt>
                <c:pt idx="302">
                  <c:v>42759</c:v>
                </c:pt>
                <c:pt idx="303">
                  <c:v>42760</c:v>
                </c:pt>
                <c:pt idx="304">
                  <c:v>42761</c:v>
                </c:pt>
                <c:pt idx="305">
                  <c:v>42762</c:v>
                </c:pt>
                <c:pt idx="306">
                  <c:v>42765</c:v>
                </c:pt>
                <c:pt idx="307">
                  <c:v>42766</c:v>
                </c:pt>
                <c:pt idx="308">
                  <c:v>42767</c:v>
                </c:pt>
                <c:pt idx="309">
                  <c:v>42768</c:v>
                </c:pt>
                <c:pt idx="310">
                  <c:v>42769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42779</c:v>
                </c:pt>
                <c:pt idx="317">
                  <c:v>42780</c:v>
                </c:pt>
                <c:pt idx="318">
                  <c:v>42781</c:v>
                </c:pt>
                <c:pt idx="319">
                  <c:v>42782</c:v>
                </c:pt>
                <c:pt idx="320">
                  <c:v>42783</c:v>
                </c:pt>
                <c:pt idx="321">
                  <c:v>42787</c:v>
                </c:pt>
                <c:pt idx="322">
                  <c:v>42788</c:v>
                </c:pt>
                <c:pt idx="323">
                  <c:v>42789</c:v>
                </c:pt>
                <c:pt idx="324">
                  <c:v>42790</c:v>
                </c:pt>
                <c:pt idx="325">
                  <c:v>42793</c:v>
                </c:pt>
                <c:pt idx="326">
                  <c:v>42794</c:v>
                </c:pt>
                <c:pt idx="327">
                  <c:v>42795</c:v>
                </c:pt>
                <c:pt idx="328">
                  <c:v>42796</c:v>
                </c:pt>
                <c:pt idx="329">
                  <c:v>42797</c:v>
                </c:pt>
                <c:pt idx="330">
                  <c:v>42800</c:v>
                </c:pt>
                <c:pt idx="331">
                  <c:v>42801</c:v>
                </c:pt>
                <c:pt idx="332">
                  <c:v>42802</c:v>
                </c:pt>
                <c:pt idx="333">
                  <c:v>42803</c:v>
                </c:pt>
                <c:pt idx="334">
                  <c:v>42804</c:v>
                </c:pt>
                <c:pt idx="335">
                  <c:v>42807</c:v>
                </c:pt>
                <c:pt idx="336">
                  <c:v>42808</c:v>
                </c:pt>
                <c:pt idx="337">
                  <c:v>42809</c:v>
                </c:pt>
                <c:pt idx="338">
                  <c:v>42810</c:v>
                </c:pt>
                <c:pt idx="339">
                  <c:v>42811</c:v>
                </c:pt>
                <c:pt idx="340">
                  <c:v>42814</c:v>
                </c:pt>
                <c:pt idx="341">
                  <c:v>42815</c:v>
                </c:pt>
                <c:pt idx="342">
                  <c:v>42816</c:v>
                </c:pt>
                <c:pt idx="343">
                  <c:v>42817</c:v>
                </c:pt>
                <c:pt idx="344">
                  <c:v>42818</c:v>
                </c:pt>
                <c:pt idx="345">
                  <c:v>42821</c:v>
                </c:pt>
                <c:pt idx="346">
                  <c:v>42822</c:v>
                </c:pt>
                <c:pt idx="347">
                  <c:v>42823</c:v>
                </c:pt>
                <c:pt idx="348">
                  <c:v>42824</c:v>
                </c:pt>
                <c:pt idx="349">
                  <c:v>42825</c:v>
                </c:pt>
                <c:pt idx="350">
                  <c:v>42828</c:v>
                </c:pt>
                <c:pt idx="351">
                  <c:v>42829</c:v>
                </c:pt>
                <c:pt idx="352">
                  <c:v>42830</c:v>
                </c:pt>
                <c:pt idx="353">
                  <c:v>42831</c:v>
                </c:pt>
                <c:pt idx="354">
                  <c:v>42832</c:v>
                </c:pt>
                <c:pt idx="355">
                  <c:v>42835</c:v>
                </c:pt>
                <c:pt idx="356">
                  <c:v>42836</c:v>
                </c:pt>
                <c:pt idx="357">
                  <c:v>42837</c:v>
                </c:pt>
                <c:pt idx="358">
                  <c:v>42838</c:v>
                </c:pt>
                <c:pt idx="359">
                  <c:v>42842</c:v>
                </c:pt>
                <c:pt idx="360">
                  <c:v>42843</c:v>
                </c:pt>
                <c:pt idx="361">
                  <c:v>42844</c:v>
                </c:pt>
                <c:pt idx="362">
                  <c:v>42845</c:v>
                </c:pt>
                <c:pt idx="363">
                  <c:v>42846</c:v>
                </c:pt>
                <c:pt idx="364">
                  <c:v>42849</c:v>
                </c:pt>
                <c:pt idx="365">
                  <c:v>42850</c:v>
                </c:pt>
                <c:pt idx="366">
                  <c:v>42851</c:v>
                </c:pt>
                <c:pt idx="367">
                  <c:v>42852</c:v>
                </c:pt>
                <c:pt idx="368">
                  <c:v>42853</c:v>
                </c:pt>
                <c:pt idx="369">
                  <c:v>42856</c:v>
                </c:pt>
                <c:pt idx="370">
                  <c:v>42857</c:v>
                </c:pt>
                <c:pt idx="371">
                  <c:v>42858</c:v>
                </c:pt>
                <c:pt idx="372">
                  <c:v>42859</c:v>
                </c:pt>
                <c:pt idx="373">
                  <c:v>42860</c:v>
                </c:pt>
                <c:pt idx="374">
                  <c:v>42863</c:v>
                </c:pt>
                <c:pt idx="375">
                  <c:v>42864</c:v>
                </c:pt>
                <c:pt idx="376">
                  <c:v>42865</c:v>
                </c:pt>
                <c:pt idx="377">
                  <c:v>42866</c:v>
                </c:pt>
                <c:pt idx="378">
                  <c:v>42867</c:v>
                </c:pt>
                <c:pt idx="379">
                  <c:v>42870</c:v>
                </c:pt>
                <c:pt idx="380">
                  <c:v>42871</c:v>
                </c:pt>
                <c:pt idx="381">
                  <c:v>42872</c:v>
                </c:pt>
                <c:pt idx="382">
                  <c:v>42873</c:v>
                </c:pt>
                <c:pt idx="383">
                  <c:v>42874</c:v>
                </c:pt>
                <c:pt idx="384">
                  <c:v>42877</c:v>
                </c:pt>
                <c:pt idx="385">
                  <c:v>42878</c:v>
                </c:pt>
                <c:pt idx="386">
                  <c:v>42879</c:v>
                </c:pt>
                <c:pt idx="387">
                  <c:v>42880</c:v>
                </c:pt>
                <c:pt idx="388">
                  <c:v>42881</c:v>
                </c:pt>
                <c:pt idx="389">
                  <c:v>42885</c:v>
                </c:pt>
                <c:pt idx="390">
                  <c:v>42886</c:v>
                </c:pt>
                <c:pt idx="391">
                  <c:v>42887</c:v>
                </c:pt>
                <c:pt idx="392">
                  <c:v>42888</c:v>
                </c:pt>
                <c:pt idx="393">
                  <c:v>42891</c:v>
                </c:pt>
                <c:pt idx="394">
                  <c:v>42892</c:v>
                </c:pt>
                <c:pt idx="395">
                  <c:v>42893</c:v>
                </c:pt>
                <c:pt idx="396">
                  <c:v>42894</c:v>
                </c:pt>
                <c:pt idx="397">
                  <c:v>42895</c:v>
                </c:pt>
                <c:pt idx="398">
                  <c:v>42898</c:v>
                </c:pt>
                <c:pt idx="399">
                  <c:v>42899</c:v>
                </c:pt>
                <c:pt idx="400">
                  <c:v>42900</c:v>
                </c:pt>
                <c:pt idx="401">
                  <c:v>42901</c:v>
                </c:pt>
                <c:pt idx="402">
                  <c:v>42902</c:v>
                </c:pt>
                <c:pt idx="403">
                  <c:v>42905</c:v>
                </c:pt>
                <c:pt idx="404">
                  <c:v>42906</c:v>
                </c:pt>
                <c:pt idx="405">
                  <c:v>42907</c:v>
                </c:pt>
                <c:pt idx="406">
                  <c:v>42908</c:v>
                </c:pt>
                <c:pt idx="407">
                  <c:v>42909</c:v>
                </c:pt>
                <c:pt idx="408">
                  <c:v>42912</c:v>
                </c:pt>
                <c:pt idx="409">
                  <c:v>42913</c:v>
                </c:pt>
                <c:pt idx="410">
                  <c:v>42914</c:v>
                </c:pt>
                <c:pt idx="411">
                  <c:v>42915</c:v>
                </c:pt>
                <c:pt idx="412">
                  <c:v>42916</c:v>
                </c:pt>
                <c:pt idx="413">
                  <c:v>42919</c:v>
                </c:pt>
                <c:pt idx="414">
                  <c:v>42921</c:v>
                </c:pt>
                <c:pt idx="415">
                  <c:v>42922</c:v>
                </c:pt>
                <c:pt idx="416">
                  <c:v>42923</c:v>
                </c:pt>
                <c:pt idx="417">
                  <c:v>42926</c:v>
                </c:pt>
                <c:pt idx="418">
                  <c:v>42927</c:v>
                </c:pt>
                <c:pt idx="419">
                  <c:v>42928</c:v>
                </c:pt>
                <c:pt idx="420">
                  <c:v>42929</c:v>
                </c:pt>
                <c:pt idx="421">
                  <c:v>42930</c:v>
                </c:pt>
                <c:pt idx="422">
                  <c:v>42933</c:v>
                </c:pt>
                <c:pt idx="423">
                  <c:v>42934</c:v>
                </c:pt>
                <c:pt idx="424">
                  <c:v>42935</c:v>
                </c:pt>
                <c:pt idx="425">
                  <c:v>42936</c:v>
                </c:pt>
                <c:pt idx="426">
                  <c:v>42937</c:v>
                </c:pt>
                <c:pt idx="427">
                  <c:v>42940</c:v>
                </c:pt>
                <c:pt idx="428">
                  <c:v>42941</c:v>
                </c:pt>
                <c:pt idx="429">
                  <c:v>42942</c:v>
                </c:pt>
                <c:pt idx="430">
                  <c:v>42943</c:v>
                </c:pt>
                <c:pt idx="431">
                  <c:v>42944</c:v>
                </c:pt>
                <c:pt idx="432">
                  <c:v>42947</c:v>
                </c:pt>
                <c:pt idx="433">
                  <c:v>42948</c:v>
                </c:pt>
                <c:pt idx="434">
                  <c:v>42949</c:v>
                </c:pt>
                <c:pt idx="435">
                  <c:v>42950</c:v>
                </c:pt>
                <c:pt idx="436">
                  <c:v>42951</c:v>
                </c:pt>
                <c:pt idx="437">
                  <c:v>42954</c:v>
                </c:pt>
                <c:pt idx="438">
                  <c:v>42955</c:v>
                </c:pt>
                <c:pt idx="439">
                  <c:v>42956</c:v>
                </c:pt>
                <c:pt idx="440">
                  <c:v>42957</c:v>
                </c:pt>
                <c:pt idx="441">
                  <c:v>42958</c:v>
                </c:pt>
                <c:pt idx="442">
                  <c:v>42961</c:v>
                </c:pt>
                <c:pt idx="443">
                  <c:v>42962</c:v>
                </c:pt>
                <c:pt idx="444">
                  <c:v>42963</c:v>
                </c:pt>
                <c:pt idx="445">
                  <c:v>42964</c:v>
                </c:pt>
                <c:pt idx="446">
                  <c:v>42965</c:v>
                </c:pt>
                <c:pt idx="447">
                  <c:v>42968</c:v>
                </c:pt>
                <c:pt idx="448">
                  <c:v>42969</c:v>
                </c:pt>
                <c:pt idx="449">
                  <c:v>42970</c:v>
                </c:pt>
                <c:pt idx="450">
                  <c:v>42971</c:v>
                </c:pt>
                <c:pt idx="451">
                  <c:v>42972</c:v>
                </c:pt>
                <c:pt idx="452">
                  <c:v>42975</c:v>
                </c:pt>
                <c:pt idx="453">
                  <c:v>42976</c:v>
                </c:pt>
                <c:pt idx="454">
                  <c:v>42977</c:v>
                </c:pt>
                <c:pt idx="455">
                  <c:v>42978</c:v>
                </c:pt>
                <c:pt idx="456">
                  <c:v>42979</c:v>
                </c:pt>
                <c:pt idx="457">
                  <c:v>42983</c:v>
                </c:pt>
                <c:pt idx="458">
                  <c:v>42984</c:v>
                </c:pt>
                <c:pt idx="459">
                  <c:v>42985</c:v>
                </c:pt>
                <c:pt idx="460">
                  <c:v>42986</c:v>
                </c:pt>
                <c:pt idx="461">
                  <c:v>42989</c:v>
                </c:pt>
                <c:pt idx="462">
                  <c:v>42990</c:v>
                </c:pt>
                <c:pt idx="463">
                  <c:v>42991</c:v>
                </c:pt>
                <c:pt idx="464">
                  <c:v>42992</c:v>
                </c:pt>
                <c:pt idx="465">
                  <c:v>42993</c:v>
                </c:pt>
                <c:pt idx="466">
                  <c:v>42996</c:v>
                </c:pt>
                <c:pt idx="467">
                  <c:v>42997</c:v>
                </c:pt>
                <c:pt idx="468">
                  <c:v>42998</c:v>
                </c:pt>
                <c:pt idx="469">
                  <c:v>42999</c:v>
                </c:pt>
                <c:pt idx="470">
                  <c:v>43000</c:v>
                </c:pt>
                <c:pt idx="471">
                  <c:v>43003</c:v>
                </c:pt>
                <c:pt idx="472">
                  <c:v>43004</c:v>
                </c:pt>
                <c:pt idx="473">
                  <c:v>43005</c:v>
                </c:pt>
                <c:pt idx="474">
                  <c:v>43006</c:v>
                </c:pt>
                <c:pt idx="475">
                  <c:v>43007</c:v>
                </c:pt>
                <c:pt idx="476">
                  <c:v>43010</c:v>
                </c:pt>
                <c:pt idx="477">
                  <c:v>43011</c:v>
                </c:pt>
                <c:pt idx="478">
                  <c:v>43012</c:v>
                </c:pt>
                <c:pt idx="479">
                  <c:v>43013</c:v>
                </c:pt>
                <c:pt idx="480">
                  <c:v>43014</c:v>
                </c:pt>
                <c:pt idx="481">
                  <c:v>43017</c:v>
                </c:pt>
                <c:pt idx="482">
                  <c:v>43018</c:v>
                </c:pt>
                <c:pt idx="483">
                  <c:v>43019</c:v>
                </c:pt>
                <c:pt idx="484">
                  <c:v>43020</c:v>
                </c:pt>
                <c:pt idx="485">
                  <c:v>43021</c:v>
                </c:pt>
                <c:pt idx="486">
                  <c:v>43024</c:v>
                </c:pt>
                <c:pt idx="487">
                  <c:v>43025</c:v>
                </c:pt>
                <c:pt idx="488">
                  <c:v>43026</c:v>
                </c:pt>
                <c:pt idx="489">
                  <c:v>43027</c:v>
                </c:pt>
                <c:pt idx="490">
                  <c:v>43028</c:v>
                </c:pt>
                <c:pt idx="491">
                  <c:v>43031</c:v>
                </c:pt>
                <c:pt idx="492">
                  <c:v>43032</c:v>
                </c:pt>
                <c:pt idx="493">
                  <c:v>43033</c:v>
                </c:pt>
                <c:pt idx="494">
                  <c:v>43034</c:v>
                </c:pt>
                <c:pt idx="495">
                  <c:v>43035</c:v>
                </c:pt>
                <c:pt idx="496">
                  <c:v>43038</c:v>
                </c:pt>
                <c:pt idx="497">
                  <c:v>43039</c:v>
                </c:pt>
                <c:pt idx="498">
                  <c:v>43040</c:v>
                </c:pt>
                <c:pt idx="499">
                  <c:v>43041</c:v>
                </c:pt>
                <c:pt idx="500">
                  <c:v>43042</c:v>
                </c:pt>
                <c:pt idx="501">
                  <c:v>43045</c:v>
                </c:pt>
                <c:pt idx="502">
                  <c:v>43046</c:v>
                </c:pt>
                <c:pt idx="503">
                  <c:v>43047</c:v>
                </c:pt>
                <c:pt idx="504">
                  <c:v>43048</c:v>
                </c:pt>
                <c:pt idx="505">
                  <c:v>43049</c:v>
                </c:pt>
                <c:pt idx="506">
                  <c:v>43052</c:v>
                </c:pt>
                <c:pt idx="507">
                  <c:v>43053</c:v>
                </c:pt>
                <c:pt idx="508">
                  <c:v>43054</c:v>
                </c:pt>
                <c:pt idx="509">
                  <c:v>43055</c:v>
                </c:pt>
                <c:pt idx="510">
                  <c:v>43056</c:v>
                </c:pt>
                <c:pt idx="511">
                  <c:v>43059</c:v>
                </c:pt>
                <c:pt idx="512">
                  <c:v>43060</c:v>
                </c:pt>
                <c:pt idx="513">
                  <c:v>43061</c:v>
                </c:pt>
                <c:pt idx="514">
                  <c:v>43063</c:v>
                </c:pt>
                <c:pt idx="515">
                  <c:v>43066</c:v>
                </c:pt>
                <c:pt idx="516">
                  <c:v>43067</c:v>
                </c:pt>
                <c:pt idx="517">
                  <c:v>43068</c:v>
                </c:pt>
                <c:pt idx="518">
                  <c:v>43069</c:v>
                </c:pt>
                <c:pt idx="519">
                  <c:v>43070</c:v>
                </c:pt>
                <c:pt idx="520">
                  <c:v>43073</c:v>
                </c:pt>
                <c:pt idx="521">
                  <c:v>43074</c:v>
                </c:pt>
                <c:pt idx="522">
                  <c:v>43075</c:v>
                </c:pt>
                <c:pt idx="523">
                  <c:v>43076</c:v>
                </c:pt>
                <c:pt idx="524">
                  <c:v>43077</c:v>
                </c:pt>
                <c:pt idx="525">
                  <c:v>43080</c:v>
                </c:pt>
                <c:pt idx="526">
                  <c:v>43081</c:v>
                </c:pt>
                <c:pt idx="527">
                  <c:v>43082</c:v>
                </c:pt>
                <c:pt idx="528">
                  <c:v>43083</c:v>
                </c:pt>
                <c:pt idx="529">
                  <c:v>43084</c:v>
                </c:pt>
                <c:pt idx="530">
                  <c:v>43087</c:v>
                </c:pt>
                <c:pt idx="531">
                  <c:v>43088</c:v>
                </c:pt>
                <c:pt idx="532">
                  <c:v>43089</c:v>
                </c:pt>
                <c:pt idx="533">
                  <c:v>43090</c:v>
                </c:pt>
                <c:pt idx="534">
                  <c:v>43091</c:v>
                </c:pt>
                <c:pt idx="535">
                  <c:v>43095</c:v>
                </c:pt>
                <c:pt idx="536">
                  <c:v>43096</c:v>
                </c:pt>
                <c:pt idx="537">
                  <c:v>43097</c:v>
                </c:pt>
                <c:pt idx="538">
                  <c:v>43098</c:v>
                </c:pt>
                <c:pt idx="539">
                  <c:v>43102</c:v>
                </c:pt>
                <c:pt idx="540">
                  <c:v>43103</c:v>
                </c:pt>
                <c:pt idx="541">
                  <c:v>43104</c:v>
                </c:pt>
                <c:pt idx="542">
                  <c:v>43105</c:v>
                </c:pt>
                <c:pt idx="543">
                  <c:v>43108</c:v>
                </c:pt>
                <c:pt idx="544">
                  <c:v>43109</c:v>
                </c:pt>
                <c:pt idx="545">
                  <c:v>43110</c:v>
                </c:pt>
                <c:pt idx="546">
                  <c:v>43111</c:v>
                </c:pt>
                <c:pt idx="547">
                  <c:v>43112</c:v>
                </c:pt>
                <c:pt idx="548">
                  <c:v>43116</c:v>
                </c:pt>
                <c:pt idx="549">
                  <c:v>43117</c:v>
                </c:pt>
                <c:pt idx="550">
                  <c:v>43118</c:v>
                </c:pt>
                <c:pt idx="551">
                  <c:v>43119</c:v>
                </c:pt>
                <c:pt idx="552">
                  <c:v>43122</c:v>
                </c:pt>
                <c:pt idx="553">
                  <c:v>43123</c:v>
                </c:pt>
                <c:pt idx="554">
                  <c:v>43124</c:v>
                </c:pt>
                <c:pt idx="555">
                  <c:v>43125</c:v>
                </c:pt>
                <c:pt idx="556">
                  <c:v>43126</c:v>
                </c:pt>
                <c:pt idx="557">
                  <c:v>43129</c:v>
                </c:pt>
                <c:pt idx="558">
                  <c:v>43130</c:v>
                </c:pt>
                <c:pt idx="559">
                  <c:v>43131</c:v>
                </c:pt>
                <c:pt idx="560">
                  <c:v>43132</c:v>
                </c:pt>
                <c:pt idx="561">
                  <c:v>43133</c:v>
                </c:pt>
                <c:pt idx="562">
                  <c:v>43136</c:v>
                </c:pt>
                <c:pt idx="563">
                  <c:v>43137</c:v>
                </c:pt>
                <c:pt idx="564">
                  <c:v>43138</c:v>
                </c:pt>
                <c:pt idx="565">
                  <c:v>43139</c:v>
                </c:pt>
                <c:pt idx="566">
                  <c:v>43140</c:v>
                </c:pt>
                <c:pt idx="567">
                  <c:v>43143</c:v>
                </c:pt>
                <c:pt idx="568">
                  <c:v>43144</c:v>
                </c:pt>
                <c:pt idx="569">
                  <c:v>43145</c:v>
                </c:pt>
                <c:pt idx="570">
                  <c:v>43146</c:v>
                </c:pt>
                <c:pt idx="571">
                  <c:v>43147</c:v>
                </c:pt>
                <c:pt idx="572">
                  <c:v>43151</c:v>
                </c:pt>
                <c:pt idx="573">
                  <c:v>43152</c:v>
                </c:pt>
                <c:pt idx="574">
                  <c:v>43153</c:v>
                </c:pt>
                <c:pt idx="575">
                  <c:v>43154</c:v>
                </c:pt>
                <c:pt idx="576">
                  <c:v>43157</c:v>
                </c:pt>
                <c:pt idx="577">
                  <c:v>43158</c:v>
                </c:pt>
                <c:pt idx="578">
                  <c:v>43159</c:v>
                </c:pt>
                <c:pt idx="579">
                  <c:v>43160</c:v>
                </c:pt>
                <c:pt idx="580">
                  <c:v>43161</c:v>
                </c:pt>
                <c:pt idx="581">
                  <c:v>43164</c:v>
                </c:pt>
                <c:pt idx="582">
                  <c:v>43165</c:v>
                </c:pt>
                <c:pt idx="583">
                  <c:v>43166</c:v>
                </c:pt>
                <c:pt idx="584">
                  <c:v>43167</c:v>
                </c:pt>
                <c:pt idx="585">
                  <c:v>43168</c:v>
                </c:pt>
                <c:pt idx="586">
                  <c:v>43171</c:v>
                </c:pt>
                <c:pt idx="587">
                  <c:v>43172</c:v>
                </c:pt>
                <c:pt idx="588">
                  <c:v>43173</c:v>
                </c:pt>
                <c:pt idx="589">
                  <c:v>43174</c:v>
                </c:pt>
                <c:pt idx="590">
                  <c:v>43175</c:v>
                </c:pt>
                <c:pt idx="591">
                  <c:v>43178</c:v>
                </c:pt>
                <c:pt idx="592">
                  <c:v>43179</c:v>
                </c:pt>
                <c:pt idx="593">
                  <c:v>43180</c:v>
                </c:pt>
                <c:pt idx="594">
                  <c:v>43181</c:v>
                </c:pt>
                <c:pt idx="595">
                  <c:v>43182</c:v>
                </c:pt>
                <c:pt idx="596">
                  <c:v>43185</c:v>
                </c:pt>
                <c:pt idx="597">
                  <c:v>43186</c:v>
                </c:pt>
                <c:pt idx="598">
                  <c:v>43187</c:v>
                </c:pt>
                <c:pt idx="599">
                  <c:v>43188</c:v>
                </c:pt>
                <c:pt idx="600">
                  <c:v>43192</c:v>
                </c:pt>
                <c:pt idx="601">
                  <c:v>43193</c:v>
                </c:pt>
                <c:pt idx="602">
                  <c:v>43194</c:v>
                </c:pt>
                <c:pt idx="603">
                  <c:v>43195</c:v>
                </c:pt>
                <c:pt idx="604">
                  <c:v>43196</c:v>
                </c:pt>
                <c:pt idx="605">
                  <c:v>43199</c:v>
                </c:pt>
                <c:pt idx="606">
                  <c:v>43200</c:v>
                </c:pt>
                <c:pt idx="607">
                  <c:v>43201</c:v>
                </c:pt>
                <c:pt idx="608">
                  <c:v>43202</c:v>
                </c:pt>
                <c:pt idx="609">
                  <c:v>43203</c:v>
                </c:pt>
                <c:pt idx="610">
                  <c:v>43206</c:v>
                </c:pt>
                <c:pt idx="611">
                  <c:v>43207</c:v>
                </c:pt>
                <c:pt idx="612">
                  <c:v>43208</c:v>
                </c:pt>
                <c:pt idx="613">
                  <c:v>43209</c:v>
                </c:pt>
                <c:pt idx="614">
                  <c:v>43210</c:v>
                </c:pt>
                <c:pt idx="615">
                  <c:v>43213</c:v>
                </c:pt>
                <c:pt idx="616">
                  <c:v>43214</c:v>
                </c:pt>
                <c:pt idx="617">
                  <c:v>43215</c:v>
                </c:pt>
                <c:pt idx="618">
                  <c:v>43216</c:v>
                </c:pt>
                <c:pt idx="619">
                  <c:v>43217</c:v>
                </c:pt>
                <c:pt idx="620">
                  <c:v>43220</c:v>
                </c:pt>
                <c:pt idx="621">
                  <c:v>43221</c:v>
                </c:pt>
                <c:pt idx="622">
                  <c:v>43222</c:v>
                </c:pt>
                <c:pt idx="623">
                  <c:v>43223</c:v>
                </c:pt>
                <c:pt idx="624">
                  <c:v>43224</c:v>
                </c:pt>
                <c:pt idx="625">
                  <c:v>43227</c:v>
                </c:pt>
                <c:pt idx="626">
                  <c:v>43228</c:v>
                </c:pt>
                <c:pt idx="627">
                  <c:v>43229</c:v>
                </c:pt>
                <c:pt idx="628">
                  <c:v>43230</c:v>
                </c:pt>
                <c:pt idx="629">
                  <c:v>43231</c:v>
                </c:pt>
                <c:pt idx="630">
                  <c:v>43234</c:v>
                </c:pt>
                <c:pt idx="631">
                  <c:v>43235</c:v>
                </c:pt>
                <c:pt idx="632">
                  <c:v>43236</c:v>
                </c:pt>
                <c:pt idx="633">
                  <c:v>43237</c:v>
                </c:pt>
                <c:pt idx="634">
                  <c:v>43238</c:v>
                </c:pt>
                <c:pt idx="635">
                  <c:v>43241</c:v>
                </c:pt>
                <c:pt idx="636">
                  <c:v>43242</c:v>
                </c:pt>
                <c:pt idx="637">
                  <c:v>43243</c:v>
                </c:pt>
                <c:pt idx="638">
                  <c:v>43244</c:v>
                </c:pt>
                <c:pt idx="639">
                  <c:v>43245</c:v>
                </c:pt>
                <c:pt idx="640">
                  <c:v>43249</c:v>
                </c:pt>
                <c:pt idx="641">
                  <c:v>43250</c:v>
                </c:pt>
                <c:pt idx="642">
                  <c:v>43251</c:v>
                </c:pt>
                <c:pt idx="643">
                  <c:v>43252</c:v>
                </c:pt>
                <c:pt idx="644">
                  <c:v>43255</c:v>
                </c:pt>
                <c:pt idx="645">
                  <c:v>43256</c:v>
                </c:pt>
                <c:pt idx="646">
                  <c:v>43257</c:v>
                </c:pt>
                <c:pt idx="647">
                  <c:v>43258</c:v>
                </c:pt>
                <c:pt idx="648">
                  <c:v>43259</c:v>
                </c:pt>
                <c:pt idx="649">
                  <c:v>43262</c:v>
                </c:pt>
                <c:pt idx="650">
                  <c:v>43263</c:v>
                </c:pt>
                <c:pt idx="651">
                  <c:v>43264</c:v>
                </c:pt>
                <c:pt idx="652">
                  <c:v>43265</c:v>
                </c:pt>
                <c:pt idx="653">
                  <c:v>43266</c:v>
                </c:pt>
                <c:pt idx="654">
                  <c:v>43269</c:v>
                </c:pt>
                <c:pt idx="655">
                  <c:v>43270</c:v>
                </c:pt>
                <c:pt idx="656">
                  <c:v>43271</c:v>
                </c:pt>
                <c:pt idx="657">
                  <c:v>43272</c:v>
                </c:pt>
                <c:pt idx="658">
                  <c:v>43273</c:v>
                </c:pt>
                <c:pt idx="659">
                  <c:v>43276</c:v>
                </c:pt>
                <c:pt idx="660">
                  <c:v>43277</c:v>
                </c:pt>
                <c:pt idx="661">
                  <c:v>43278</c:v>
                </c:pt>
                <c:pt idx="662">
                  <c:v>43279</c:v>
                </c:pt>
                <c:pt idx="663">
                  <c:v>43280</c:v>
                </c:pt>
                <c:pt idx="664">
                  <c:v>43283</c:v>
                </c:pt>
                <c:pt idx="665">
                  <c:v>43284</c:v>
                </c:pt>
                <c:pt idx="666">
                  <c:v>43286</c:v>
                </c:pt>
                <c:pt idx="667">
                  <c:v>43287</c:v>
                </c:pt>
                <c:pt idx="668">
                  <c:v>43290</c:v>
                </c:pt>
                <c:pt idx="669">
                  <c:v>43291</c:v>
                </c:pt>
                <c:pt idx="670">
                  <c:v>43292</c:v>
                </c:pt>
                <c:pt idx="671">
                  <c:v>43293</c:v>
                </c:pt>
                <c:pt idx="672">
                  <c:v>43294</c:v>
                </c:pt>
                <c:pt idx="673">
                  <c:v>43297</c:v>
                </c:pt>
                <c:pt idx="674">
                  <c:v>43298</c:v>
                </c:pt>
                <c:pt idx="675">
                  <c:v>43299</c:v>
                </c:pt>
                <c:pt idx="676">
                  <c:v>43300</c:v>
                </c:pt>
                <c:pt idx="677">
                  <c:v>43301</c:v>
                </c:pt>
                <c:pt idx="678">
                  <c:v>43304</c:v>
                </c:pt>
                <c:pt idx="679">
                  <c:v>43305</c:v>
                </c:pt>
                <c:pt idx="680">
                  <c:v>43306</c:v>
                </c:pt>
                <c:pt idx="681">
                  <c:v>43307</c:v>
                </c:pt>
                <c:pt idx="682">
                  <c:v>43308</c:v>
                </c:pt>
                <c:pt idx="683">
                  <c:v>43311</c:v>
                </c:pt>
                <c:pt idx="684">
                  <c:v>43312</c:v>
                </c:pt>
                <c:pt idx="685">
                  <c:v>43313</c:v>
                </c:pt>
                <c:pt idx="686">
                  <c:v>43314</c:v>
                </c:pt>
                <c:pt idx="687">
                  <c:v>43315</c:v>
                </c:pt>
                <c:pt idx="688">
                  <c:v>43318</c:v>
                </c:pt>
                <c:pt idx="689">
                  <c:v>43319</c:v>
                </c:pt>
                <c:pt idx="690">
                  <c:v>43320</c:v>
                </c:pt>
                <c:pt idx="691">
                  <c:v>43321</c:v>
                </c:pt>
                <c:pt idx="692">
                  <c:v>43322</c:v>
                </c:pt>
                <c:pt idx="693">
                  <c:v>43325</c:v>
                </c:pt>
                <c:pt idx="694">
                  <c:v>43326</c:v>
                </c:pt>
                <c:pt idx="695">
                  <c:v>43327</c:v>
                </c:pt>
                <c:pt idx="696">
                  <c:v>43328</c:v>
                </c:pt>
                <c:pt idx="697">
                  <c:v>43329</c:v>
                </c:pt>
                <c:pt idx="698">
                  <c:v>43332</c:v>
                </c:pt>
                <c:pt idx="699">
                  <c:v>43333</c:v>
                </c:pt>
                <c:pt idx="700">
                  <c:v>43334</c:v>
                </c:pt>
                <c:pt idx="701">
                  <c:v>43335</c:v>
                </c:pt>
                <c:pt idx="702">
                  <c:v>43336</c:v>
                </c:pt>
                <c:pt idx="703">
                  <c:v>43339</c:v>
                </c:pt>
                <c:pt idx="704">
                  <c:v>43340</c:v>
                </c:pt>
                <c:pt idx="705">
                  <c:v>43341</c:v>
                </c:pt>
                <c:pt idx="706">
                  <c:v>43342</c:v>
                </c:pt>
                <c:pt idx="707">
                  <c:v>43343</c:v>
                </c:pt>
                <c:pt idx="708">
                  <c:v>43347</c:v>
                </c:pt>
                <c:pt idx="709">
                  <c:v>43348</c:v>
                </c:pt>
                <c:pt idx="710">
                  <c:v>43349</c:v>
                </c:pt>
                <c:pt idx="711">
                  <c:v>43350</c:v>
                </c:pt>
                <c:pt idx="712">
                  <c:v>43353</c:v>
                </c:pt>
                <c:pt idx="713">
                  <c:v>43354</c:v>
                </c:pt>
                <c:pt idx="714">
                  <c:v>43355</c:v>
                </c:pt>
                <c:pt idx="715">
                  <c:v>43356</c:v>
                </c:pt>
                <c:pt idx="716">
                  <c:v>43357</c:v>
                </c:pt>
                <c:pt idx="717">
                  <c:v>43360</c:v>
                </c:pt>
                <c:pt idx="718">
                  <c:v>43361</c:v>
                </c:pt>
                <c:pt idx="719">
                  <c:v>43362</c:v>
                </c:pt>
                <c:pt idx="720">
                  <c:v>43363</c:v>
                </c:pt>
                <c:pt idx="721">
                  <c:v>43364</c:v>
                </c:pt>
                <c:pt idx="722">
                  <c:v>43367</c:v>
                </c:pt>
                <c:pt idx="723">
                  <c:v>43368</c:v>
                </c:pt>
                <c:pt idx="724">
                  <c:v>43369</c:v>
                </c:pt>
                <c:pt idx="725">
                  <c:v>43370</c:v>
                </c:pt>
                <c:pt idx="726">
                  <c:v>43371</c:v>
                </c:pt>
                <c:pt idx="727">
                  <c:v>43374</c:v>
                </c:pt>
                <c:pt idx="728">
                  <c:v>43375</c:v>
                </c:pt>
                <c:pt idx="729">
                  <c:v>43376</c:v>
                </c:pt>
                <c:pt idx="730">
                  <c:v>43377</c:v>
                </c:pt>
                <c:pt idx="731">
                  <c:v>43378</c:v>
                </c:pt>
                <c:pt idx="732">
                  <c:v>43381</c:v>
                </c:pt>
                <c:pt idx="733">
                  <c:v>43382</c:v>
                </c:pt>
                <c:pt idx="734">
                  <c:v>43383</c:v>
                </c:pt>
                <c:pt idx="735">
                  <c:v>43384</c:v>
                </c:pt>
                <c:pt idx="736">
                  <c:v>43385</c:v>
                </c:pt>
                <c:pt idx="737">
                  <c:v>43388</c:v>
                </c:pt>
              </c:numCache>
            </c:numRef>
          </c:xVal>
          <c:yVal>
            <c:numRef>
              <c:f>'tesla-stock-price (3)'!$H$22:$H$750</c:f>
              <c:numCache>
                <c:formatCode>General</c:formatCode>
                <c:ptCount val="729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10000.000000000005</c:v>
                </c:pt>
                <c:pt idx="7">
                  <c:v>10032.850000000006</c:v>
                </c:pt>
                <c:pt idx="8">
                  <c:v>9952.3000000000047</c:v>
                </c:pt>
                <c:pt idx="9">
                  <c:v>9850.6000000000058</c:v>
                </c:pt>
                <c:pt idx="10">
                  <c:v>9873.1000000000058</c:v>
                </c:pt>
                <c:pt idx="11">
                  <c:v>10385.650000000005</c:v>
                </c:pt>
                <c:pt idx="12">
                  <c:v>10474.300000000007</c:v>
                </c:pt>
                <c:pt idx="13">
                  <c:v>10413.550000000005</c:v>
                </c:pt>
                <c:pt idx="14">
                  <c:v>10725.400000000005</c:v>
                </c:pt>
                <c:pt idx="15">
                  <c:v>10491.400000000007</c:v>
                </c:pt>
                <c:pt idx="16">
                  <c:v>10523.800000000007</c:v>
                </c:pt>
                <c:pt idx="17">
                  <c:v>10418.950000000006</c:v>
                </c:pt>
                <c:pt idx="18">
                  <c:v>10418.950000000006</c:v>
                </c:pt>
                <c:pt idx="19">
                  <c:v>10418.950000000006</c:v>
                </c:pt>
                <c:pt idx="20">
                  <c:v>10418.950000000006</c:v>
                </c:pt>
                <c:pt idx="21">
                  <c:v>10418.950000000006</c:v>
                </c:pt>
                <c:pt idx="22">
                  <c:v>10418.950000000006</c:v>
                </c:pt>
                <c:pt idx="23">
                  <c:v>10418.950000000006</c:v>
                </c:pt>
                <c:pt idx="24">
                  <c:v>10418.950000000006</c:v>
                </c:pt>
                <c:pt idx="25">
                  <c:v>10418.950000000006</c:v>
                </c:pt>
                <c:pt idx="26">
                  <c:v>10418.950000000006</c:v>
                </c:pt>
                <c:pt idx="27">
                  <c:v>10418.950000000006</c:v>
                </c:pt>
                <c:pt idx="28">
                  <c:v>10418.950000000006</c:v>
                </c:pt>
                <c:pt idx="29">
                  <c:v>10418.950000000006</c:v>
                </c:pt>
                <c:pt idx="30">
                  <c:v>10418.950000000006</c:v>
                </c:pt>
                <c:pt idx="31">
                  <c:v>10418.950000000006</c:v>
                </c:pt>
                <c:pt idx="32">
                  <c:v>10418.950000000006</c:v>
                </c:pt>
                <c:pt idx="33">
                  <c:v>10418.950000000006</c:v>
                </c:pt>
                <c:pt idx="34">
                  <c:v>10418.950000000006</c:v>
                </c:pt>
                <c:pt idx="35">
                  <c:v>10418.950000000006</c:v>
                </c:pt>
                <c:pt idx="36">
                  <c:v>10418.950000000006</c:v>
                </c:pt>
                <c:pt idx="37">
                  <c:v>10418.950000000006</c:v>
                </c:pt>
                <c:pt idx="38">
                  <c:v>10418.950000000006</c:v>
                </c:pt>
                <c:pt idx="39">
                  <c:v>10418.950000000006</c:v>
                </c:pt>
                <c:pt idx="40">
                  <c:v>10418.950000000006</c:v>
                </c:pt>
                <c:pt idx="41">
                  <c:v>10418.950000000006</c:v>
                </c:pt>
                <c:pt idx="42">
                  <c:v>10418.950000000006</c:v>
                </c:pt>
                <c:pt idx="43">
                  <c:v>10418.950000000006</c:v>
                </c:pt>
                <c:pt idx="44">
                  <c:v>10418.950000000006</c:v>
                </c:pt>
                <c:pt idx="45">
                  <c:v>10418.950000000006</c:v>
                </c:pt>
                <c:pt idx="46">
                  <c:v>10418.950000000006</c:v>
                </c:pt>
                <c:pt idx="47">
                  <c:v>10418.950000000006</c:v>
                </c:pt>
                <c:pt idx="48">
                  <c:v>10418.950000000006</c:v>
                </c:pt>
                <c:pt idx="49">
                  <c:v>10418.950000000006</c:v>
                </c:pt>
                <c:pt idx="50">
                  <c:v>10418.950000000006</c:v>
                </c:pt>
                <c:pt idx="51">
                  <c:v>10418.950000000006</c:v>
                </c:pt>
                <c:pt idx="52">
                  <c:v>10418.950000000006</c:v>
                </c:pt>
                <c:pt idx="53">
                  <c:v>10418.950000000006</c:v>
                </c:pt>
                <c:pt idx="54">
                  <c:v>10418.950000000006</c:v>
                </c:pt>
                <c:pt idx="55">
                  <c:v>10418.950000000008</c:v>
                </c:pt>
                <c:pt idx="56">
                  <c:v>9682.6300000000083</c:v>
                </c:pt>
                <c:pt idx="57">
                  <c:v>9199.0300000000079</c:v>
                </c:pt>
                <c:pt idx="58">
                  <c:v>9295.2300000000087</c:v>
                </c:pt>
                <c:pt idx="59">
                  <c:v>8633.2700000000077</c:v>
                </c:pt>
                <c:pt idx="60">
                  <c:v>7873.5500000000084</c:v>
                </c:pt>
                <c:pt idx="61">
                  <c:v>7887.0700000000079</c:v>
                </c:pt>
                <c:pt idx="62">
                  <c:v>7648.9100000000071</c:v>
                </c:pt>
                <c:pt idx="63">
                  <c:v>8002.5100000000075</c:v>
                </c:pt>
                <c:pt idx="64">
                  <c:v>8032.1500000000078</c:v>
                </c:pt>
                <c:pt idx="65">
                  <c:v>8246.9100000000089</c:v>
                </c:pt>
                <c:pt idx="66">
                  <c:v>8962.9400000000096</c:v>
                </c:pt>
                <c:pt idx="67">
                  <c:v>8861.71000000001</c:v>
                </c:pt>
                <c:pt idx="68">
                  <c:v>8851.6400000000085</c:v>
                </c:pt>
                <c:pt idx="69">
                  <c:v>9443.1200000000099</c:v>
                </c:pt>
                <c:pt idx="70">
                  <c:v>9415.0300000000097</c:v>
                </c:pt>
                <c:pt idx="71">
                  <c:v>9509.9000000000087</c:v>
                </c:pt>
                <c:pt idx="72">
                  <c:v>9956.6900000000096</c:v>
                </c:pt>
                <c:pt idx="73">
                  <c:v>10110.920000000009</c:v>
                </c:pt>
                <c:pt idx="74">
                  <c:v>10195.19000000001</c:v>
                </c:pt>
                <c:pt idx="75">
                  <c:v>9899.450000000008</c:v>
                </c:pt>
                <c:pt idx="76">
                  <c:v>10004.920000000009</c:v>
                </c:pt>
                <c:pt idx="77">
                  <c:v>10397.12000000001</c:v>
                </c:pt>
                <c:pt idx="78">
                  <c:v>10678.020000000008</c:v>
                </c:pt>
                <c:pt idx="79">
                  <c:v>10903.270000000008</c:v>
                </c:pt>
                <c:pt idx="80">
                  <c:v>10760.700000000008</c:v>
                </c:pt>
                <c:pt idx="81">
                  <c:v>11085.060000000009</c:v>
                </c:pt>
                <c:pt idx="82">
                  <c:v>10897.44000000001</c:v>
                </c:pt>
                <c:pt idx="83">
                  <c:v>11020.400000000009</c:v>
                </c:pt>
                <c:pt idx="84">
                  <c:v>11425.850000000009</c:v>
                </c:pt>
                <c:pt idx="85">
                  <c:v>11594.920000000009</c:v>
                </c:pt>
                <c:pt idx="86">
                  <c:v>11785.19000000001</c:v>
                </c:pt>
                <c:pt idx="87">
                  <c:v>12021.040000000008</c:v>
                </c:pt>
                <c:pt idx="88">
                  <c:v>12358.12000000001</c:v>
                </c:pt>
                <c:pt idx="89">
                  <c:v>12653.860000000008</c:v>
                </c:pt>
                <c:pt idx="90">
                  <c:v>12437.62000000001</c:v>
                </c:pt>
                <c:pt idx="91">
                  <c:v>11819.640000000009</c:v>
                </c:pt>
                <c:pt idx="92">
                  <c:v>12093.650000000009</c:v>
                </c:pt>
                <c:pt idx="93">
                  <c:v>12226.680000000008</c:v>
                </c:pt>
                <c:pt idx="94">
                  <c:v>12226.680000000008</c:v>
                </c:pt>
                <c:pt idx="95">
                  <c:v>12226.680000000008</c:v>
                </c:pt>
                <c:pt idx="96">
                  <c:v>12226.680000000008</c:v>
                </c:pt>
                <c:pt idx="97">
                  <c:v>12226.680000000008</c:v>
                </c:pt>
                <c:pt idx="98">
                  <c:v>12226.680000000008</c:v>
                </c:pt>
                <c:pt idx="99">
                  <c:v>12226.680000000008</c:v>
                </c:pt>
                <c:pt idx="100">
                  <c:v>12226.680000000008</c:v>
                </c:pt>
                <c:pt idx="101">
                  <c:v>12226.680000000008</c:v>
                </c:pt>
                <c:pt idx="102">
                  <c:v>12226.680000000008</c:v>
                </c:pt>
                <c:pt idx="103">
                  <c:v>12226.680000000008</c:v>
                </c:pt>
                <c:pt idx="104">
                  <c:v>12226.680000000008</c:v>
                </c:pt>
                <c:pt idx="105">
                  <c:v>12226.680000000008</c:v>
                </c:pt>
                <c:pt idx="106">
                  <c:v>12226.680000000008</c:v>
                </c:pt>
                <c:pt idx="107">
                  <c:v>12226.679999999998</c:v>
                </c:pt>
                <c:pt idx="108">
                  <c:v>12196.439999999999</c:v>
                </c:pt>
                <c:pt idx="109">
                  <c:v>11883.96</c:v>
                </c:pt>
                <c:pt idx="110">
                  <c:v>12008.759999999998</c:v>
                </c:pt>
                <c:pt idx="111">
                  <c:v>12008.759999999998</c:v>
                </c:pt>
                <c:pt idx="112">
                  <c:v>12008.759999999998</c:v>
                </c:pt>
                <c:pt idx="113">
                  <c:v>12008.759999999998</c:v>
                </c:pt>
                <c:pt idx="114">
                  <c:v>12008.760000000007</c:v>
                </c:pt>
                <c:pt idx="115">
                  <c:v>11902.070000000007</c:v>
                </c:pt>
                <c:pt idx="116">
                  <c:v>11725.350000000008</c:v>
                </c:pt>
                <c:pt idx="117">
                  <c:v>11725.350000000008</c:v>
                </c:pt>
                <c:pt idx="118">
                  <c:v>11725.350000000008</c:v>
                </c:pt>
                <c:pt idx="119">
                  <c:v>11725.350000000008</c:v>
                </c:pt>
                <c:pt idx="120">
                  <c:v>11725.350000000008</c:v>
                </c:pt>
                <c:pt idx="121">
                  <c:v>11725.350000000008</c:v>
                </c:pt>
                <c:pt idx="122">
                  <c:v>11725.350000000008</c:v>
                </c:pt>
                <c:pt idx="123">
                  <c:v>11725.350000000008</c:v>
                </c:pt>
                <c:pt idx="124">
                  <c:v>11725.350000000008</c:v>
                </c:pt>
                <c:pt idx="125">
                  <c:v>11725.350000000008</c:v>
                </c:pt>
                <c:pt idx="126">
                  <c:v>11725.350000000008</c:v>
                </c:pt>
                <c:pt idx="127">
                  <c:v>11725.350000000008</c:v>
                </c:pt>
                <c:pt idx="128">
                  <c:v>11725.350000000008</c:v>
                </c:pt>
                <c:pt idx="129">
                  <c:v>11725.350000000008</c:v>
                </c:pt>
                <c:pt idx="130">
                  <c:v>11725.350000000008</c:v>
                </c:pt>
                <c:pt idx="131">
                  <c:v>11725.350000000008</c:v>
                </c:pt>
                <c:pt idx="132">
                  <c:v>11725.350000000008</c:v>
                </c:pt>
                <c:pt idx="133">
                  <c:v>11725.350000000008</c:v>
                </c:pt>
                <c:pt idx="134">
                  <c:v>11725.350000000008</c:v>
                </c:pt>
                <c:pt idx="135">
                  <c:v>11725.350000000008</c:v>
                </c:pt>
                <c:pt idx="136">
                  <c:v>11725.350000000008</c:v>
                </c:pt>
                <c:pt idx="137">
                  <c:v>11725.350000000008</c:v>
                </c:pt>
                <c:pt idx="138">
                  <c:v>11725.350000000008</c:v>
                </c:pt>
                <c:pt idx="139">
                  <c:v>11725.350000000008</c:v>
                </c:pt>
                <c:pt idx="140">
                  <c:v>11725.350000000008</c:v>
                </c:pt>
                <c:pt idx="141">
                  <c:v>11725.350000000008</c:v>
                </c:pt>
                <c:pt idx="142">
                  <c:v>11725.350000000008</c:v>
                </c:pt>
                <c:pt idx="143">
                  <c:v>11725.350000000008</c:v>
                </c:pt>
                <c:pt idx="144">
                  <c:v>11725.350000000008</c:v>
                </c:pt>
                <c:pt idx="145">
                  <c:v>11725.350000000008</c:v>
                </c:pt>
                <c:pt idx="146">
                  <c:v>11725.350000000008</c:v>
                </c:pt>
                <c:pt idx="147">
                  <c:v>11725.350000000008</c:v>
                </c:pt>
                <c:pt idx="148">
                  <c:v>11725.350000000008</c:v>
                </c:pt>
                <c:pt idx="149">
                  <c:v>11725.350000000008</c:v>
                </c:pt>
                <c:pt idx="150">
                  <c:v>11725.350000000008</c:v>
                </c:pt>
                <c:pt idx="151">
                  <c:v>11725.350000000008</c:v>
                </c:pt>
                <c:pt idx="152">
                  <c:v>11725.349999999999</c:v>
                </c:pt>
                <c:pt idx="153">
                  <c:v>11720.58</c:v>
                </c:pt>
                <c:pt idx="154">
                  <c:v>10504.23</c:v>
                </c:pt>
                <c:pt idx="155">
                  <c:v>10490.45</c:v>
                </c:pt>
                <c:pt idx="156">
                  <c:v>10318.200000000001</c:v>
                </c:pt>
                <c:pt idx="157">
                  <c:v>10604.400000000001</c:v>
                </c:pt>
                <c:pt idx="158">
                  <c:v>10776.119999999999</c:v>
                </c:pt>
                <c:pt idx="159">
                  <c:v>11221.32</c:v>
                </c:pt>
                <c:pt idx="160">
                  <c:v>11332.09</c:v>
                </c:pt>
                <c:pt idx="161">
                  <c:v>11555.75</c:v>
                </c:pt>
                <c:pt idx="162">
                  <c:v>11422.189999999999</c:v>
                </c:pt>
                <c:pt idx="163">
                  <c:v>11446.57</c:v>
                </c:pt>
                <c:pt idx="164">
                  <c:v>11526.07</c:v>
                </c:pt>
                <c:pt idx="165">
                  <c:v>11570.59</c:v>
                </c:pt>
                <c:pt idx="166">
                  <c:v>11994.59</c:v>
                </c:pt>
                <c:pt idx="167">
                  <c:v>11987.7</c:v>
                </c:pt>
                <c:pt idx="168">
                  <c:v>11875.34</c:v>
                </c:pt>
                <c:pt idx="169">
                  <c:v>11822.34</c:v>
                </c:pt>
                <c:pt idx="170">
                  <c:v>11762.45</c:v>
                </c:pt>
                <c:pt idx="171">
                  <c:v>12072.5</c:v>
                </c:pt>
                <c:pt idx="172">
                  <c:v>12020.029999999999</c:v>
                </c:pt>
                <c:pt idx="173">
                  <c:v>12184.33</c:v>
                </c:pt>
                <c:pt idx="174">
                  <c:v>11767.75</c:v>
                </c:pt>
                <c:pt idx="175">
                  <c:v>11861.560000000001</c:v>
                </c:pt>
                <c:pt idx="176">
                  <c:v>12271.779999999999</c:v>
                </c:pt>
                <c:pt idx="177">
                  <c:v>12245.279999999999</c:v>
                </c:pt>
                <c:pt idx="178">
                  <c:v>12191.220000000001</c:v>
                </c:pt>
                <c:pt idx="179">
                  <c:v>12303.58</c:v>
                </c:pt>
                <c:pt idx="180">
                  <c:v>12525.119999999999</c:v>
                </c:pt>
                <c:pt idx="181">
                  <c:v>12271.779999999999</c:v>
                </c:pt>
                <c:pt idx="182">
                  <c:v>12122.849999999999</c:v>
                </c:pt>
                <c:pt idx="183">
                  <c:v>12122.849999999999</c:v>
                </c:pt>
                <c:pt idx="184">
                  <c:v>12122.849999999999</c:v>
                </c:pt>
                <c:pt idx="185">
                  <c:v>12122.849999999999</c:v>
                </c:pt>
                <c:pt idx="186">
                  <c:v>12122.849999999999</c:v>
                </c:pt>
                <c:pt idx="187">
                  <c:v>12122.849999999999</c:v>
                </c:pt>
                <c:pt idx="188">
                  <c:v>12122.849999999999</c:v>
                </c:pt>
                <c:pt idx="189">
                  <c:v>12122.849999999999</c:v>
                </c:pt>
                <c:pt idx="190">
                  <c:v>12122.849999999999</c:v>
                </c:pt>
                <c:pt idx="191">
                  <c:v>12122.849999999999</c:v>
                </c:pt>
                <c:pt idx="192">
                  <c:v>12122.849999999999</c:v>
                </c:pt>
                <c:pt idx="193">
                  <c:v>12122.849999999999</c:v>
                </c:pt>
                <c:pt idx="194">
                  <c:v>12122.849999999999</c:v>
                </c:pt>
                <c:pt idx="195">
                  <c:v>12122.849999999999</c:v>
                </c:pt>
                <c:pt idx="196">
                  <c:v>12122.849999999999</c:v>
                </c:pt>
                <c:pt idx="197">
                  <c:v>12122.849999999993</c:v>
                </c:pt>
                <c:pt idx="198">
                  <c:v>12005.189999999993</c:v>
                </c:pt>
                <c:pt idx="199">
                  <c:v>11917.209999999994</c:v>
                </c:pt>
                <c:pt idx="200">
                  <c:v>11865.799999999994</c:v>
                </c:pt>
                <c:pt idx="201">
                  <c:v>11611.929999999991</c:v>
                </c:pt>
                <c:pt idx="202">
                  <c:v>11407.349999999993</c:v>
                </c:pt>
                <c:pt idx="203">
                  <c:v>11442.859999999991</c:v>
                </c:pt>
                <c:pt idx="204">
                  <c:v>10847.139999999994</c:v>
                </c:pt>
                <c:pt idx="205">
                  <c:v>10688.669999999993</c:v>
                </c:pt>
                <c:pt idx="206">
                  <c:v>10956.319999999992</c:v>
                </c:pt>
                <c:pt idx="207">
                  <c:v>10896.959999999994</c:v>
                </c:pt>
                <c:pt idx="208">
                  <c:v>10666.409999999993</c:v>
                </c:pt>
                <c:pt idx="209">
                  <c:v>10513.239999999993</c:v>
                </c:pt>
                <c:pt idx="210">
                  <c:v>10716.229999999994</c:v>
                </c:pt>
                <c:pt idx="211">
                  <c:v>10596.979999999994</c:v>
                </c:pt>
                <c:pt idx="212">
                  <c:v>10616.059999999992</c:v>
                </c:pt>
                <c:pt idx="213">
                  <c:v>10828.589999999991</c:v>
                </c:pt>
                <c:pt idx="214">
                  <c:v>11097.509999999993</c:v>
                </c:pt>
                <c:pt idx="215">
                  <c:v>11148.269999999993</c:v>
                </c:pt>
                <c:pt idx="216">
                  <c:v>11056.469999999992</c:v>
                </c:pt>
                <c:pt idx="217">
                  <c:v>11087.789999999992</c:v>
                </c:pt>
                <c:pt idx="218">
                  <c:v>11153.129999999994</c:v>
                </c:pt>
                <c:pt idx="219">
                  <c:v>11208.209999999992</c:v>
                </c:pt>
                <c:pt idx="220">
                  <c:v>11291.369999999994</c:v>
                </c:pt>
                <c:pt idx="221">
                  <c:v>11119.649999999992</c:v>
                </c:pt>
                <c:pt idx="222">
                  <c:v>11144.489999999993</c:v>
                </c:pt>
                <c:pt idx="223">
                  <c:v>10843.709999999992</c:v>
                </c:pt>
                <c:pt idx="224">
                  <c:v>11023.529999999993</c:v>
                </c:pt>
                <c:pt idx="225">
                  <c:v>11545.709999999992</c:v>
                </c:pt>
                <c:pt idx="226">
                  <c:v>11422.049999999992</c:v>
                </c:pt>
                <c:pt idx="227">
                  <c:v>11262.749999999993</c:v>
                </c:pt>
                <c:pt idx="228">
                  <c:v>10859.909999999993</c:v>
                </c:pt>
                <c:pt idx="229">
                  <c:v>10622.849999999993</c:v>
                </c:pt>
                <c:pt idx="230">
                  <c:v>10857.209999999992</c:v>
                </c:pt>
                <c:pt idx="231">
                  <c:v>10857.209999999992</c:v>
                </c:pt>
                <c:pt idx="232">
                  <c:v>10857.209999999992</c:v>
                </c:pt>
                <c:pt idx="233">
                  <c:v>10857.209999999992</c:v>
                </c:pt>
                <c:pt idx="234">
                  <c:v>10857.209999999992</c:v>
                </c:pt>
                <c:pt idx="235">
                  <c:v>10857.209999999992</c:v>
                </c:pt>
                <c:pt idx="236">
                  <c:v>10857.209999999992</c:v>
                </c:pt>
                <c:pt idx="237">
                  <c:v>10857.209999999992</c:v>
                </c:pt>
                <c:pt idx="238">
                  <c:v>10857.209999999992</c:v>
                </c:pt>
                <c:pt idx="239">
                  <c:v>10857.209999999986</c:v>
                </c:pt>
                <c:pt idx="240">
                  <c:v>11001.389999999985</c:v>
                </c:pt>
                <c:pt idx="241">
                  <c:v>10978.709999999986</c:v>
                </c:pt>
                <c:pt idx="242">
                  <c:v>10973.309999999987</c:v>
                </c:pt>
                <c:pt idx="243">
                  <c:v>11068.889999999985</c:v>
                </c:pt>
                <c:pt idx="244">
                  <c:v>10850.729999999985</c:v>
                </c:pt>
                <c:pt idx="245">
                  <c:v>10729.769999999986</c:v>
                </c:pt>
                <c:pt idx="246">
                  <c:v>10355.009999999986</c:v>
                </c:pt>
                <c:pt idx="247">
                  <c:v>10205.429999999986</c:v>
                </c:pt>
                <c:pt idx="248">
                  <c:v>10173.029999999984</c:v>
                </c:pt>
                <c:pt idx="249">
                  <c:v>10342.589999999986</c:v>
                </c:pt>
                <c:pt idx="250">
                  <c:v>10485.689999999986</c:v>
                </c:pt>
                <c:pt idx="251">
                  <c:v>10579.109999999986</c:v>
                </c:pt>
                <c:pt idx="252">
                  <c:v>10315.589999999986</c:v>
                </c:pt>
                <c:pt idx="253">
                  <c:v>10061.249999999985</c:v>
                </c:pt>
                <c:pt idx="254">
                  <c:v>10234.589999999986</c:v>
                </c:pt>
                <c:pt idx="255">
                  <c:v>10234.589999999986</c:v>
                </c:pt>
                <c:pt idx="256">
                  <c:v>10234.589999999986</c:v>
                </c:pt>
                <c:pt idx="257">
                  <c:v>10234.589999999986</c:v>
                </c:pt>
                <c:pt idx="258">
                  <c:v>10234.589999999991</c:v>
                </c:pt>
                <c:pt idx="259">
                  <c:v>10038.029999999992</c:v>
                </c:pt>
                <c:pt idx="260">
                  <c:v>10011.029999999992</c:v>
                </c:pt>
                <c:pt idx="261">
                  <c:v>10370.12999999999</c:v>
                </c:pt>
                <c:pt idx="262">
                  <c:v>10476.509999999991</c:v>
                </c:pt>
                <c:pt idx="263">
                  <c:v>10666.049999999992</c:v>
                </c:pt>
                <c:pt idx="264">
                  <c:v>10637.429999999991</c:v>
                </c:pt>
                <c:pt idx="265">
                  <c:v>10283.72999999999</c:v>
                </c:pt>
                <c:pt idx="266">
                  <c:v>10274.549999999992</c:v>
                </c:pt>
                <c:pt idx="267">
                  <c:v>10274.549999999992</c:v>
                </c:pt>
                <c:pt idx="268">
                  <c:v>10274.549999999992</c:v>
                </c:pt>
                <c:pt idx="269">
                  <c:v>10274.549999999992</c:v>
                </c:pt>
                <c:pt idx="270">
                  <c:v>10274.549999999992</c:v>
                </c:pt>
                <c:pt idx="271">
                  <c:v>10274.550000000003</c:v>
                </c:pt>
                <c:pt idx="272">
                  <c:v>10228.970000000001</c:v>
                </c:pt>
                <c:pt idx="273">
                  <c:v>10223.140000000003</c:v>
                </c:pt>
                <c:pt idx="274">
                  <c:v>10236.390000000003</c:v>
                </c:pt>
                <c:pt idx="275">
                  <c:v>10539.550000000003</c:v>
                </c:pt>
                <c:pt idx="276">
                  <c:v>10568.170000000002</c:v>
                </c:pt>
                <c:pt idx="277">
                  <c:v>10509.340000000002</c:v>
                </c:pt>
                <c:pt idx="278">
                  <c:v>10769.570000000003</c:v>
                </c:pt>
                <c:pt idx="279">
                  <c:v>10782.29</c:v>
                </c:pt>
                <c:pt idx="280">
                  <c:v>11103.470000000001</c:v>
                </c:pt>
                <c:pt idx="281">
                  <c:v>11045.7</c:v>
                </c:pt>
                <c:pt idx="282">
                  <c:v>11085.45</c:v>
                </c:pt>
                <c:pt idx="283">
                  <c:v>11344.620000000003</c:v>
                </c:pt>
                <c:pt idx="284">
                  <c:v>11672.690000000002</c:v>
                </c:pt>
                <c:pt idx="285">
                  <c:v>11683.820000000003</c:v>
                </c:pt>
                <c:pt idx="286">
                  <c:v>11415.640000000003</c:v>
                </c:pt>
                <c:pt idx="287">
                  <c:v>11363.170000000002</c:v>
                </c:pt>
                <c:pt idx="288">
                  <c:v>11538.070000000003</c:v>
                </c:pt>
                <c:pt idx="289">
                  <c:v>12068.070000000003</c:v>
                </c:pt>
                <c:pt idx="290">
                  <c:v>12055.350000000002</c:v>
                </c:pt>
                <c:pt idx="291">
                  <c:v>12175.130000000001</c:v>
                </c:pt>
                <c:pt idx="292">
                  <c:v>12295.440000000002</c:v>
                </c:pt>
                <c:pt idx="293">
                  <c:v>12220.710000000003</c:v>
                </c:pt>
                <c:pt idx="294">
                  <c:v>12213.29</c:v>
                </c:pt>
                <c:pt idx="295">
                  <c:v>12205.870000000003</c:v>
                </c:pt>
                <c:pt idx="296">
                  <c:v>12638.350000000002</c:v>
                </c:pt>
                <c:pt idx="297">
                  <c:v>12523.340000000002</c:v>
                </c:pt>
                <c:pt idx="298">
                  <c:v>12670.680000000002</c:v>
                </c:pt>
                <c:pt idx="299">
                  <c:v>12956.880000000001</c:v>
                </c:pt>
                <c:pt idx="300">
                  <c:v>13008.29</c:v>
                </c:pt>
                <c:pt idx="301">
                  <c:v>13230.360000000002</c:v>
                </c:pt>
                <c:pt idx="302">
                  <c:v>13531.930000000002</c:v>
                </c:pt>
                <c:pt idx="303">
                  <c:v>13524.510000000002</c:v>
                </c:pt>
                <c:pt idx="304">
                  <c:v>13420.630000000001</c:v>
                </c:pt>
                <c:pt idx="305">
                  <c:v>13443.95</c:v>
                </c:pt>
                <c:pt idx="306">
                  <c:v>13320.990000000002</c:v>
                </c:pt>
                <c:pt idx="307">
                  <c:v>13389.890000000003</c:v>
                </c:pt>
                <c:pt idx="308">
                  <c:v>13389.890000000003</c:v>
                </c:pt>
                <c:pt idx="309">
                  <c:v>13389.890000000003</c:v>
                </c:pt>
                <c:pt idx="310">
                  <c:v>13389.890000000003</c:v>
                </c:pt>
                <c:pt idx="311">
                  <c:v>13389.890000000003</c:v>
                </c:pt>
                <c:pt idx="312">
                  <c:v>13389.890000000003</c:v>
                </c:pt>
                <c:pt idx="313">
                  <c:v>13389.890000000003</c:v>
                </c:pt>
                <c:pt idx="314">
                  <c:v>13389.890000000003</c:v>
                </c:pt>
                <c:pt idx="315">
                  <c:v>13389.890000000003</c:v>
                </c:pt>
                <c:pt idx="316">
                  <c:v>13389.890000000003</c:v>
                </c:pt>
                <c:pt idx="317">
                  <c:v>13389.890000000003</c:v>
                </c:pt>
                <c:pt idx="318">
                  <c:v>13389.890000000003</c:v>
                </c:pt>
                <c:pt idx="319">
                  <c:v>13389.890000000003</c:v>
                </c:pt>
                <c:pt idx="320">
                  <c:v>13389.890000000003</c:v>
                </c:pt>
                <c:pt idx="321">
                  <c:v>13389.890000000003</c:v>
                </c:pt>
                <c:pt idx="322">
                  <c:v>13389.890000000003</c:v>
                </c:pt>
                <c:pt idx="323">
                  <c:v>13389.890000000003</c:v>
                </c:pt>
                <c:pt idx="324">
                  <c:v>13389.890000000003</c:v>
                </c:pt>
                <c:pt idx="325">
                  <c:v>13389.890000000003</c:v>
                </c:pt>
                <c:pt idx="326">
                  <c:v>13389.890000000003</c:v>
                </c:pt>
                <c:pt idx="327">
                  <c:v>13389.890000000003</c:v>
                </c:pt>
                <c:pt idx="328">
                  <c:v>13389.890000000003</c:v>
                </c:pt>
                <c:pt idx="329">
                  <c:v>13389.890000000003</c:v>
                </c:pt>
                <c:pt idx="330">
                  <c:v>13389.890000000021</c:v>
                </c:pt>
                <c:pt idx="331">
                  <c:v>13251.030000000021</c:v>
                </c:pt>
                <c:pt idx="332">
                  <c:v>13159.870000000021</c:v>
                </c:pt>
                <c:pt idx="333">
                  <c:v>13159.870000000021</c:v>
                </c:pt>
                <c:pt idx="334">
                  <c:v>13159.870000000021</c:v>
                </c:pt>
                <c:pt idx="335">
                  <c:v>13159.870000000021</c:v>
                </c:pt>
                <c:pt idx="336">
                  <c:v>13159.870000000021</c:v>
                </c:pt>
                <c:pt idx="337">
                  <c:v>13159.870000000021</c:v>
                </c:pt>
                <c:pt idx="338">
                  <c:v>13159.870000000021</c:v>
                </c:pt>
                <c:pt idx="339">
                  <c:v>13159.870000000021</c:v>
                </c:pt>
                <c:pt idx="340">
                  <c:v>13159.870000000021</c:v>
                </c:pt>
                <c:pt idx="341">
                  <c:v>13159.870000000021</c:v>
                </c:pt>
                <c:pt idx="342">
                  <c:v>13159.870000000021</c:v>
                </c:pt>
                <c:pt idx="343">
                  <c:v>13159.870000000021</c:v>
                </c:pt>
                <c:pt idx="344">
                  <c:v>13159.870000000021</c:v>
                </c:pt>
                <c:pt idx="345">
                  <c:v>13159.870000000021</c:v>
                </c:pt>
                <c:pt idx="346">
                  <c:v>13159.870000000021</c:v>
                </c:pt>
                <c:pt idx="347">
                  <c:v>13159.870000000021</c:v>
                </c:pt>
                <c:pt idx="348">
                  <c:v>13159.870000000021</c:v>
                </c:pt>
                <c:pt idx="349">
                  <c:v>13159.870000000021</c:v>
                </c:pt>
                <c:pt idx="350">
                  <c:v>13159.870000000021</c:v>
                </c:pt>
                <c:pt idx="351">
                  <c:v>13159.870000000021</c:v>
                </c:pt>
                <c:pt idx="352">
                  <c:v>13159.870000000021</c:v>
                </c:pt>
                <c:pt idx="353">
                  <c:v>13159.870000000021</c:v>
                </c:pt>
                <c:pt idx="354">
                  <c:v>13159.870000000021</c:v>
                </c:pt>
                <c:pt idx="355">
                  <c:v>13159.870000000021</c:v>
                </c:pt>
                <c:pt idx="356">
                  <c:v>13159.870000000021</c:v>
                </c:pt>
                <c:pt idx="357">
                  <c:v>13159.870000000021</c:v>
                </c:pt>
                <c:pt idx="358">
                  <c:v>13159.870000000021</c:v>
                </c:pt>
                <c:pt idx="359">
                  <c:v>13159.870000000021</c:v>
                </c:pt>
                <c:pt idx="360">
                  <c:v>13159.870000000021</c:v>
                </c:pt>
                <c:pt idx="361">
                  <c:v>13159.870000000021</c:v>
                </c:pt>
                <c:pt idx="362">
                  <c:v>13159.870000000014</c:v>
                </c:pt>
                <c:pt idx="363">
                  <c:v>13292.740000000014</c:v>
                </c:pt>
                <c:pt idx="364">
                  <c:v>13397.230000000012</c:v>
                </c:pt>
                <c:pt idx="365">
                  <c:v>13644.910000000014</c:v>
                </c:pt>
                <c:pt idx="366">
                  <c:v>13489.250000000015</c:v>
                </c:pt>
                <c:pt idx="367">
                  <c:v>13423.030000000013</c:v>
                </c:pt>
                <c:pt idx="368">
                  <c:v>13656.950000000013</c:v>
                </c:pt>
                <c:pt idx="369">
                  <c:v>14033.630000000012</c:v>
                </c:pt>
                <c:pt idx="370">
                  <c:v>13864.210000000012</c:v>
                </c:pt>
                <c:pt idx="371">
                  <c:v>13525.800000000012</c:v>
                </c:pt>
                <c:pt idx="372">
                  <c:v>12856.720000000012</c:v>
                </c:pt>
                <c:pt idx="373">
                  <c:v>13410.990000000014</c:v>
                </c:pt>
                <c:pt idx="374">
                  <c:v>13361.110000000013</c:v>
                </c:pt>
                <c:pt idx="375">
                  <c:v>13966.120000000014</c:v>
                </c:pt>
                <c:pt idx="376">
                  <c:v>14136.400000000014</c:v>
                </c:pt>
                <c:pt idx="377">
                  <c:v>14045.240000000014</c:v>
                </c:pt>
                <c:pt idx="378">
                  <c:v>14118.770000000013</c:v>
                </c:pt>
                <c:pt idx="379">
                  <c:v>13734.780000000013</c:v>
                </c:pt>
                <c:pt idx="380">
                  <c:v>13783.370000000014</c:v>
                </c:pt>
                <c:pt idx="381">
                  <c:v>13783.370000000014</c:v>
                </c:pt>
                <c:pt idx="382">
                  <c:v>13783.370000000014</c:v>
                </c:pt>
                <c:pt idx="383">
                  <c:v>13783.370000000014</c:v>
                </c:pt>
                <c:pt idx="384">
                  <c:v>13783.370000000014</c:v>
                </c:pt>
                <c:pt idx="385">
                  <c:v>13783.370000000014</c:v>
                </c:pt>
                <c:pt idx="386">
                  <c:v>13783.370000000014</c:v>
                </c:pt>
                <c:pt idx="387">
                  <c:v>13783.370000000015</c:v>
                </c:pt>
                <c:pt idx="388">
                  <c:v>14140.700000000015</c:v>
                </c:pt>
                <c:pt idx="389">
                  <c:v>14568.980000000018</c:v>
                </c:pt>
                <c:pt idx="390">
                  <c:v>14823.110000000017</c:v>
                </c:pt>
                <c:pt idx="391">
                  <c:v>14795.590000000017</c:v>
                </c:pt>
                <c:pt idx="392">
                  <c:v>14773.230000000018</c:v>
                </c:pt>
                <c:pt idx="393">
                  <c:v>15094.440000000017</c:v>
                </c:pt>
                <c:pt idx="394">
                  <c:v>15332.230000000018</c:v>
                </c:pt>
                <c:pt idx="395">
                  <c:v>15624.630000000016</c:v>
                </c:pt>
                <c:pt idx="396">
                  <c:v>16069.680000000017</c:v>
                </c:pt>
                <c:pt idx="397">
                  <c:v>15524.440000000017</c:v>
                </c:pt>
                <c:pt idx="398">
                  <c:v>15597.110000000017</c:v>
                </c:pt>
                <c:pt idx="399">
                  <c:v>16325.530000000017</c:v>
                </c:pt>
                <c:pt idx="400">
                  <c:v>16528.060000000016</c:v>
                </c:pt>
                <c:pt idx="401">
                  <c:v>16299.300000000016</c:v>
                </c:pt>
                <c:pt idx="402">
                  <c:v>16129.880000000016</c:v>
                </c:pt>
                <c:pt idx="403">
                  <c:v>16061.080000000016</c:v>
                </c:pt>
                <c:pt idx="404">
                  <c:v>16166.000000000016</c:v>
                </c:pt>
                <c:pt idx="405">
                  <c:v>16166.000000000016</c:v>
                </c:pt>
                <c:pt idx="406">
                  <c:v>16166.000000000016</c:v>
                </c:pt>
                <c:pt idx="407">
                  <c:v>16166.000000000016</c:v>
                </c:pt>
                <c:pt idx="408">
                  <c:v>16166.000000000016</c:v>
                </c:pt>
                <c:pt idx="409">
                  <c:v>16166.000000000016</c:v>
                </c:pt>
                <c:pt idx="410">
                  <c:v>16166.000000000016</c:v>
                </c:pt>
                <c:pt idx="411">
                  <c:v>16166.000000000016</c:v>
                </c:pt>
                <c:pt idx="412">
                  <c:v>16166.000000000016</c:v>
                </c:pt>
                <c:pt idx="413">
                  <c:v>16166.000000000016</c:v>
                </c:pt>
                <c:pt idx="414">
                  <c:v>16166.000000000016</c:v>
                </c:pt>
                <c:pt idx="415">
                  <c:v>16166.000000000016</c:v>
                </c:pt>
                <c:pt idx="416">
                  <c:v>16166.000000000016</c:v>
                </c:pt>
                <c:pt idx="417">
                  <c:v>16166.000000000016</c:v>
                </c:pt>
                <c:pt idx="418">
                  <c:v>16166.000000000016</c:v>
                </c:pt>
                <c:pt idx="419">
                  <c:v>16166</c:v>
                </c:pt>
                <c:pt idx="420">
                  <c:v>15866.610000000002</c:v>
                </c:pt>
                <c:pt idx="421">
                  <c:v>16080.74</c:v>
                </c:pt>
                <c:pt idx="422">
                  <c:v>15678.45</c:v>
                </c:pt>
                <c:pt idx="423">
                  <c:v>16103.28</c:v>
                </c:pt>
                <c:pt idx="424">
                  <c:v>15957.26</c:v>
                </c:pt>
                <c:pt idx="425">
                  <c:v>15957.26</c:v>
                </c:pt>
                <c:pt idx="426">
                  <c:v>15957.260000000011</c:v>
                </c:pt>
                <c:pt idx="427">
                  <c:v>16635.020000000011</c:v>
                </c:pt>
                <c:pt idx="428">
                  <c:v>16494.860000000015</c:v>
                </c:pt>
                <c:pt idx="429">
                  <c:v>16698.860000000015</c:v>
                </c:pt>
                <c:pt idx="430">
                  <c:v>16248.14000000001</c:v>
                </c:pt>
                <c:pt idx="431">
                  <c:v>16277.420000000013</c:v>
                </c:pt>
                <c:pt idx="432">
                  <c:v>15720.620000000014</c:v>
                </c:pt>
                <c:pt idx="433">
                  <c:v>15533.420000000013</c:v>
                </c:pt>
                <c:pt idx="434">
                  <c:v>15836.780000000012</c:v>
                </c:pt>
                <c:pt idx="435">
                  <c:v>16854.380000000012</c:v>
                </c:pt>
                <c:pt idx="436">
                  <c:v>17325.740000000013</c:v>
                </c:pt>
                <c:pt idx="437">
                  <c:v>17242.220000000012</c:v>
                </c:pt>
                <c:pt idx="438">
                  <c:v>17724.620000000014</c:v>
                </c:pt>
                <c:pt idx="439">
                  <c:v>17643.500000000011</c:v>
                </c:pt>
                <c:pt idx="440">
                  <c:v>17253.260000000009</c:v>
                </c:pt>
                <c:pt idx="441">
                  <c:v>17371.820000000014</c:v>
                </c:pt>
                <c:pt idx="442">
                  <c:v>17656.460000000014</c:v>
                </c:pt>
                <c:pt idx="443">
                  <c:v>17585.900000000012</c:v>
                </c:pt>
                <c:pt idx="444">
                  <c:v>17613.740000000013</c:v>
                </c:pt>
                <c:pt idx="445">
                  <c:v>17086.220000000012</c:v>
                </c:pt>
                <c:pt idx="446">
                  <c:v>16872.14000000001</c:v>
                </c:pt>
                <c:pt idx="447">
                  <c:v>16411.340000000015</c:v>
                </c:pt>
                <c:pt idx="448">
                  <c:v>16578.860000000015</c:v>
                </c:pt>
                <c:pt idx="449">
                  <c:v>17127.020000000011</c:v>
                </c:pt>
                <c:pt idx="450">
                  <c:v>17134.700000000012</c:v>
                </c:pt>
                <c:pt idx="451">
                  <c:v>16900.460000000014</c:v>
                </c:pt>
                <c:pt idx="452">
                  <c:v>16785.740000000013</c:v>
                </c:pt>
                <c:pt idx="453">
                  <c:v>16867.340000000011</c:v>
                </c:pt>
                <c:pt idx="454">
                  <c:v>17146.700000000012</c:v>
                </c:pt>
                <c:pt idx="455">
                  <c:v>17277.260000000009</c:v>
                </c:pt>
                <c:pt idx="456">
                  <c:v>17253.260000000009</c:v>
                </c:pt>
                <c:pt idx="457">
                  <c:v>16974.380000000012</c:v>
                </c:pt>
                <c:pt idx="458">
                  <c:v>16731.500000000011</c:v>
                </c:pt>
                <c:pt idx="459">
                  <c:v>17023.340000000011</c:v>
                </c:pt>
                <c:pt idx="460">
                  <c:v>17023.340000000011</c:v>
                </c:pt>
                <c:pt idx="461">
                  <c:v>17023.340000000011</c:v>
                </c:pt>
                <c:pt idx="462">
                  <c:v>17023.340000000011</c:v>
                </c:pt>
                <c:pt idx="463">
                  <c:v>17023.340000000011</c:v>
                </c:pt>
                <c:pt idx="464">
                  <c:v>17023.340000000011</c:v>
                </c:pt>
                <c:pt idx="465">
                  <c:v>17023.340000000011</c:v>
                </c:pt>
                <c:pt idx="466">
                  <c:v>17023.340000000011</c:v>
                </c:pt>
                <c:pt idx="467">
                  <c:v>17023.340000000011</c:v>
                </c:pt>
                <c:pt idx="468">
                  <c:v>17023.340000000011</c:v>
                </c:pt>
                <c:pt idx="469">
                  <c:v>17023.340000000011</c:v>
                </c:pt>
                <c:pt idx="470">
                  <c:v>17023.340000000011</c:v>
                </c:pt>
                <c:pt idx="471">
                  <c:v>17023.340000000011</c:v>
                </c:pt>
                <c:pt idx="472">
                  <c:v>17023.340000000011</c:v>
                </c:pt>
                <c:pt idx="473">
                  <c:v>17023.340000000011</c:v>
                </c:pt>
                <c:pt idx="474">
                  <c:v>17023.340000000011</c:v>
                </c:pt>
                <c:pt idx="475">
                  <c:v>17023.340000000011</c:v>
                </c:pt>
                <c:pt idx="476">
                  <c:v>17023.340000000011</c:v>
                </c:pt>
                <c:pt idx="477">
                  <c:v>17023.340000000026</c:v>
                </c:pt>
                <c:pt idx="478">
                  <c:v>17353.100000000024</c:v>
                </c:pt>
                <c:pt idx="479">
                  <c:v>17368.460000000025</c:v>
                </c:pt>
                <c:pt idx="480">
                  <c:v>17442.860000000022</c:v>
                </c:pt>
                <c:pt idx="481">
                  <c:v>16773.740000000023</c:v>
                </c:pt>
                <c:pt idx="482">
                  <c:v>17380.940000000024</c:v>
                </c:pt>
                <c:pt idx="483">
                  <c:v>17333.420000000027</c:v>
                </c:pt>
                <c:pt idx="484">
                  <c:v>17333.420000000027</c:v>
                </c:pt>
                <c:pt idx="485">
                  <c:v>17333.420000000027</c:v>
                </c:pt>
                <c:pt idx="486">
                  <c:v>17333.420000000027</c:v>
                </c:pt>
                <c:pt idx="487">
                  <c:v>17333.420000000027</c:v>
                </c:pt>
                <c:pt idx="488">
                  <c:v>17520.620000000024</c:v>
                </c:pt>
                <c:pt idx="489">
                  <c:v>17144.300000000028</c:v>
                </c:pt>
                <c:pt idx="490">
                  <c:v>16822.22000000003</c:v>
                </c:pt>
                <c:pt idx="491">
                  <c:v>16434.380000000026</c:v>
                </c:pt>
                <c:pt idx="492">
                  <c:v>16449.740000000027</c:v>
                </c:pt>
                <c:pt idx="493">
                  <c:v>15897.740000000027</c:v>
                </c:pt>
                <c:pt idx="494">
                  <c:v>15913.580000000027</c:v>
                </c:pt>
                <c:pt idx="495">
                  <c:v>15659.180000000028</c:v>
                </c:pt>
                <c:pt idx="496">
                  <c:v>15621.260000000028</c:v>
                </c:pt>
                <c:pt idx="497">
                  <c:v>16170.860000000026</c:v>
                </c:pt>
                <c:pt idx="498">
                  <c:v>15669.260000000028</c:v>
                </c:pt>
                <c:pt idx="499">
                  <c:v>14621.900000000027</c:v>
                </c:pt>
                <c:pt idx="500">
                  <c:v>14949.740000000027</c:v>
                </c:pt>
                <c:pt idx="501">
                  <c:v>14790.860000000026</c:v>
                </c:pt>
                <c:pt idx="502">
                  <c:v>14947.820000000029</c:v>
                </c:pt>
                <c:pt idx="503">
                  <c:v>14868.140000000027</c:v>
                </c:pt>
                <c:pt idx="504">
                  <c:v>14800.940000000028</c:v>
                </c:pt>
                <c:pt idx="505">
                  <c:v>14800.940000000028</c:v>
                </c:pt>
                <c:pt idx="506">
                  <c:v>15396.620000000026</c:v>
                </c:pt>
                <c:pt idx="507">
                  <c:v>15075.020000000026</c:v>
                </c:pt>
                <c:pt idx="508">
                  <c:v>15199.820000000029</c:v>
                </c:pt>
                <c:pt idx="509">
                  <c:v>15257.420000000027</c:v>
                </c:pt>
                <c:pt idx="510">
                  <c:v>15379.820000000029</c:v>
                </c:pt>
                <c:pt idx="511">
                  <c:v>15076.940000000028</c:v>
                </c:pt>
                <c:pt idx="512">
                  <c:v>15076.940000000028</c:v>
                </c:pt>
                <c:pt idx="513">
                  <c:v>15076.940000000028</c:v>
                </c:pt>
                <c:pt idx="514">
                  <c:v>15076.940000000028</c:v>
                </c:pt>
                <c:pt idx="515">
                  <c:v>15076.940000000028</c:v>
                </c:pt>
                <c:pt idx="516">
                  <c:v>15076.940000000028</c:v>
                </c:pt>
                <c:pt idx="517">
                  <c:v>15076.940000000028</c:v>
                </c:pt>
                <c:pt idx="518">
                  <c:v>15076.940000000028</c:v>
                </c:pt>
                <c:pt idx="519">
                  <c:v>15076.940000000028</c:v>
                </c:pt>
                <c:pt idx="520">
                  <c:v>15076.940000000028</c:v>
                </c:pt>
                <c:pt idx="521">
                  <c:v>15076.940000000028</c:v>
                </c:pt>
                <c:pt idx="522">
                  <c:v>15076.940000000019</c:v>
                </c:pt>
                <c:pt idx="523">
                  <c:v>14979.98000000002</c:v>
                </c:pt>
                <c:pt idx="524">
                  <c:v>15166.700000000019</c:v>
                </c:pt>
                <c:pt idx="525">
                  <c:v>15828.140000000019</c:v>
                </c:pt>
                <c:pt idx="526">
                  <c:v>16409.900000000016</c:v>
                </c:pt>
                <c:pt idx="527">
                  <c:v>16313.900000000018</c:v>
                </c:pt>
                <c:pt idx="528">
                  <c:v>16259.180000000018</c:v>
                </c:pt>
                <c:pt idx="529">
                  <c:v>16526.060000000016</c:v>
                </c:pt>
                <c:pt idx="530">
                  <c:v>16306.220000000019</c:v>
                </c:pt>
                <c:pt idx="531">
                  <c:v>15933.26000000002</c:v>
                </c:pt>
                <c:pt idx="532">
                  <c:v>15933.26000000002</c:v>
                </c:pt>
                <c:pt idx="533">
                  <c:v>15933.26000000002</c:v>
                </c:pt>
                <c:pt idx="534">
                  <c:v>15933.26000000002</c:v>
                </c:pt>
                <c:pt idx="535">
                  <c:v>15933.26000000002</c:v>
                </c:pt>
                <c:pt idx="536">
                  <c:v>15933.26000000002</c:v>
                </c:pt>
                <c:pt idx="537">
                  <c:v>15933.26000000002</c:v>
                </c:pt>
                <c:pt idx="538">
                  <c:v>15933.26000000002</c:v>
                </c:pt>
                <c:pt idx="539">
                  <c:v>15933.26000000002</c:v>
                </c:pt>
                <c:pt idx="540">
                  <c:v>15933.26000000002</c:v>
                </c:pt>
                <c:pt idx="541">
                  <c:v>15933.260000000004</c:v>
                </c:pt>
                <c:pt idx="542">
                  <c:v>16031.260000000004</c:v>
                </c:pt>
                <c:pt idx="543">
                  <c:v>17022.760000000002</c:v>
                </c:pt>
                <c:pt idx="544">
                  <c:v>16886.760000000002</c:v>
                </c:pt>
                <c:pt idx="545">
                  <c:v>16942.260000000002</c:v>
                </c:pt>
                <c:pt idx="546">
                  <c:v>17099.760000000002</c:v>
                </c:pt>
                <c:pt idx="547">
                  <c:v>17013.260000000002</c:v>
                </c:pt>
                <c:pt idx="548">
                  <c:v>17205.260000000002</c:v>
                </c:pt>
                <c:pt idx="549">
                  <c:v>17560.260000000002</c:v>
                </c:pt>
                <c:pt idx="550">
                  <c:v>17430.760000000002</c:v>
                </c:pt>
                <c:pt idx="551">
                  <c:v>17703.260000000002</c:v>
                </c:pt>
                <c:pt idx="552">
                  <c:v>17780.260000000002</c:v>
                </c:pt>
                <c:pt idx="553">
                  <c:v>17841.760000000002</c:v>
                </c:pt>
                <c:pt idx="554">
                  <c:v>17496.760000000002</c:v>
                </c:pt>
                <c:pt idx="555">
                  <c:v>17496.760000000002</c:v>
                </c:pt>
                <c:pt idx="556">
                  <c:v>17496.760000000002</c:v>
                </c:pt>
                <c:pt idx="557">
                  <c:v>17496.760000000002</c:v>
                </c:pt>
                <c:pt idx="558">
                  <c:v>17496.760000000002</c:v>
                </c:pt>
                <c:pt idx="559">
                  <c:v>17496.760000000002</c:v>
                </c:pt>
                <c:pt idx="560">
                  <c:v>17496.760000000002</c:v>
                </c:pt>
                <c:pt idx="561">
                  <c:v>17496.760000000002</c:v>
                </c:pt>
                <c:pt idx="562">
                  <c:v>17496.760000000002</c:v>
                </c:pt>
                <c:pt idx="563">
                  <c:v>17496.760000000002</c:v>
                </c:pt>
                <c:pt idx="564">
                  <c:v>17496.760000000002</c:v>
                </c:pt>
                <c:pt idx="565">
                  <c:v>17496.760000000002</c:v>
                </c:pt>
                <c:pt idx="566">
                  <c:v>17496.760000000002</c:v>
                </c:pt>
                <c:pt idx="567">
                  <c:v>17496.760000000002</c:v>
                </c:pt>
                <c:pt idx="568">
                  <c:v>17496.760000000002</c:v>
                </c:pt>
                <c:pt idx="569">
                  <c:v>17496.760000000002</c:v>
                </c:pt>
                <c:pt idx="570">
                  <c:v>17496.760000000002</c:v>
                </c:pt>
                <c:pt idx="571">
                  <c:v>17496.760000000006</c:v>
                </c:pt>
                <c:pt idx="572">
                  <c:v>17459.320000000007</c:v>
                </c:pt>
                <c:pt idx="573">
                  <c:v>17382.880000000008</c:v>
                </c:pt>
                <c:pt idx="574">
                  <c:v>18052.120000000006</c:v>
                </c:pt>
                <c:pt idx="575">
                  <c:v>18357.880000000008</c:v>
                </c:pt>
                <c:pt idx="576">
                  <c:v>18637.120000000006</c:v>
                </c:pt>
                <c:pt idx="577">
                  <c:v>18302.760000000006</c:v>
                </c:pt>
                <c:pt idx="578">
                  <c:v>17890.400000000005</c:v>
                </c:pt>
                <c:pt idx="579">
                  <c:v>17259.640000000007</c:v>
                </c:pt>
                <c:pt idx="580">
                  <c:v>17477.520000000008</c:v>
                </c:pt>
                <c:pt idx="581">
                  <c:v>17477.520000000008</c:v>
                </c:pt>
                <c:pt idx="582">
                  <c:v>17477.520000000008</c:v>
                </c:pt>
                <c:pt idx="583">
                  <c:v>17477.520000000008</c:v>
                </c:pt>
                <c:pt idx="584">
                  <c:v>17477.520000000008</c:v>
                </c:pt>
                <c:pt idx="585">
                  <c:v>17477.520000000008</c:v>
                </c:pt>
                <c:pt idx="586">
                  <c:v>17477.520000000008</c:v>
                </c:pt>
                <c:pt idx="587">
                  <c:v>17477.520000000008</c:v>
                </c:pt>
                <c:pt idx="588">
                  <c:v>17477.520000000008</c:v>
                </c:pt>
                <c:pt idx="589">
                  <c:v>17477.520000000008</c:v>
                </c:pt>
                <c:pt idx="590">
                  <c:v>17477.520000000008</c:v>
                </c:pt>
                <c:pt idx="591">
                  <c:v>17477.520000000008</c:v>
                </c:pt>
                <c:pt idx="592">
                  <c:v>17477.520000000008</c:v>
                </c:pt>
                <c:pt idx="593">
                  <c:v>17477.520000000008</c:v>
                </c:pt>
                <c:pt idx="594">
                  <c:v>17477.520000000008</c:v>
                </c:pt>
                <c:pt idx="595">
                  <c:v>17477.520000000008</c:v>
                </c:pt>
                <c:pt idx="596">
                  <c:v>17477.520000000008</c:v>
                </c:pt>
                <c:pt idx="597">
                  <c:v>17477.520000000008</c:v>
                </c:pt>
                <c:pt idx="598">
                  <c:v>17477.520000000008</c:v>
                </c:pt>
                <c:pt idx="599">
                  <c:v>17477.520000000008</c:v>
                </c:pt>
                <c:pt idx="600">
                  <c:v>17477.520000000008</c:v>
                </c:pt>
                <c:pt idx="601">
                  <c:v>17477.520000000008</c:v>
                </c:pt>
                <c:pt idx="602">
                  <c:v>17477.520000000004</c:v>
                </c:pt>
                <c:pt idx="603">
                  <c:v>18604.320000000003</c:v>
                </c:pt>
                <c:pt idx="604">
                  <c:v>18219.120000000003</c:v>
                </c:pt>
                <c:pt idx="605">
                  <c:v>17640.720000000005</c:v>
                </c:pt>
                <c:pt idx="606">
                  <c:v>18543.120000000003</c:v>
                </c:pt>
                <c:pt idx="607">
                  <c:v>18316.920000000002</c:v>
                </c:pt>
                <c:pt idx="608">
                  <c:v>17905.920000000002</c:v>
                </c:pt>
                <c:pt idx="609">
                  <c:v>18281.52</c:v>
                </c:pt>
                <c:pt idx="610">
                  <c:v>17733.72</c:v>
                </c:pt>
                <c:pt idx="611">
                  <c:v>17522.520000000004</c:v>
                </c:pt>
                <c:pt idx="612">
                  <c:v>17862.120000000003</c:v>
                </c:pt>
                <c:pt idx="613">
                  <c:v>17862.119999999995</c:v>
                </c:pt>
                <c:pt idx="614">
                  <c:v>17281.559999999998</c:v>
                </c:pt>
                <c:pt idx="615">
                  <c:v>16876.23</c:v>
                </c:pt>
                <c:pt idx="616">
                  <c:v>16881.539999999997</c:v>
                </c:pt>
                <c:pt idx="617">
                  <c:v>16718.109999999997</c:v>
                </c:pt>
                <c:pt idx="618">
                  <c:v>17000.719999999998</c:v>
                </c:pt>
                <c:pt idx="619">
                  <c:v>17507.824999999997</c:v>
                </c:pt>
                <c:pt idx="620">
                  <c:v>17497.499999999996</c:v>
                </c:pt>
                <c:pt idx="621">
                  <c:v>17852.68</c:v>
                </c:pt>
                <c:pt idx="622">
                  <c:v>17925.249999999996</c:v>
                </c:pt>
                <c:pt idx="623">
                  <c:v>16939.949999999997</c:v>
                </c:pt>
                <c:pt idx="624">
                  <c:v>16939.949999999997</c:v>
                </c:pt>
                <c:pt idx="625">
                  <c:v>16939.949999999997</c:v>
                </c:pt>
                <c:pt idx="626">
                  <c:v>16939.949999999997</c:v>
                </c:pt>
                <c:pt idx="627">
                  <c:v>16939.949999999997</c:v>
                </c:pt>
                <c:pt idx="628">
                  <c:v>16939.949999999997</c:v>
                </c:pt>
                <c:pt idx="629">
                  <c:v>16939.949999999997</c:v>
                </c:pt>
                <c:pt idx="630">
                  <c:v>16939.949999999997</c:v>
                </c:pt>
                <c:pt idx="631">
                  <c:v>16939.949999999997</c:v>
                </c:pt>
                <c:pt idx="632">
                  <c:v>16939.949999999997</c:v>
                </c:pt>
                <c:pt idx="633">
                  <c:v>16939.949999999997</c:v>
                </c:pt>
                <c:pt idx="634">
                  <c:v>16939.949999999997</c:v>
                </c:pt>
                <c:pt idx="635">
                  <c:v>16939.949999999997</c:v>
                </c:pt>
                <c:pt idx="636">
                  <c:v>16939.949999999997</c:v>
                </c:pt>
                <c:pt idx="637">
                  <c:v>16939.949999999997</c:v>
                </c:pt>
                <c:pt idx="638">
                  <c:v>16939.949999999997</c:v>
                </c:pt>
                <c:pt idx="639">
                  <c:v>16939.949999999983</c:v>
                </c:pt>
                <c:pt idx="640">
                  <c:v>17234.549999999981</c:v>
                </c:pt>
                <c:pt idx="641">
                  <c:v>17712.149999999983</c:v>
                </c:pt>
                <c:pt idx="642">
                  <c:v>17292.749999999985</c:v>
                </c:pt>
                <c:pt idx="643">
                  <c:v>17718.149999999983</c:v>
                </c:pt>
                <c:pt idx="644">
                  <c:v>18013.349999999984</c:v>
                </c:pt>
                <c:pt idx="645">
                  <c:v>17676.749999999982</c:v>
                </c:pt>
                <c:pt idx="646">
                  <c:v>19378.949999999983</c:v>
                </c:pt>
                <c:pt idx="647">
                  <c:v>19174.34999999998</c:v>
                </c:pt>
                <c:pt idx="648">
                  <c:v>19268.549999999985</c:v>
                </c:pt>
                <c:pt idx="649">
                  <c:v>20134.949999999983</c:v>
                </c:pt>
                <c:pt idx="650">
                  <c:v>20775.14999999998</c:v>
                </c:pt>
                <c:pt idx="651">
                  <c:v>20895.749999999982</c:v>
                </c:pt>
                <c:pt idx="652">
                  <c:v>21672.149999999983</c:v>
                </c:pt>
                <c:pt idx="653">
                  <c:v>21699.149999999983</c:v>
                </c:pt>
                <c:pt idx="654">
                  <c:v>22458.749999999982</c:v>
                </c:pt>
                <c:pt idx="655">
                  <c:v>21361.949999999983</c:v>
                </c:pt>
                <c:pt idx="656">
                  <c:v>21942.149999999983</c:v>
                </c:pt>
                <c:pt idx="657">
                  <c:v>21059.549999999981</c:v>
                </c:pt>
                <c:pt idx="658">
                  <c:v>21059.549999999981</c:v>
                </c:pt>
                <c:pt idx="659">
                  <c:v>21059.549999999981</c:v>
                </c:pt>
                <c:pt idx="660">
                  <c:v>21059.549999999981</c:v>
                </c:pt>
                <c:pt idx="661">
                  <c:v>21059.549999999981</c:v>
                </c:pt>
                <c:pt idx="662">
                  <c:v>21059.549999999967</c:v>
                </c:pt>
                <c:pt idx="663">
                  <c:v>20640.749999999967</c:v>
                </c:pt>
                <c:pt idx="664">
                  <c:v>20167.949999999968</c:v>
                </c:pt>
                <c:pt idx="665">
                  <c:v>18715.349999999969</c:v>
                </c:pt>
                <c:pt idx="666">
                  <c:v>18613.349999999969</c:v>
                </c:pt>
                <c:pt idx="667">
                  <c:v>18597.749999999967</c:v>
                </c:pt>
                <c:pt idx="668">
                  <c:v>19174.349999999966</c:v>
                </c:pt>
                <c:pt idx="669">
                  <c:v>19411.949999999968</c:v>
                </c:pt>
                <c:pt idx="670">
                  <c:v>19201.349999999966</c:v>
                </c:pt>
                <c:pt idx="671">
                  <c:v>19066.349999999966</c:v>
                </c:pt>
                <c:pt idx="672">
                  <c:v>19195.949999999968</c:v>
                </c:pt>
                <c:pt idx="673">
                  <c:v>18669.749999999967</c:v>
                </c:pt>
                <c:pt idx="674">
                  <c:v>18669.749999999967</c:v>
                </c:pt>
                <c:pt idx="675">
                  <c:v>18669.749999999967</c:v>
                </c:pt>
                <c:pt idx="676">
                  <c:v>18669.749999999985</c:v>
                </c:pt>
                <c:pt idx="677">
                  <c:v>18284.049999999985</c:v>
                </c:pt>
                <c:pt idx="678">
                  <c:v>17682.009999999984</c:v>
                </c:pt>
                <c:pt idx="679">
                  <c:v>17347.349999999984</c:v>
                </c:pt>
                <c:pt idx="680">
                  <c:v>18003.329999999987</c:v>
                </c:pt>
                <c:pt idx="681">
                  <c:v>17882.109999999982</c:v>
                </c:pt>
                <c:pt idx="682">
                  <c:v>17332.849999999984</c:v>
                </c:pt>
                <c:pt idx="683">
                  <c:v>16926.269999999986</c:v>
                </c:pt>
                <c:pt idx="684">
                  <c:v>17388.529999999984</c:v>
                </c:pt>
                <c:pt idx="685">
                  <c:v>17545.129999999983</c:v>
                </c:pt>
                <c:pt idx="686">
                  <c:v>20369.729999999985</c:v>
                </c:pt>
                <c:pt idx="687">
                  <c:v>20290.269999999986</c:v>
                </c:pt>
                <c:pt idx="688">
                  <c:v>19931.829999999987</c:v>
                </c:pt>
                <c:pt idx="689">
                  <c:v>22111.469999999987</c:v>
                </c:pt>
                <c:pt idx="690">
                  <c:v>21576.129999999983</c:v>
                </c:pt>
                <c:pt idx="691">
                  <c:v>20538.509999999984</c:v>
                </c:pt>
                <c:pt idx="692">
                  <c:v>20714.829999999987</c:v>
                </c:pt>
                <c:pt idx="693">
                  <c:v>20768.189999999988</c:v>
                </c:pt>
                <c:pt idx="694">
                  <c:v>20259.529999999984</c:v>
                </c:pt>
                <c:pt idx="695">
                  <c:v>19740.429999999986</c:v>
                </c:pt>
                <c:pt idx="696">
                  <c:v>19552.509999999984</c:v>
                </c:pt>
                <c:pt idx="697">
                  <c:v>17815.409999999985</c:v>
                </c:pt>
                <c:pt idx="698">
                  <c:v>17985.929999999986</c:v>
                </c:pt>
                <c:pt idx="699">
                  <c:v>18766.609999999982</c:v>
                </c:pt>
                <c:pt idx="700">
                  <c:v>18751.529999999984</c:v>
                </c:pt>
                <c:pt idx="701">
                  <c:v>18662.209999999988</c:v>
                </c:pt>
                <c:pt idx="702">
                  <c:v>18819.969999999987</c:v>
                </c:pt>
                <c:pt idx="703">
                  <c:v>18614.069999999985</c:v>
                </c:pt>
                <c:pt idx="704">
                  <c:v>18184.289999999986</c:v>
                </c:pt>
                <c:pt idx="705">
                  <c:v>18184.289999999986</c:v>
                </c:pt>
                <c:pt idx="706">
                  <c:v>18184.289999999986</c:v>
                </c:pt>
                <c:pt idx="707">
                  <c:v>18184.289999999986</c:v>
                </c:pt>
                <c:pt idx="708">
                  <c:v>18184.289999999986</c:v>
                </c:pt>
                <c:pt idx="709">
                  <c:v>18184.289999999986</c:v>
                </c:pt>
                <c:pt idx="710">
                  <c:v>18184.289999999986</c:v>
                </c:pt>
                <c:pt idx="711">
                  <c:v>18184.289999999986</c:v>
                </c:pt>
                <c:pt idx="712">
                  <c:v>18184.289999999986</c:v>
                </c:pt>
                <c:pt idx="713">
                  <c:v>18184.289999999986</c:v>
                </c:pt>
                <c:pt idx="714">
                  <c:v>18184.289999999957</c:v>
                </c:pt>
                <c:pt idx="715">
                  <c:v>18117.329999999958</c:v>
                </c:pt>
                <c:pt idx="716">
                  <c:v>18473.209999999955</c:v>
                </c:pt>
                <c:pt idx="717">
                  <c:v>18450.889999999956</c:v>
                </c:pt>
                <c:pt idx="718">
                  <c:v>17838.329999999958</c:v>
                </c:pt>
                <c:pt idx="719">
                  <c:v>18710.049999999956</c:v>
                </c:pt>
                <c:pt idx="720">
                  <c:v>18667.269999999957</c:v>
                </c:pt>
                <c:pt idx="721">
                  <c:v>18715.009999999958</c:v>
                </c:pt>
                <c:pt idx="722">
                  <c:v>18750.969999999958</c:v>
                </c:pt>
                <c:pt idx="723">
                  <c:v>18832.189999999959</c:v>
                </c:pt>
                <c:pt idx="724">
                  <c:v>19364.769999999957</c:v>
                </c:pt>
                <c:pt idx="725">
                  <c:v>19237.049999999956</c:v>
                </c:pt>
                <c:pt idx="726">
                  <c:v>16586.549999999956</c:v>
                </c:pt>
                <c:pt idx="727">
                  <c:v>19434.209999999955</c:v>
                </c:pt>
                <c:pt idx="728">
                  <c:v>18834.049999999956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F-460F-9504-BEF5C844C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921263"/>
        <c:axId val="312920015"/>
      </c:scatterChart>
      <c:valAx>
        <c:axId val="312921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20015"/>
        <c:crosses val="autoZero"/>
        <c:crossBetween val="midCat"/>
      </c:valAx>
      <c:valAx>
        <c:axId val="312920015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21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v>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'tesla-stock-price (4)'!$A$23:$A$760</c:f>
              <c:numCache>
                <c:formatCode>General</c:formatCode>
                <c:ptCount val="738"/>
                <c:pt idx="0">
                  <c:v>42318</c:v>
                </c:pt>
                <c:pt idx="1">
                  <c:v>42319</c:v>
                </c:pt>
                <c:pt idx="2">
                  <c:v>42320</c:v>
                </c:pt>
                <c:pt idx="3">
                  <c:v>42321</c:v>
                </c:pt>
                <c:pt idx="4">
                  <c:v>42324</c:v>
                </c:pt>
                <c:pt idx="5">
                  <c:v>42325</c:v>
                </c:pt>
                <c:pt idx="6">
                  <c:v>42326</c:v>
                </c:pt>
                <c:pt idx="7">
                  <c:v>42327</c:v>
                </c:pt>
                <c:pt idx="8">
                  <c:v>42328</c:v>
                </c:pt>
                <c:pt idx="9">
                  <c:v>42331</c:v>
                </c:pt>
                <c:pt idx="10">
                  <c:v>42332</c:v>
                </c:pt>
                <c:pt idx="11">
                  <c:v>42333</c:v>
                </c:pt>
                <c:pt idx="12">
                  <c:v>42335</c:v>
                </c:pt>
                <c:pt idx="13">
                  <c:v>42338</c:v>
                </c:pt>
                <c:pt idx="14">
                  <c:v>42339</c:v>
                </c:pt>
                <c:pt idx="15">
                  <c:v>42340</c:v>
                </c:pt>
                <c:pt idx="16">
                  <c:v>42341</c:v>
                </c:pt>
                <c:pt idx="17">
                  <c:v>42342</c:v>
                </c:pt>
                <c:pt idx="18">
                  <c:v>42345</c:v>
                </c:pt>
                <c:pt idx="19">
                  <c:v>42346</c:v>
                </c:pt>
                <c:pt idx="20">
                  <c:v>42347</c:v>
                </c:pt>
                <c:pt idx="21">
                  <c:v>42348</c:v>
                </c:pt>
                <c:pt idx="22">
                  <c:v>42349</c:v>
                </c:pt>
                <c:pt idx="23">
                  <c:v>42352</c:v>
                </c:pt>
                <c:pt idx="24">
                  <c:v>42353</c:v>
                </c:pt>
                <c:pt idx="25">
                  <c:v>42354</c:v>
                </c:pt>
                <c:pt idx="26">
                  <c:v>42355</c:v>
                </c:pt>
                <c:pt idx="27">
                  <c:v>42356</c:v>
                </c:pt>
                <c:pt idx="28">
                  <c:v>42359</c:v>
                </c:pt>
                <c:pt idx="29">
                  <c:v>42360</c:v>
                </c:pt>
                <c:pt idx="30">
                  <c:v>42361</c:v>
                </c:pt>
                <c:pt idx="31">
                  <c:v>42362</c:v>
                </c:pt>
                <c:pt idx="32">
                  <c:v>42366</c:v>
                </c:pt>
                <c:pt idx="33">
                  <c:v>42367</c:v>
                </c:pt>
                <c:pt idx="34">
                  <c:v>42368</c:v>
                </c:pt>
                <c:pt idx="35">
                  <c:v>42369</c:v>
                </c:pt>
                <c:pt idx="36">
                  <c:v>42373</c:v>
                </c:pt>
                <c:pt idx="37">
                  <c:v>42374</c:v>
                </c:pt>
                <c:pt idx="38">
                  <c:v>42375</c:v>
                </c:pt>
                <c:pt idx="39">
                  <c:v>42376</c:v>
                </c:pt>
                <c:pt idx="40">
                  <c:v>42377</c:v>
                </c:pt>
                <c:pt idx="41">
                  <c:v>42380</c:v>
                </c:pt>
                <c:pt idx="42">
                  <c:v>42381</c:v>
                </c:pt>
                <c:pt idx="43">
                  <c:v>42382</c:v>
                </c:pt>
                <c:pt idx="44">
                  <c:v>42383</c:v>
                </c:pt>
                <c:pt idx="45">
                  <c:v>42384</c:v>
                </c:pt>
                <c:pt idx="46">
                  <c:v>42388</c:v>
                </c:pt>
                <c:pt idx="47">
                  <c:v>42389</c:v>
                </c:pt>
                <c:pt idx="48">
                  <c:v>42390</c:v>
                </c:pt>
                <c:pt idx="49">
                  <c:v>42391</c:v>
                </c:pt>
                <c:pt idx="50">
                  <c:v>42394</c:v>
                </c:pt>
                <c:pt idx="51">
                  <c:v>42395</c:v>
                </c:pt>
                <c:pt idx="52">
                  <c:v>42396</c:v>
                </c:pt>
                <c:pt idx="53">
                  <c:v>42397</c:v>
                </c:pt>
                <c:pt idx="54">
                  <c:v>42398</c:v>
                </c:pt>
                <c:pt idx="55">
                  <c:v>42401</c:v>
                </c:pt>
                <c:pt idx="56">
                  <c:v>42402</c:v>
                </c:pt>
                <c:pt idx="57">
                  <c:v>42403</c:v>
                </c:pt>
                <c:pt idx="58">
                  <c:v>42404</c:v>
                </c:pt>
                <c:pt idx="59">
                  <c:v>42405</c:v>
                </c:pt>
                <c:pt idx="60">
                  <c:v>42408</c:v>
                </c:pt>
                <c:pt idx="61">
                  <c:v>42409</c:v>
                </c:pt>
                <c:pt idx="62">
                  <c:v>42410</c:v>
                </c:pt>
                <c:pt idx="63">
                  <c:v>42411</c:v>
                </c:pt>
                <c:pt idx="64">
                  <c:v>42412</c:v>
                </c:pt>
                <c:pt idx="65">
                  <c:v>42416</c:v>
                </c:pt>
                <c:pt idx="66">
                  <c:v>42417</c:v>
                </c:pt>
                <c:pt idx="67">
                  <c:v>42418</c:v>
                </c:pt>
                <c:pt idx="68">
                  <c:v>42419</c:v>
                </c:pt>
                <c:pt idx="69">
                  <c:v>42422</c:v>
                </c:pt>
                <c:pt idx="70">
                  <c:v>42423</c:v>
                </c:pt>
                <c:pt idx="71">
                  <c:v>42424</c:v>
                </c:pt>
                <c:pt idx="72">
                  <c:v>42425</c:v>
                </c:pt>
                <c:pt idx="73">
                  <c:v>42426</c:v>
                </c:pt>
                <c:pt idx="74">
                  <c:v>42429</c:v>
                </c:pt>
                <c:pt idx="75">
                  <c:v>42430</c:v>
                </c:pt>
                <c:pt idx="76">
                  <c:v>42431</c:v>
                </c:pt>
                <c:pt idx="77">
                  <c:v>42432</c:v>
                </c:pt>
                <c:pt idx="78">
                  <c:v>42433</c:v>
                </c:pt>
                <c:pt idx="79">
                  <c:v>42436</c:v>
                </c:pt>
                <c:pt idx="80">
                  <c:v>42437</c:v>
                </c:pt>
                <c:pt idx="81">
                  <c:v>42438</c:v>
                </c:pt>
                <c:pt idx="82">
                  <c:v>42439</c:v>
                </c:pt>
                <c:pt idx="83">
                  <c:v>42440</c:v>
                </c:pt>
                <c:pt idx="84">
                  <c:v>42443</c:v>
                </c:pt>
                <c:pt idx="85">
                  <c:v>42444</c:v>
                </c:pt>
                <c:pt idx="86">
                  <c:v>42445</c:v>
                </c:pt>
                <c:pt idx="87">
                  <c:v>42446</c:v>
                </c:pt>
                <c:pt idx="88">
                  <c:v>42447</c:v>
                </c:pt>
                <c:pt idx="89">
                  <c:v>42450</c:v>
                </c:pt>
                <c:pt idx="90">
                  <c:v>42451</c:v>
                </c:pt>
                <c:pt idx="91">
                  <c:v>42452</c:v>
                </c:pt>
                <c:pt idx="92">
                  <c:v>42453</c:v>
                </c:pt>
                <c:pt idx="93">
                  <c:v>42457</c:v>
                </c:pt>
                <c:pt idx="94">
                  <c:v>42458</c:v>
                </c:pt>
                <c:pt idx="95">
                  <c:v>42459</c:v>
                </c:pt>
                <c:pt idx="96">
                  <c:v>42460</c:v>
                </c:pt>
                <c:pt idx="97">
                  <c:v>42461</c:v>
                </c:pt>
                <c:pt idx="98">
                  <c:v>42464</c:v>
                </c:pt>
                <c:pt idx="99">
                  <c:v>42465</c:v>
                </c:pt>
                <c:pt idx="100">
                  <c:v>42466</c:v>
                </c:pt>
                <c:pt idx="101">
                  <c:v>42467</c:v>
                </c:pt>
                <c:pt idx="102">
                  <c:v>42468</c:v>
                </c:pt>
                <c:pt idx="103">
                  <c:v>42471</c:v>
                </c:pt>
                <c:pt idx="104">
                  <c:v>42472</c:v>
                </c:pt>
                <c:pt idx="105">
                  <c:v>42473</c:v>
                </c:pt>
                <c:pt idx="106">
                  <c:v>42474</c:v>
                </c:pt>
                <c:pt idx="107">
                  <c:v>42475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42485</c:v>
                </c:pt>
                <c:pt idx="114">
                  <c:v>42486</c:v>
                </c:pt>
                <c:pt idx="115">
                  <c:v>42487</c:v>
                </c:pt>
                <c:pt idx="116">
                  <c:v>42488</c:v>
                </c:pt>
                <c:pt idx="117">
                  <c:v>42489</c:v>
                </c:pt>
                <c:pt idx="118">
                  <c:v>42492</c:v>
                </c:pt>
                <c:pt idx="119">
                  <c:v>42493</c:v>
                </c:pt>
                <c:pt idx="120">
                  <c:v>42494</c:v>
                </c:pt>
                <c:pt idx="121">
                  <c:v>42495</c:v>
                </c:pt>
                <c:pt idx="122">
                  <c:v>42496</c:v>
                </c:pt>
                <c:pt idx="123">
                  <c:v>42499</c:v>
                </c:pt>
                <c:pt idx="124">
                  <c:v>42500</c:v>
                </c:pt>
                <c:pt idx="125">
                  <c:v>42501</c:v>
                </c:pt>
                <c:pt idx="126">
                  <c:v>42502</c:v>
                </c:pt>
                <c:pt idx="127">
                  <c:v>42503</c:v>
                </c:pt>
                <c:pt idx="128">
                  <c:v>42506</c:v>
                </c:pt>
                <c:pt idx="129">
                  <c:v>42507</c:v>
                </c:pt>
                <c:pt idx="130">
                  <c:v>42508</c:v>
                </c:pt>
                <c:pt idx="131">
                  <c:v>42509</c:v>
                </c:pt>
                <c:pt idx="132">
                  <c:v>42510</c:v>
                </c:pt>
                <c:pt idx="133">
                  <c:v>42513</c:v>
                </c:pt>
                <c:pt idx="134">
                  <c:v>42514</c:v>
                </c:pt>
                <c:pt idx="135">
                  <c:v>42515</c:v>
                </c:pt>
                <c:pt idx="136">
                  <c:v>42516</c:v>
                </c:pt>
                <c:pt idx="137">
                  <c:v>42517</c:v>
                </c:pt>
                <c:pt idx="138">
                  <c:v>42521</c:v>
                </c:pt>
                <c:pt idx="139">
                  <c:v>42522</c:v>
                </c:pt>
                <c:pt idx="140">
                  <c:v>42523</c:v>
                </c:pt>
                <c:pt idx="141">
                  <c:v>42524</c:v>
                </c:pt>
                <c:pt idx="142">
                  <c:v>42527</c:v>
                </c:pt>
                <c:pt idx="143">
                  <c:v>42528</c:v>
                </c:pt>
                <c:pt idx="144">
                  <c:v>42529</c:v>
                </c:pt>
                <c:pt idx="145">
                  <c:v>42530</c:v>
                </c:pt>
                <c:pt idx="146">
                  <c:v>42531</c:v>
                </c:pt>
                <c:pt idx="147">
                  <c:v>42534</c:v>
                </c:pt>
                <c:pt idx="148">
                  <c:v>42535</c:v>
                </c:pt>
                <c:pt idx="149">
                  <c:v>42536</c:v>
                </c:pt>
                <c:pt idx="150">
                  <c:v>42537</c:v>
                </c:pt>
                <c:pt idx="151">
                  <c:v>42538</c:v>
                </c:pt>
                <c:pt idx="152">
                  <c:v>42541</c:v>
                </c:pt>
                <c:pt idx="153">
                  <c:v>42542</c:v>
                </c:pt>
                <c:pt idx="154">
                  <c:v>42543</c:v>
                </c:pt>
                <c:pt idx="155">
                  <c:v>42544</c:v>
                </c:pt>
                <c:pt idx="156">
                  <c:v>42545</c:v>
                </c:pt>
                <c:pt idx="157">
                  <c:v>42548</c:v>
                </c:pt>
                <c:pt idx="158">
                  <c:v>42549</c:v>
                </c:pt>
                <c:pt idx="159">
                  <c:v>42550</c:v>
                </c:pt>
                <c:pt idx="160">
                  <c:v>42551</c:v>
                </c:pt>
                <c:pt idx="161">
                  <c:v>42552</c:v>
                </c:pt>
                <c:pt idx="162">
                  <c:v>42556</c:v>
                </c:pt>
                <c:pt idx="163">
                  <c:v>42557</c:v>
                </c:pt>
                <c:pt idx="164">
                  <c:v>42558</c:v>
                </c:pt>
                <c:pt idx="165">
                  <c:v>42559</c:v>
                </c:pt>
                <c:pt idx="166">
                  <c:v>42562</c:v>
                </c:pt>
                <c:pt idx="167">
                  <c:v>42563</c:v>
                </c:pt>
                <c:pt idx="168">
                  <c:v>42564</c:v>
                </c:pt>
                <c:pt idx="169">
                  <c:v>42565</c:v>
                </c:pt>
                <c:pt idx="170">
                  <c:v>42566</c:v>
                </c:pt>
                <c:pt idx="171">
                  <c:v>42569</c:v>
                </c:pt>
                <c:pt idx="172">
                  <c:v>42570</c:v>
                </c:pt>
                <c:pt idx="173">
                  <c:v>42571</c:v>
                </c:pt>
                <c:pt idx="174">
                  <c:v>42572</c:v>
                </c:pt>
                <c:pt idx="175">
                  <c:v>42573</c:v>
                </c:pt>
                <c:pt idx="176">
                  <c:v>42576</c:v>
                </c:pt>
                <c:pt idx="177">
                  <c:v>42577</c:v>
                </c:pt>
                <c:pt idx="178">
                  <c:v>42578</c:v>
                </c:pt>
                <c:pt idx="179">
                  <c:v>42579</c:v>
                </c:pt>
                <c:pt idx="180">
                  <c:v>42580</c:v>
                </c:pt>
                <c:pt idx="181">
                  <c:v>42583</c:v>
                </c:pt>
                <c:pt idx="182">
                  <c:v>42584</c:v>
                </c:pt>
                <c:pt idx="183">
                  <c:v>42585</c:v>
                </c:pt>
                <c:pt idx="184">
                  <c:v>42586</c:v>
                </c:pt>
                <c:pt idx="185">
                  <c:v>42587</c:v>
                </c:pt>
                <c:pt idx="186">
                  <c:v>42590</c:v>
                </c:pt>
                <c:pt idx="187">
                  <c:v>42591</c:v>
                </c:pt>
                <c:pt idx="188">
                  <c:v>42592</c:v>
                </c:pt>
                <c:pt idx="189">
                  <c:v>42593</c:v>
                </c:pt>
                <c:pt idx="190">
                  <c:v>42594</c:v>
                </c:pt>
                <c:pt idx="191">
                  <c:v>42597</c:v>
                </c:pt>
                <c:pt idx="192">
                  <c:v>42598</c:v>
                </c:pt>
                <c:pt idx="193">
                  <c:v>42599</c:v>
                </c:pt>
                <c:pt idx="194">
                  <c:v>42600</c:v>
                </c:pt>
                <c:pt idx="195">
                  <c:v>42601</c:v>
                </c:pt>
                <c:pt idx="196">
                  <c:v>42604</c:v>
                </c:pt>
                <c:pt idx="197">
                  <c:v>42605</c:v>
                </c:pt>
                <c:pt idx="198">
                  <c:v>42606</c:v>
                </c:pt>
                <c:pt idx="199">
                  <c:v>42607</c:v>
                </c:pt>
                <c:pt idx="200">
                  <c:v>42608</c:v>
                </c:pt>
                <c:pt idx="201">
                  <c:v>42611</c:v>
                </c:pt>
                <c:pt idx="202">
                  <c:v>42612</c:v>
                </c:pt>
                <c:pt idx="203">
                  <c:v>42613</c:v>
                </c:pt>
                <c:pt idx="204">
                  <c:v>42614</c:v>
                </c:pt>
                <c:pt idx="205">
                  <c:v>42615</c:v>
                </c:pt>
                <c:pt idx="206">
                  <c:v>42619</c:v>
                </c:pt>
                <c:pt idx="207">
                  <c:v>42620</c:v>
                </c:pt>
                <c:pt idx="208">
                  <c:v>42621</c:v>
                </c:pt>
                <c:pt idx="209">
                  <c:v>42622</c:v>
                </c:pt>
                <c:pt idx="210">
                  <c:v>42625</c:v>
                </c:pt>
                <c:pt idx="211">
                  <c:v>42626</c:v>
                </c:pt>
                <c:pt idx="212">
                  <c:v>42627</c:v>
                </c:pt>
                <c:pt idx="213">
                  <c:v>42628</c:v>
                </c:pt>
                <c:pt idx="214">
                  <c:v>42629</c:v>
                </c:pt>
                <c:pt idx="215">
                  <c:v>42632</c:v>
                </c:pt>
                <c:pt idx="216">
                  <c:v>42633</c:v>
                </c:pt>
                <c:pt idx="217">
                  <c:v>42634</c:v>
                </c:pt>
                <c:pt idx="218">
                  <c:v>42635</c:v>
                </c:pt>
                <c:pt idx="219">
                  <c:v>42636</c:v>
                </c:pt>
                <c:pt idx="220">
                  <c:v>42639</c:v>
                </c:pt>
                <c:pt idx="221">
                  <c:v>42640</c:v>
                </c:pt>
                <c:pt idx="222">
                  <c:v>42641</c:v>
                </c:pt>
                <c:pt idx="223">
                  <c:v>42642</c:v>
                </c:pt>
                <c:pt idx="224">
                  <c:v>42643</c:v>
                </c:pt>
                <c:pt idx="225">
                  <c:v>42646</c:v>
                </c:pt>
                <c:pt idx="226">
                  <c:v>42647</c:v>
                </c:pt>
                <c:pt idx="227">
                  <c:v>42648</c:v>
                </c:pt>
                <c:pt idx="228">
                  <c:v>42649</c:v>
                </c:pt>
                <c:pt idx="229">
                  <c:v>42650</c:v>
                </c:pt>
                <c:pt idx="230">
                  <c:v>42653</c:v>
                </c:pt>
                <c:pt idx="231">
                  <c:v>42654</c:v>
                </c:pt>
                <c:pt idx="232">
                  <c:v>42655</c:v>
                </c:pt>
                <c:pt idx="233">
                  <c:v>42656</c:v>
                </c:pt>
                <c:pt idx="234">
                  <c:v>42657</c:v>
                </c:pt>
                <c:pt idx="235">
                  <c:v>42660</c:v>
                </c:pt>
                <c:pt idx="236">
                  <c:v>42661</c:v>
                </c:pt>
                <c:pt idx="237">
                  <c:v>42662</c:v>
                </c:pt>
                <c:pt idx="238">
                  <c:v>42663</c:v>
                </c:pt>
                <c:pt idx="239">
                  <c:v>42664</c:v>
                </c:pt>
                <c:pt idx="240">
                  <c:v>42667</c:v>
                </c:pt>
                <c:pt idx="241">
                  <c:v>42668</c:v>
                </c:pt>
                <c:pt idx="242">
                  <c:v>42669</c:v>
                </c:pt>
                <c:pt idx="243">
                  <c:v>42670</c:v>
                </c:pt>
                <c:pt idx="244">
                  <c:v>42671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42681</c:v>
                </c:pt>
                <c:pt idx="251">
                  <c:v>42682</c:v>
                </c:pt>
                <c:pt idx="252">
                  <c:v>42683</c:v>
                </c:pt>
                <c:pt idx="253">
                  <c:v>42684</c:v>
                </c:pt>
                <c:pt idx="254">
                  <c:v>42685</c:v>
                </c:pt>
                <c:pt idx="255">
                  <c:v>42688</c:v>
                </c:pt>
                <c:pt idx="256">
                  <c:v>42689</c:v>
                </c:pt>
                <c:pt idx="257">
                  <c:v>42690</c:v>
                </c:pt>
                <c:pt idx="258">
                  <c:v>42691</c:v>
                </c:pt>
                <c:pt idx="259">
                  <c:v>42692</c:v>
                </c:pt>
                <c:pt idx="260">
                  <c:v>42695</c:v>
                </c:pt>
                <c:pt idx="261">
                  <c:v>42696</c:v>
                </c:pt>
                <c:pt idx="262">
                  <c:v>42697</c:v>
                </c:pt>
                <c:pt idx="263">
                  <c:v>42699</c:v>
                </c:pt>
                <c:pt idx="264">
                  <c:v>42702</c:v>
                </c:pt>
                <c:pt idx="265">
                  <c:v>42703</c:v>
                </c:pt>
                <c:pt idx="266">
                  <c:v>42704</c:v>
                </c:pt>
                <c:pt idx="267">
                  <c:v>42705</c:v>
                </c:pt>
                <c:pt idx="268">
                  <c:v>42706</c:v>
                </c:pt>
                <c:pt idx="269">
                  <c:v>42709</c:v>
                </c:pt>
                <c:pt idx="270">
                  <c:v>42710</c:v>
                </c:pt>
                <c:pt idx="271">
                  <c:v>42711</c:v>
                </c:pt>
                <c:pt idx="272">
                  <c:v>42712</c:v>
                </c:pt>
                <c:pt idx="273">
                  <c:v>42713</c:v>
                </c:pt>
                <c:pt idx="274">
                  <c:v>42716</c:v>
                </c:pt>
                <c:pt idx="275">
                  <c:v>42717</c:v>
                </c:pt>
                <c:pt idx="276">
                  <c:v>42718</c:v>
                </c:pt>
                <c:pt idx="277">
                  <c:v>42719</c:v>
                </c:pt>
                <c:pt idx="278">
                  <c:v>42720</c:v>
                </c:pt>
                <c:pt idx="279">
                  <c:v>42723</c:v>
                </c:pt>
                <c:pt idx="280">
                  <c:v>42724</c:v>
                </c:pt>
                <c:pt idx="281">
                  <c:v>42725</c:v>
                </c:pt>
                <c:pt idx="282">
                  <c:v>42726</c:v>
                </c:pt>
                <c:pt idx="283">
                  <c:v>42727</c:v>
                </c:pt>
                <c:pt idx="284">
                  <c:v>42731</c:v>
                </c:pt>
                <c:pt idx="285">
                  <c:v>42732</c:v>
                </c:pt>
                <c:pt idx="286">
                  <c:v>42733</c:v>
                </c:pt>
                <c:pt idx="287">
                  <c:v>42734</c:v>
                </c:pt>
                <c:pt idx="288">
                  <c:v>42738</c:v>
                </c:pt>
                <c:pt idx="289">
                  <c:v>42739</c:v>
                </c:pt>
                <c:pt idx="290">
                  <c:v>42740</c:v>
                </c:pt>
                <c:pt idx="291">
                  <c:v>42741</c:v>
                </c:pt>
                <c:pt idx="292">
                  <c:v>42744</c:v>
                </c:pt>
                <c:pt idx="293">
                  <c:v>42745</c:v>
                </c:pt>
                <c:pt idx="294">
                  <c:v>42746</c:v>
                </c:pt>
                <c:pt idx="295">
                  <c:v>42747</c:v>
                </c:pt>
                <c:pt idx="296">
                  <c:v>42748</c:v>
                </c:pt>
                <c:pt idx="297">
                  <c:v>42752</c:v>
                </c:pt>
                <c:pt idx="298">
                  <c:v>42753</c:v>
                </c:pt>
                <c:pt idx="299">
                  <c:v>42754</c:v>
                </c:pt>
                <c:pt idx="300">
                  <c:v>42755</c:v>
                </c:pt>
                <c:pt idx="301">
                  <c:v>42758</c:v>
                </c:pt>
                <c:pt idx="302">
                  <c:v>42759</c:v>
                </c:pt>
                <c:pt idx="303">
                  <c:v>42760</c:v>
                </c:pt>
                <c:pt idx="304">
                  <c:v>42761</c:v>
                </c:pt>
                <c:pt idx="305">
                  <c:v>42762</c:v>
                </c:pt>
                <c:pt idx="306">
                  <c:v>42765</c:v>
                </c:pt>
                <c:pt idx="307">
                  <c:v>42766</c:v>
                </c:pt>
                <c:pt idx="308">
                  <c:v>42767</c:v>
                </c:pt>
                <c:pt idx="309">
                  <c:v>42768</c:v>
                </c:pt>
                <c:pt idx="310">
                  <c:v>42769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42779</c:v>
                </c:pt>
                <c:pt idx="317">
                  <c:v>42780</c:v>
                </c:pt>
                <c:pt idx="318">
                  <c:v>42781</c:v>
                </c:pt>
                <c:pt idx="319">
                  <c:v>42782</c:v>
                </c:pt>
                <c:pt idx="320">
                  <c:v>42783</c:v>
                </c:pt>
                <c:pt idx="321">
                  <c:v>42787</c:v>
                </c:pt>
                <c:pt idx="322">
                  <c:v>42788</c:v>
                </c:pt>
                <c:pt idx="323">
                  <c:v>42789</c:v>
                </c:pt>
                <c:pt idx="324">
                  <c:v>42790</c:v>
                </c:pt>
                <c:pt idx="325">
                  <c:v>42793</c:v>
                </c:pt>
                <c:pt idx="326">
                  <c:v>42794</c:v>
                </c:pt>
                <c:pt idx="327">
                  <c:v>42795</c:v>
                </c:pt>
                <c:pt idx="328">
                  <c:v>42796</c:v>
                </c:pt>
                <c:pt idx="329">
                  <c:v>42797</c:v>
                </c:pt>
                <c:pt idx="330">
                  <c:v>42800</c:v>
                </c:pt>
                <c:pt idx="331">
                  <c:v>42801</c:v>
                </c:pt>
                <c:pt idx="332">
                  <c:v>42802</c:v>
                </c:pt>
                <c:pt idx="333">
                  <c:v>42803</c:v>
                </c:pt>
                <c:pt idx="334">
                  <c:v>42804</c:v>
                </c:pt>
                <c:pt idx="335">
                  <c:v>42807</c:v>
                </c:pt>
                <c:pt idx="336">
                  <c:v>42808</c:v>
                </c:pt>
                <c:pt idx="337">
                  <c:v>42809</c:v>
                </c:pt>
                <c:pt idx="338">
                  <c:v>42810</c:v>
                </c:pt>
                <c:pt idx="339">
                  <c:v>42811</c:v>
                </c:pt>
                <c:pt idx="340">
                  <c:v>42814</c:v>
                </c:pt>
                <c:pt idx="341">
                  <c:v>42815</c:v>
                </c:pt>
                <c:pt idx="342">
                  <c:v>42816</c:v>
                </c:pt>
                <c:pt idx="343">
                  <c:v>42817</c:v>
                </c:pt>
                <c:pt idx="344">
                  <c:v>42818</c:v>
                </c:pt>
                <c:pt idx="345">
                  <c:v>42821</c:v>
                </c:pt>
                <c:pt idx="346">
                  <c:v>42822</c:v>
                </c:pt>
                <c:pt idx="347">
                  <c:v>42823</c:v>
                </c:pt>
                <c:pt idx="348">
                  <c:v>42824</c:v>
                </c:pt>
                <c:pt idx="349">
                  <c:v>42825</c:v>
                </c:pt>
                <c:pt idx="350">
                  <c:v>42828</c:v>
                </c:pt>
                <c:pt idx="351">
                  <c:v>42829</c:v>
                </c:pt>
                <c:pt idx="352">
                  <c:v>42830</c:v>
                </c:pt>
                <c:pt idx="353">
                  <c:v>42831</c:v>
                </c:pt>
                <c:pt idx="354">
                  <c:v>42832</c:v>
                </c:pt>
                <c:pt idx="355">
                  <c:v>42835</c:v>
                </c:pt>
                <c:pt idx="356">
                  <c:v>42836</c:v>
                </c:pt>
                <c:pt idx="357">
                  <c:v>42837</c:v>
                </c:pt>
                <c:pt idx="358">
                  <c:v>42838</c:v>
                </c:pt>
                <c:pt idx="359">
                  <c:v>42842</c:v>
                </c:pt>
                <c:pt idx="360">
                  <c:v>42843</c:v>
                </c:pt>
                <c:pt idx="361">
                  <c:v>42844</c:v>
                </c:pt>
                <c:pt idx="362">
                  <c:v>42845</c:v>
                </c:pt>
                <c:pt idx="363">
                  <c:v>42846</c:v>
                </c:pt>
                <c:pt idx="364">
                  <c:v>42849</c:v>
                </c:pt>
                <c:pt idx="365">
                  <c:v>42850</c:v>
                </c:pt>
                <c:pt idx="366">
                  <c:v>42851</c:v>
                </c:pt>
                <c:pt idx="367">
                  <c:v>42852</c:v>
                </c:pt>
                <c:pt idx="368">
                  <c:v>42853</c:v>
                </c:pt>
                <c:pt idx="369">
                  <c:v>42856</c:v>
                </c:pt>
                <c:pt idx="370">
                  <c:v>42857</c:v>
                </c:pt>
                <c:pt idx="371">
                  <c:v>42858</c:v>
                </c:pt>
                <c:pt idx="372">
                  <c:v>42859</c:v>
                </c:pt>
                <c:pt idx="373">
                  <c:v>42860</c:v>
                </c:pt>
                <c:pt idx="374">
                  <c:v>42863</c:v>
                </c:pt>
                <c:pt idx="375">
                  <c:v>42864</c:v>
                </c:pt>
                <c:pt idx="376">
                  <c:v>42865</c:v>
                </c:pt>
                <c:pt idx="377">
                  <c:v>42866</c:v>
                </c:pt>
                <c:pt idx="378">
                  <c:v>42867</c:v>
                </c:pt>
                <c:pt idx="379">
                  <c:v>42870</c:v>
                </c:pt>
                <c:pt idx="380">
                  <c:v>42871</c:v>
                </c:pt>
                <c:pt idx="381">
                  <c:v>42872</c:v>
                </c:pt>
                <c:pt idx="382">
                  <c:v>42873</c:v>
                </c:pt>
                <c:pt idx="383">
                  <c:v>42874</c:v>
                </c:pt>
                <c:pt idx="384">
                  <c:v>42877</c:v>
                </c:pt>
                <c:pt idx="385">
                  <c:v>42878</c:v>
                </c:pt>
                <c:pt idx="386">
                  <c:v>42879</c:v>
                </c:pt>
                <c:pt idx="387">
                  <c:v>42880</c:v>
                </c:pt>
                <c:pt idx="388">
                  <c:v>42881</c:v>
                </c:pt>
                <c:pt idx="389">
                  <c:v>42885</c:v>
                </c:pt>
                <c:pt idx="390">
                  <c:v>42886</c:v>
                </c:pt>
                <c:pt idx="391">
                  <c:v>42887</c:v>
                </c:pt>
                <c:pt idx="392">
                  <c:v>42888</c:v>
                </c:pt>
                <c:pt idx="393">
                  <c:v>42891</c:v>
                </c:pt>
                <c:pt idx="394">
                  <c:v>42892</c:v>
                </c:pt>
                <c:pt idx="395">
                  <c:v>42893</c:v>
                </c:pt>
                <c:pt idx="396">
                  <c:v>42894</c:v>
                </c:pt>
                <c:pt idx="397">
                  <c:v>42895</c:v>
                </c:pt>
                <c:pt idx="398">
                  <c:v>42898</c:v>
                </c:pt>
                <c:pt idx="399">
                  <c:v>42899</c:v>
                </c:pt>
                <c:pt idx="400">
                  <c:v>42900</c:v>
                </c:pt>
                <c:pt idx="401">
                  <c:v>42901</c:v>
                </c:pt>
                <c:pt idx="402">
                  <c:v>42902</c:v>
                </c:pt>
                <c:pt idx="403">
                  <c:v>42905</c:v>
                </c:pt>
                <c:pt idx="404">
                  <c:v>42906</c:v>
                </c:pt>
                <c:pt idx="405">
                  <c:v>42907</c:v>
                </c:pt>
                <c:pt idx="406">
                  <c:v>42908</c:v>
                </c:pt>
                <c:pt idx="407">
                  <c:v>42909</c:v>
                </c:pt>
                <c:pt idx="408">
                  <c:v>42912</c:v>
                </c:pt>
                <c:pt idx="409">
                  <c:v>42913</c:v>
                </c:pt>
                <c:pt idx="410">
                  <c:v>42914</c:v>
                </c:pt>
                <c:pt idx="411">
                  <c:v>42915</c:v>
                </c:pt>
                <c:pt idx="412">
                  <c:v>42916</c:v>
                </c:pt>
                <c:pt idx="413">
                  <c:v>42919</c:v>
                </c:pt>
                <c:pt idx="414">
                  <c:v>42921</c:v>
                </c:pt>
                <c:pt idx="415">
                  <c:v>42922</c:v>
                </c:pt>
                <c:pt idx="416">
                  <c:v>42923</c:v>
                </c:pt>
                <c:pt idx="417">
                  <c:v>42926</c:v>
                </c:pt>
                <c:pt idx="418">
                  <c:v>42927</c:v>
                </c:pt>
                <c:pt idx="419">
                  <c:v>42928</c:v>
                </c:pt>
                <c:pt idx="420">
                  <c:v>42929</c:v>
                </c:pt>
                <c:pt idx="421">
                  <c:v>42930</c:v>
                </c:pt>
                <c:pt idx="422">
                  <c:v>42933</c:v>
                </c:pt>
                <c:pt idx="423">
                  <c:v>42934</c:v>
                </c:pt>
                <c:pt idx="424">
                  <c:v>42935</c:v>
                </c:pt>
                <c:pt idx="425">
                  <c:v>42936</c:v>
                </c:pt>
                <c:pt idx="426">
                  <c:v>42937</c:v>
                </c:pt>
                <c:pt idx="427">
                  <c:v>42940</c:v>
                </c:pt>
                <c:pt idx="428">
                  <c:v>42941</c:v>
                </c:pt>
                <c:pt idx="429">
                  <c:v>42942</c:v>
                </c:pt>
                <c:pt idx="430">
                  <c:v>42943</c:v>
                </c:pt>
                <c:pt idx="431">
                  <c:v>42944</c:v>
                </c:pt>
                <c:pt idx="432">
                  <c:v>42947</c:v>
                </c:pt>
                <c:pt idx="433">
                  <c:v>42948</c:v>
                </c:pt>
                <c:pt idx="434">
                  <c:v>42949</c:v>
                </c:pt>
                <c:pt idx="435">
                  <c:v>42950</c:v>
                </c:pt>
                <c:pt idx="436">
                  <c:v>42951</c:v>
                </c:pt>
                <c:pt idx="437">
                  <c:v>42954</c:v>
                </c:pt>
                <c:pt idx="438">
                  <c:v>42955</c:v>
                </c:pt>
                <c:pt idx="439">
                  <c:v>42956</c:v>
                </c:pt>
                <c:pt idx="440">
                  <c:v>42957</c:v>
                </c:pt>
                <c:pt idx="441">
                  <c:v>42958</c:v>
                </c:pt>
                <c:pt idx="442">
                  <c:v>42961</c:v>
                </c:pt>
                <c:pt idx="443">
                  <c:v>42962</c:v>
                </c:pt>
                <c:pt idx="444">
                  <c:v>42963</c:v>
                </c:pt>
                <c:pt idx="445">
                  <c:v>42964</c:v>
                </c:pt>
                <c:pt idx="446">
                  <c:v>42965</c:v>
                </c:pt>
                <c:pt idx="447">
                  <c:v>42968</c:v>
                </c:pt>
                <c:pt idx="448">
                  <c:v>42969</c:v>
                </c:pt>
                <c:pt idx="449">
                  <c:v>42970</c:v>
                </c:pt>
                <c:pt idx="450">
                  <c:v>42971</c:v>
                </c:pt>
                <c:pt idx="451">
                  <c:v>42972</c:v>
                </c:pt>
                <c:pt idx="452">
                  <c:v>42975</c:v>
                </c:pt>
                <c:pt idx="453">
                  <c:v>42976</c:v>
                </c:pt>
                <c:pt idx="454">
                  <c:v>42977</c:v>
                </c:pt>
                <c:pt idx="455">
                  <c:v>42978</c:v>
                </c:pt>
                <c:pt idx="456">
                  <c:v>42979</c:v>
                </c:pt>
                <c:pt idx="457">
                  <c:v>42983</c:v>
                </c:pt>
                <c:pt idx="458">
                  <c:v>42984</c:v>
                </c:pt>
                <c:pt idx="459">
                  <c:v>42985</c:v>
                </c:pt>
                <c:pt idx="460">
                  <c:v>42986</c:v>
                </c:pt>
                <c:pt idx="461">
                  <c:v>42989</c:v>
                </c:pt>
                <c:pt idx="462">
                  <c:v>42990</c:v>
                </c:pt>
                <c:pt idx="463">
                  <c:v>42991</c:v>
                </c:pt>
                <c:pt idx="464">
                  <c:v>42992</c:v>
                </c:pt>
                <c:pt idx="465">
                  <c:v>42993</c:v>
                </c:pt>
                <c:pt idx="466">
                  <c:v>42996</c:v>
                </c:pt>
                <c:pt idx="467">
                  <c:v>42997</c:v>
                </c:pt>
                <c:pt idx="468">
                  <c:v>42998</c:v>
                </c:pt>
                <c:pt idx="469">
                  <c:v>42999</c:v>
                </c:pt>
                <c:pt idx="470">
                  <c:v>43000</c:v>
                </c:pt>
                <c:pt idx="471">
                  <c:v>43003</c:v>
                </c:pt>
                <c:pt idx="472">
                  <c:v>43004</c:v>
                </c:pt>
                <c:pt idx="473">
                  <c:v>43005</c:v>
                </c:pt>
                <c:pt idx="474">
                  <c:v>43006</c:v>
                </c:pt>
                <c:pt idx="475">
                  <c:v>43007</c:v>
                </c:pt>
                <c:pt idx="476">
                  <c:v>43010</c:v>
                </c:pt>
                <c:pt idx="477">
                  <c:v>43011</c:v>
                </c:pt>
                <c:pt idx="478">
                  <c:v>43012</c:v>
                </c:pt>
                <c:pt idx="479">
                  <c:v>43013</c:v>
                </c:pt>
                <c:pt idx="480">
                  <c:v>43014</c:v>
                </c:pt>
                <c:pt idx="481">
                  <c:v>43017</c:v>
                </c:pt>
                <c:pt idx="482">
                  <c:v>43018</c:v>
                </c:pt>
                <c:pt idx="483">
                  <c:v>43019</c:v>
                </c:pt>
                <c:pt idx="484">
                  <c:v>43020</c:v>
                </c:pt>
                <c:pt idx="485">
                  <c:v>43021</c:v>
                </c:pt>
                <c:pt idx="486">
                  <c:v>43024</c:v>
                </c:pt>
                <c:pt idx="487">
                  <c:v>43025</c:v>
                </c:pt>
                <c:pt idx="488">
                  <c:v>43026</c:v>
                </c:pt>
                <c:pt idx="489">
                  <c:v>43027</c:v>
                </c:pt>
                <c:pt idx="490">
                  <c:v>43028</c:v>
                </c:pt>
                <c:pt idx="491">
                  <c:v>43031</c:v>
                </c:pt>
                <c:pt idx="492">
                  <c:v>43032</c:v>
                </c:pt>
                <c:pt idx="493">
                  <c:v>43033</c:v>
                </c:pt>
                <c:pt idx="494">
                  <c:v>43034</c:v>
                </c:pt>
                <c:pt idx="495">
                  <c:v>43035</c:v>
                </c:pt>
                <c:pt idx="496">
                  <c:v>43038</c:v>
                </c:pt>
                <c:pt idx="497">
                  <c:v>43039</c:v>
                </c:pt>
                <c:pt idx="498">
                  <c:v>43040</c:v>
                </c:pt>
                <c:pt idx="499">
                  <c:v>43041</c:v>
                </c:pt>
                <c:pt idx="500">
                  <c:v>43042</c:v>
                </c:pt>
                <c:pt idx="501">
                  <c:v>43045</c:v>
                </c:pt>
                <c:pt idx="502">
                  <c:v>43046</c:v>
                </c:pt>
                <c:pt idx="503">
                  <c:v>43047</c:v>
                </c:pt>
                <c:pt idx="504">
                  <c:v>43048</c:v>
                </c:pt>
                <c:pt idx="505">
                  <c:v>43049</c:v>
                </c:pt>
                <c:pt idx="506">
                  <c:v>43052</c:v>
                </c:pt>
                <c:pt idx="507">
                  <c:v>43053</c:v>
                </c:pt>
                <c:pt idx="508">
                  <c:v>43054</c:v>
                </c:pt>
                <c:pt idx="509">
                  <c:v>43055</c:v>
                </c:pt>
                <c:pt idx="510">
                  <c:v>43056</c:v>
                </c:pt>
                <c:pt idx="511">
                  <c:v>43059</c:v>
                </c:pt>
                <c:pt idx="512">
                  <c:v>43060</c:v>
                </c:pt>
                <c:pt idx="513">
                  <c:v>43061</c:v>
                </c:pt>
                <c:pt idx="514">
                  <c:v>43063</c:v>
                </c:pt>
                <c:pt idx="515">
                  <c:v>43066</c:v>
                </c:pt>
                <c:pt idx="516">
                  <c:v>43067</c:v>
                </c:pt>
                <c:pt idx="517">
                  <c:v>43068</c:v>
                </c:pt>
                <c:pt idx="518">
                  <c:v>43069</c:v>
                </c:pt>
                <c:pt idx="519">
                  <c:v>43070</c:v>
                </c:pt>
                <c:pt idx="520">
                  <c:v>43073</c:v>
                </c:pt>
                <c:pt idx="521">
                  <c:v>43074</c:v>
                </c:pt>
                <c:pt idx="522">
                  <c:v>43075</c:v>
                </c:pt>
                <c:pt idx="523">
                  <c:v>43076</c:v>
                </c:pt>
                <c:pt idx="524">
                  <c:v>43077</c:v>
                </c:pt>
                <c:pt idx="525">
                  <c:v>43080</c:v>
                </c:pt>
                <c:pt idx="526">
                  <c:v>43081</c:v>
                </c:pt>
                <c:pt idx="527">
                  <c:v>43082</c:v>
                </c:pt>
                <c:pt idx="528">
                  <c:v>43083</c:v>
                </c:pt>
                <c:pt idx="529">
                  <c:v>43084</c:v>
                </c:pt>
                <c:pt idx="530">
                  <c:v>43087</c:v>
                </c:pt>
                <c:pt idx="531">
                  <c:v>43088</c:v>
                </c:pt>
                <c:pt idx="532">
                  <c:v>43089</c:v>
                </c:pt>
                <c:pt idx="533">
                  <c:v>43090</c:v>
                </c:pt>
                <c:pt idx="534">
                  <c:v>43091</c:v>
                </c:pt>
                <c:pt idx="535">
                  <c:v>43095</c:v>
                </c:pt>
                <c:pt idx="536">
                  <c:v>43096</c:v>
                </c:pt>
                <c:pt idx="537">
                  <c:v>43097</c:v>
                </c:pt>
                <c:pt idx="538">
                  <c:v>43098</c:v>
                </c:pt>
                <c:pt idx="539">
                  <c:v>43102</c:v>
                </c:pt>
                <c:pt idx="540">
                  <c:v>43103</c:v>
                </c:pt>
                <c:pt idx="541">
                  <c:v>43104</c:v>
                </c:pt>
                <c:pt idx="542">
                  <c:v>43105</c:v>
                </c:pt>
                <c:pt idx="543">
                  <c:v>43108</c:v>
                </c:pt>
                <c:pt idx="544">
                  <c:v>43109</c:v>
                </c:pt>
                <c:pt idx="545">
                  <c:v>43110</c:v>
                </c:pt>
                <c:pt idx="546">
                  <c:v>43111</c:v>
                </c:pt>
                <c:pt idx="547">
                  <c:v>43112</c:v>
                </c:pt>
                <c:pt idx="548">
                  <c:v>43116</c:v>
                </c:pt>
                <c:pt idx="549">
                  <c:v>43117</c:v>
                </c:pt>
                <c:pt idx="550">
                  <c:v>43118</c:v>
                </c:pt>
                <c:pt idx="551">
                  <c:v>43119</c:v>
                </c:pt>
                <c:pt idx="552">
                  <c:v>43122</c:v>
                </c:pt>
                <c:pt idx="553">
                  <c:v>43123</c:v>
                </c:pt>
                <c:pt idx="554">
                  <c:v>43124</c:v>
                </c:pt>
                <c:pt idx="555">
                  <c:v>43125</c:v>
                </c:pt>
                <c:pt idx="556">
                  <c:v>43126</c:v>
                </c:pt>
                <c:pt idx="557">
                  <c:v>43129</c:v>
                </c:pt>
                <c:pt idx="558">
                  <c:v>43130</c:v>
                </c:pt>
                <c:pt idx="559">
                  <c:v>43131</c:v>
                </c:pt>
                <c:pt idx="560">
                  <c:v>43132</c:v>
                </c:pt>
                <c:pt idx="561">
                  <c:v>43133</c:v>
                </c:pt>
                <c:pt idx="562">
                  <c:v>43136</c:v>
                </c:pt>
                <c:pt idx="563">
                  <c:v>43137</c:v>
                </c:pt>
                <c:pt idx="564">
                  <c:v>43138</c:v>
                </c:pt>
                <c:pt idx="565">
                  <c:v>43139</c:v>
                </c:pt>
                <c:pt idx="566">
                  <c:v>43140</c:v>
                </c:pt>
                <c:pt idx="567">
                  <c:v>43143</c:v>
                </c:pt>
                <c:pt idx="568">
                  <c:v>43144</c:v>
                </c:pt>
                <c:pt idx="569">
                  <c:v>43145</c:v>
                </c:pt>
                <c:pt idx="570">
                  <c:v>43146</c:v>
                </c:pt>
                <c:pt idx="571">
                  <c:v>43147</c:v>
                </c:pt>
                <c:pt idx="572">
                  <c:v>43151</c:v>
                </c:pt>
                <c:pt idx="573">
                  <c:v>43152</c:v>
                </c:pt>
                <c:pt idx="574">
                  <c:v>43153</c:v>
                </c:pt>
                <c:pt idx="575">
                  <c:v>43154</c:v>
                </c:pt>
                <c:pt idx="576">
                  <c:v>43157</c:v>
                </c:pt>
                <c:pt idx="577">
                  <c:v>43158</c:v>
                </c:pt>
                <c:pt idx="578">
                  <c:v>43159</c:v>
                </c:pt>
                <c:pt idx="579">
                  <c:v>43160</c:v>
                </c:pt>
                <c:pt idx="580">
                  <c:v>43161</c:v>
                </c:pt>
                <c:pt idx="581">
                  <c:v>43164</c:v>
                </c:pt>
                <c:pt idx="582">
                  <c:v>43165</c:v>
                </c:pt>
                <c:pt idx="583">
                  <c:v>43166</c:v>
                </c:pt>
                <c:pt idx="584">
                  <c:v>43167</c:v>
                </c:pt>
                <c:pt idx="585">
                  <c:v>43168</c:v>
                </c:pt>
                <c:pt idx="586">
                  <c:v>43171</c:v>
                </c:pt>
                <c:pt idx="587">
                  <c:v>43172</c:v>
                </c:pt>
                <c:pt idx="588">
                  <c:v>43173</c:v>
                </c:pt>
                <c:pt idx="589">
                  <c:v>43174</c:v>
                </c:pt>
                <c:pt idx="590">
                  <c:v>43175</c:v>
                </c:pt>
                <c:pt idx="591">
                  <c:v>43178</c:v>
                </c:pt>
                <c:pt idx="592">
                  <c:v>43179</c:v>
                </c:pt>
                <c:pt idx="593">
                  <c:v>43180</c:v>
                </c:pt>
                <c:pt idx="594">
                  <c:v>43181</c:v>
                </c:pt>
                <c:pt idx="595">
                  <c:v>43182</c:v>
                </c:pt>
                <c:pt idx="596">
                  <c:v>43185</c:v>
                </c:pt>
                <c:pt idx="597">
                  <c:v>43186</c:v>
                </c:pt>
                <c:pt idx="598">
                  <c:v>43187</c:v>
                </c:pt>
                <c:pt idx="599">
                  <c:v>43188</c:v>
                </c:pt>
                <c:pt idx="600">
                  <c:v>43192</c:v>
                </c:pt>
                <c:pt idx="601">
                  <c:v>43193</c:v>
                </c:pt>
                <c:pt idx="602">
                  <c:v>43194</c:v>
                </c:pt>
                <c:pt idx="603">
                  <c:v>43195</c:v>
                </c:pt>
                <c:pt idx="604">
                  <c:v>43196</c:v>
                </c:pt>
                <c:pt idx="605">
                  <c:v>43199</c:v>
                </c:pt>
                <c:pt idx="606">
                  <c:v>43200</c:v>
                </c:pt>
                <c:pt idx="607">
                  <c:v>43201</c:v>
                </c:pt>
                <c:pt idx="608">
                  <c:v>43202</c:v>
                </c:pt>
                <c:pt idx="609">
                  <c:v>43203</c:v>
                </c:pt>
                <c:pt idx="610">
                  <c:v>43206</c:v>
                </c:pt>
                <c:pt idx="611">
                  <c:v>43207</c:v>
                </c:pt>
                <c:pt idx="612">
                  <c:v>43208</c:v>
                </c:pt>
                <c:pt idx="613">
                  <c:v>43209</c:v>
                </c:pt>
                <c:pt idx="614">
                  <c:v>43210</c:v>
                </c:pt>
                <c:pt idx="615">
                  <c:v>43213</c:v>
                </c:pt>
                <c:pt idx="616">
                  <c:v>43214</c:v>
                </c:pt>
                <c:pt idx="617">
                  <c:v>43215</c:v>
                </c:pt>
                <c:pt idx="618">
                  <c:v>43216</c:v>
                </c:pt>
                <c:pt idx="619">
                  <c:v>43217</c:v>
                </c:pt>
                <c:pt idx="620">
                  <c:v>43220</c:v>
                </c:pt>
                <c:pt idx="621">
                  <c:v>43221</c:v>
                </c:pt>
                <c:pt idx="622">
                  <c:v>43222</c:v>
                </c:pt>
                <c:pt idx="623">
                  <c:v>43223</c:v>
                </c:pt>
                <c:pt idx="624">
                  <c:v>43224</c:v>
                </c:pt>
                <c:pt idx="625">
                  <c:v>43227</c:v>
                </c:pt>
                <c:pt idx="626">
                  <c:v>43228</c:v>
                </c:pt>
                <c:pt idx="627">
                  <c:v>43229</c:v>
                </c:pt>
                <c:pt idx="628">
                  <c:v>43230</c:v>
                </c:pt>
                <c:pt idx="629">
                  <c:v>43231</c:v>
                </c:pt>
                <c:pt idx="630">
                  <c:v>43234</c:v>
                </c:pt>
                <c:pt idx="631">
                  <c:v>43235</c:v>
                </c:pt>
                <c:pt idx="632">
                  <c:v>43236</c:v>
                </c:pt>
                <c:pt idx="633">
                  <c:v>43237</c:v>
                </c:pt>
                <c:pt idx="634">
                  <c:v>43238</c:v>
                </c:pt>
                <c:pt idx="635">
                  <c:v>43241</c:v>
                </c:pt>
                <c:pt idx="636">
                  <c:v>43242</c:v>
                </c:pt>
                <c:pt idx="637">
                  <c:v>43243</c:v>
                </c:pt>
                <c:pt idx="638">
                  <c:v>43244</c:v>
                </c:pt>
                <c:pt idx="639">
                  <c:v>43245</c:v>
                </c:pt>
                <c:pt idx="640">
                  <c:v>43249</c:v>
                </c:pt>
                <c:pt idx="641">
                  <c:v>43250</c:v>
                </c:pt>
                <c:pt idx="642">
                  <c:v>43251</c:v>
                </c:pt>
                <c:pt idx="643">
                  <c:v>43252</c:v>
                </c:pt>
                <c:pt idx="644">
                  <c:v>43255</c:v>
                </c:pt>
                <c:pt idx="645">
                  <c:v>43256</c:v>
                </c:pt>
                <c:pt idx="646">
                  <c:v>43257</c:v>
                </c:pt>
                <c:pt idx="647">
                  <c:v>43258</c:v>
                </c:pt>
                <c:pt idx="648">
                  <c:v>43259</c:v>
                </c:pt>
                <c:pt idx="649">
                  <c:v>43262</c:v>
                </c:pt>
                <c:pt idx="650">
                  <c:v>43263</c:v>
                </c:pt>
                <c:pt idx="651">
                  <c:v>43264</c:v>
                </c:pt>
                <c:pt idx="652">
                  <c:v>43265</c:v>
                </c:pt>
                <c:pt idx="653">
                  <c:v>43266</c:v>
                </c:pt>
                <c:pt idx="654">
                  <c:v>43269</c:v>
                </c:pt>
                <c:pt idx="655">
                  <c:v>43270</c:v>
                </c:pt>
                <c:pt idx="656">
                  <c:v>43271</c:v>
                </c:pt>
                <c:pt idx="657">
                  <c:v>43272</c:v>
                </c:pt>
                <c:pt idx="658">
                  <c:v>43273</c:v>
                </c:pt>
                <c:pt idx="659">
                  <c:v>43276</c:v>
                </c:pt>
                <c:pt idx="660">
                  <c:v>43277</c:v>
                </c:pt>
                <c:pt idx="661">
                  <c:v>43278</c:v>
                </c:pt>
                <c:pt idx="662">
                  <c:v>43279</c:v>
                </c:pt>
                <c:pt idx="663">
                  <c:v>43280</c:v>
                </c:pt>
                <c:pt idx="664">
                  <c:v>43283</c:v>
                </c:pt>
                <c:pt idx="665">
                  <c:v>43284</c:v>
                </c:pt>
                <c:pt idx="666">
                  <c:v>43286</c:v>
                </c:pt>
                <c:pt idx="667">
                  <c:v>43287</c:v>
                </c:pt>
                <c:pt idx="668">
                  <c:v>43290</c:v>
                </c:pt>
                <c:pt idx="669">
                  <c:v>43291</c:v>
                </c:pt>
                <c:pt idx="670">
                  <c:v>43292</c:v>
                </c:pt>
                <c:pt idx="671">
                  <c:v>43293</c:v>
                </c:pt>
                <c:pt idx="672">
                  <c:v>43294</c:v>
                </c:pt>
                <c:pt idx="673">
                  <c:v>43297</c:v>
                </c:pt>
                <c:pt idx="674">
                  <c:v>43298</c:v>
                </c:pt>
                <c:pt idx="675">
                  <c:v>43299</c:v>
                </c:pt>
                <c:pt idx="676">
                  <c:v>43300</c:v>
                </c:pt>
                <c:pt idx="677">
                  <c:v>43301</c:v>
                </c:pt>
                <c:pt idx="678">
                  <c:v>43304</c:v>
                </c:pt>
                <c:pt idx="679">
                  <c:v>43305</c:v>
                </c:pt>
                <c:pt idx="680">
                  <c:v>43306</c:v>
                </c:pt>
                <c:pt idx="681">
                  <c:v>43307</c:v>
                </c:pt>
                <c:pt idx="682">
                  <c:v>43308</c:v>
                </c:pt>
                <c:pt idx="683">
                  <c:v>43311</c:v>
                </c:pt>
                <c:pt idx="684">
                  <c:v>43312</c:v>
                </c:pt>
                <c:pt idx="685">
                  <c:v>43313</c:v>
                </c:pt>
                <c:pt idx="686">
                  <c:v>43314</c:v>
                </c:pt>
                <c:pt idx="687">
                  <c:v>43315</c:v>
                </c:pt>
                <c:pt idx="688">
                  <c:v>43318</c:v>
                </c:pt>
                <c:pt idx="689">
                  <c:v>43319</c:v>
                </c:pt>
                <c:pt idx="690">
                  <c:v>43320</c:v>
                </c:pt>
                <c:pt idx="691">
                  <c:v>43321</c:v>
                </c:pt>
                <c:pt idx="692">
                  <c:v>43322</c:v>
                </c:pt>
                <c:pt idx="693">
                  <c:v>43325</c:v>
                </c:pt>
                <c:pt idx="694">
                  <c:v>43326</c:v>
                </c:pt>
                <c:pt idx="695">
                  <c:v>43327</c:v>
                </c:pt>
                <c:pt idx="696">
                  <c:v>43328</c:v>
                </c:pt>
                <c:pt idx="697">
                  <c:v>43329</c:v>
                </c:pt>
                <c:pt idx="698">
                  <c:v>43332</c:v>
                </c:pt>
                <c:pt idx="699">
                  <c:v>43333</c:v>
                </c:pt>
                <c:pt idx="700">
                  <c:v>43334</c:v>
                </c:pt>
                <c:pt idx="701">
                  <c:v>43335</c:v>
                </c:pt>
                <c:pt idx="702">
                  <c:v>43336</c:v>
                </c:pt>
                <c:pt idx="703">
                  <c:v>43339</c:v>
                </c:pt>
                <c:pt idx="704">
                  <c:v>43340</c:v>
                </c:pt>
                <c:pt idx="705">
                  <c:v>43341</c:v>
                </c:pt>
                <c:pt idx="706">
                  <c:v>43342</c:v>
                </c:pt>
                <c:pt idx="707">
                  <c:v>43343</c:v>
                </c:pt>
                <c:pt idx="708">
                  <c:v>43347</c:v>
                </c:pt>
                <c:pt idx="709">
                  <c:v>43348</c:v>
                </c:pt>
                <c:pt idx="710">
                  <c:v>43349</c:v>
                </c:pt>
                <c:pt idx="711">
                  <c:v>43350</c:v>
                </c:pt>
                <c:pt idx="712">
                  <c:v>43353</c:v>
                </c:pt>
                <c:pt idx="713">
                  <c:v>43354</c:v>
                </c:pt>
                <c:pt idx="714">
                  <c:v>43355</c:v>
                </c:pt>
                <c:pt idx="715">
                  <c:v>43356</c:v>
                </c:pt>
                <c:pt idx="716">
                  <c:v>43357</c:v>
                </c:pt>
                <c:pt idx="717">
                  <c:v>43360</c:v>
                </c:pt>
                <c:pt idx="718">
                  <c:v>43361</c:v>
                </c:pt>
                <c:pt idx="719">
                  <c:v>43362</c:v>
                </c:pt>
                <c:pt idx="720">
                  <c:v>43363</c:v>
                </c:pt>
                <c:pt idx="721">
                  <c:v>43364</c:v>
                </c:pt>
                <c:pt idx="722">
                  <c:v>43367</c:v>
                </c:pt>
                <c:pt idx="723">
                  <c:v>43368</c:v>
                </c:pt>
                <c:pt idx="724">
                  <c:v>43369</c:v>
                </c:pt>
                <c:pt idx="725">
                  <c:v>43370</c:v>
                </c:pt>
                <c:pt idx="726">
                  <c:v>43371</c:v>
                </c:pt>
                <c:pt idx="727">
                  <c:v>43374</c:v>
                </c:pt>
                <c:pt idx="728">
                  <c:v>43375</c:v>
                </c:pt>
                <c:pt idx="729">
                  <c:v>43376</c:v>
                </c:pt>
                <c:pt idx="730">
                  <c:v>43377</c:v>
                </c:pt>
                <c:pt idx="731">
                  <c:v>43378</c:v>
                </c:pt>
                <c:pt idx="732">
                  <c:v>43381</c:v>
                </c:pt>
                <c:pt idx="733">
                  <c:v>43382</c:v>
                </c:pt>
                <c:pt idx="734">
                  <c:v>43383</c:v>
                </c:pt>
                <c:pt idx="735">
                  <c:v>43384</c:v>
                </c:pt>
                <c:pt idx="736">
                  <c:v>43385</c:v>
                </c:pt>
                <c:pt idx="737">
                  <c:v>43388</c:v>
                </c:pt>
              </c:numCache>
            </c:numRef>
          </c:xVal>
          <c:yVal>
            <c:numRef>
              <c:f>'tesla-stock-price (4)'!$C$23:$C$760</c:f>
              <c:numCache>
                <c:formatCode>General</c:formatCode>
                <c:ptCount val="738"/>
                <c:pt idx="0">
                  <c:v>-15.27000000000001</c:v>
                </c:pt>
                <c:pt idx="1">
                  <c:v>-13.280000000000001</c:v>
                </c:pt>
                <c:pt idx="2">
                  <c:v>-12.390000000000015</c:v>
                </c:pt>
                <c:pt idx="3">
                  <c:v>-9.3100000000000023</c:v>
                </c:pt>
                <c:pt idx="4">
                  <c:v>-4.7700000000000102</c:v>
                </c:pt>
                <c:pt idx="5">
                  <c:v>1.0600000000000023</c:v>
                </c:pt>
                <c:pt idx="6">
                  <c:v>13.879999999999995</c:v>
                </c:pt>
                <c:pt idx="7">
                  <c:v>7.4900000000000091</c:v>
                </c:pt>
                <c:pt idx="8">
                  <c:v>6.0099999999999909</c:v>
                </c:pt>
                <c:pt idx="9">
                  <c:v>-3.3199999999999932</c:v>
                </c:pt>
                <c:pt idx="10">
                  <c:v>-3.5500000000000114</c:v>
                </c:pt>
                <c:pt idx="11">
                  <c:v>9.6299999999999955</c:v>
                </c:pt>
                <c:pt idx="12">
                  <c:v>13.860000000000014</c:v>
                </c:pt>
                <c:pt idx="13">
                  <c:v>12.009999999999991</c:v>
                </c:pt>
                <c:pt idx="14">
                  <c:v>7.5500000000000114</c:v>
                </c:pt>
                <c:pt idx="15">
                  <c:v>0.37999999999999545</c:v>
                </c:pt>
                <c:pt idx="16">
                  <c:v>2.4500000000000171</c:v>
                </c:pt>
                <c:pt idx="17">
                  <c:v>-6.8100000000000023</c:v>
                </c:pt>
                <c:pt idx="18">
                  <c:v>-0.86000000000001364</c:v>
                </c:pt>
                <c:pt idx="19">
                  <c:v>-5.9900000000000091</c:v>
                </c:pt>
                <c:pt idx="20">
                  <c:v>-5.8599999999999852</c:v>
                </c:pt>
                <c:pt idx="21">
                  <c:v>-4.0600000000000023</c:v>
                </c:pt>
                <c:pt idx="22">
                  <c:v>-9.6999999999999886</c:v>
                </c:pt>
                <c:pt idx="23">
                  <c:v>-5.9399999999999977</c:v>
                </c:pt>
                <c:pt idx="24">
                  <c:v>-5.9799999999999898</c:v>
                </c:pt>
                <c:pt idx="25">
                  <c:v>17.489999999999981</c:v>
                </c:pt>
                <c:pt idx="26">
                  <c:v>14.809999999999974</c:v>
                </c:pt>
                <c:pt idx="27">
                  <c:v>9.3700000000000045</c:v>
                </c:pt>
                <c:pt idx="28">
                  <c:v>-1.9499999999999886</c:v>
                </c:pt>
                <c:pt idx="29">
                  <c:v>-3.4399999999999977</c:v>
                </c:pt>
                <c:pt idx="30">
                  <c:v>-0.76000000000001933</c:v>
                </c:pt>
                <c:pt idx="31">
                  <c:v>-1.9900000000000091</c:v>
                </c:pt>
                <c:pt idx="32">
                  <c:v>-1</c:v>
                </c:pt>
                <c:pt idx="33">
                  <c:v>7.4900000000000091</c:v>
                </c:pt>
                <c:pt idx="34">
                  <c:v>7.5200000000000102</c:v>
                </c:pt>
                <c:pt idx="35">
                  <c:v>11.060000000000002</c:v>
                </c:pt>
                <c:pt idx="36">
                  <c:v>-13.780000000000001</c:v>
                </c:pt>
                <c:pt idx="37">
                  <c:v>-14.659999999999997</c:v>
                </c:pt>
                <c:pt idx="38">
                  <c:v>-20.97</c:v>
                </c:pt>
                <c:pt idx="39">
                  <c:v>-7.7599999999999909</c:v>
                </c:pt>
                <c:pt idx="40">
                  <c:v>-12.430000000000007</c:v>
                </c:pt>
                <c:pt idx="41">
                  <c:v>-11.189999999999998</c:v>
                </c:pt>
                <c:pt idx="42">
                  <c:v>-5.6800000000000068</c:v>
                </c:pt>
                <c:pt idx="43">
                  <c:v>-10.689999999999998</c:v>
                </c:pt>
                <c:pt idx="44">
                  <c:v>-1.6699999999999875</c:v>
                </c:pt>
                <c:pt idx="45">
                  <c:v>-4.9799999999999898</c:v>
                </c:pt>
                <c:pt idx="46">
                  <c:v>4.4099999999999966</c:v>
                </c:pt>
                <c:pt idx="47">
                  <c:v>-7.4800000000000182</c:v>
                </c:pt>
                <c:pt idx="48">
                  <c:v>-5.0200000000000102</c:v>
                </c:pt>
                <c:pt idx="49">
                  <c:v>-2.1699999999999875</c:v>
                </c:pt>
                <c:pt idx="50">
                  <c:v>-2.3199999999999932</c:v>
                </c:pt>
                <c:pt idx="51">
                  <c:v>-6.4099999999999966</c:v>
                </c:pt>
                <c:pt idx="52">
                  <c:v>-14.480000000000018</c:v>
                </c:pt>
                <c:pt idx="53">
                  <c:v>-6.6800000000000068</c:v>
                </c:pt>
                <c:pt idx="54">
                  <c:v>-2.3600000000000136</c:v>
                </c:pt>
                <c:pt idx="55">
                  <c:v>8.8700000000000045</c:v>
                </c:pt>
                <c:pt idx="56">
                  <c:v>-6.9199999999999875</c:v>
                </c:pt>
                <c:pt idx="57">
                  <c:v>-17.72</c:v>
                </c:pt>
                <c:pt idx="58">
                  <c:v>-21.609999999999985</c:v>
                </c:pt>
                <c:pt idx="59">
                  <c:v>-20.180000000000007</c:v>
                </c:pt>
                <c:pt idx="60">
                  <c:v>-25.489999999999981</c:v>
                </c:pt>
                <c:pt idx="61">
                  <c:v>-27.080000000000013</c:v>
                </c:pt>
                <c:pt idx="62">
                  <c:v>-18.930000000000007</c:v>
                </c:pt>
                <c:pt idx="63">
                  <c:v>2.4799999999999898</c:v>
                </c:pt>
                <c:pt idx="64">
                  <c:v>2.789999999999992</c:v>
                </c:pt>
                <c:pt idx="65">
                  <c:v>11.5</c:v>
                </c:pt>
                <c:pt idx="66">
                  <c:v>18.210000000000008</c:v>
                </c:pt>
                <c:pt idx="67">
                  <c:v>15.730000000000018</c:v>
                </c:pt>
                <c:pt idx="68">
                  <c:v>11.410000000000025</c:v>
                </c:pt>
                <c:pt idx="69">
                  <c:v>9.0600000000000023</c:v>
                </c:pt>
                <c:pt idx="70">
                  <c:v>10.439999999999998</c:v>
                </c:pt>
                <c:pt idx="71">
                  <c:v>12.419999999999987</c:v>
                </c:pt>
                <c:pt idx="72">
                  <c:v>9.6899999999999977</c:v>
                </c:pt>
                <c:pt idx="73">
                  <c:v>13.129999999999995</c:v>
                </c:pt>
                <c:pt idx="74">
                  <c:v>12.930000000000007</c:v>
                </c:pt>
                <c:pt idx="75">
                  <c:v>-1.0800000000000125</c:v>
                </c:pt>
                <c:pt idx="76">
                  <c:v>-2</c:v>
                </c:pt>
                <c:pt idx="77">
                  <c:v>3.8100000000000023</c:v>
                </c:pt>
                <c:pt idx="78">
                  <c:v>14.689999999999998</c:v>
                </c:pt>
                <c:pt idx="79">
                  <c:v>16.949999999999989</c:v>
                </c:pt>
                <c:pt idx="80">
                  <c:v>6.8599999999999852</c:v>
                </c:pt>
                <c:pt idx="81">
                  <c:v>7.6800000000000068</c:v>
                </c:pt>
                <c:pt idx="82">
                  <c:v>-0.10999999999998522</c:v>
                </c:pt>
                <c:pt idx="83">
                  <c:v>4.9000000000000057</c:v>
                </c:pt>
                <c:pt idx="84">
                  <c:v>6.4300000000000068</c:v>
                </c:pt>
                <c:pt idx="85">
                  <c:v>13.159999999999997</c:v>
                </c:pt>
                <c:pt idx="86">
                  <c:v>14.430000000000007</c:v>
                </c:pt>
                <c:pt idx="87">
                  <c:v>11.22999999999999</c:v>
                </c:pt>
                <c:pt idx="88">
                  <c:v>14.400000000000006</c:v>
                </c:pt>
                <c:pt idx="89">
                  <c:v>16.389999999999986</c:v>
                </c:pt>
                <c:pt idx="90">
                  <c:v>7.8600000000000136</c:v>
                </c:pt>
                <c:pt idx="91">
                  <c:v>-10.159999999999997</c:v>
                </c:pt>
                <c:pt idx="92">
                  <c:v>-10.569999999999993</c:v>
                </c:pt>
                <c:pt idx="93">
                  <c:v>-3.9800000000000182</c:v>
                </c:pt>
                <c:pt idx="94">
                  <c:v>7.5499999999999829</c:v>
                </c:pt>
                <c:pt idx="95">
                  <c:v>-0.86000000000001364</c:v>
                </c:pt>
                <c:pt idx="96">
                  <c:v>-0.48999999999998067</c:v>
                </c:pt>
                <c:pt idx="97">
                  <c:v>7.460000000000008</c:v>
                </c:pt>
                <c:pt idx="98">
                  <c:v>20.100000000000023</c:v>
                </c:pt>
                <c:pt idx="99">
                  <c:v>25.699999999999989</c:v>
                </c:pt>
                <c:pt idx="100">
                  <c:v>27.830000000000013</c:v>
                </c:pt>
                <c:pt idx="101">
                  <c:v>10.20999999999998</c:v>
                </c:pt>
                <c:pt idx="102">
                  <c:v>-5.4000000000000057</c:v>
                </c:pt>
                <c:pt idx="103">
                  <c:v>-15.500000000000028</c:v>
                </c:pt>
                <c:pt idx="104">
                  <c:v>-9.3799999999999955</c:v>
                </c:pt>
                <c:pt idx="105">
                  <c:v>4.460000000000008</c:v>
                </c:pt>
                <c:pt idx="106">
                  <c:v>1.9400000000000261</c:v>
                </c:pt>
                <c:pt idx="107">
                  <c:v>6.6899999999999977</c:v>
                </c:pt>
                <c:pt idx="108">
                  <c:v>-0.65000000000000568</c:v>
                </c:pt>
                <c:pt idx="109">
                  <c:v>-4.4900000000000091</c:v>
                </c:pt>
                <c:pt idx="110">
                  <c:v>-4.539999999999992</c:v>
                </c:pt>
                <c:pt idx="111">
                  <c:v>-5.5900000000000034</c:v>
                </c:pt>
                <c:pt idx="112">
                  <c:v>6.3799999999999955</c:v>
                </c:pt>
                <c:pt idx="113">
                  <c:v>1.8499999999999943</c:v>
                </c:pt>
                <c:pt idx="114">
                  <c:v>5.4500000000000171</c:v>
                </c:pt>
                <c:pt idx="115">
                  <c:v>-2.2800000000000011</c:v>
                </c:pt>
                <c:pt idx="116">
                  <c:v>-4.1099999999999852</c:v>
                </c:pt>
                <c:pt idx="117">
                  <c:v>-12.980000000000018</c:v>
                </c:pt>
                <c:pt idx="118">
                  <c:v>-9.6699999999999875</c:v>
                </c:pt>
                <c:pt idx="119">
                  <c:v>-15.390000000000015</c:v>
                </c:pt>
                <c:pt idx="120">
                  <c:v>-18.199999999999989</c:v>
                </c:pt>
                <c:pt idx="121">
                  <c:v>-30.27000000000001</c:v>
                </c:pt>
                <c:pt idx="122">
                  <c:v>-17.389999999999986</c:v>
                </c:pt>
                <c:pt idx="123">
                  <c:v>-13.640000000000015</c:v>
                </c:pt>
                <c:pt idx="124">
                  <c:v>-2.8400000000000034</c:v>
                </c:pt>
                <c:pt idx="125">
                  <c:v>-5.9699999999999989</c:v>
                </c:pt>
                <c:pt idx="126">
                  <c:v>-1.6399999999999864</c:v>
                </c:pt>
                <c:pt idx="127">
                  <c:v>-1.0799999999999841</c:v>
                </c:pt>
                <c:pt idx="128">
                  <c:v>-0.67000000000001592</c:v>
                </c:pt>
                <c:pt idx="129">
                  <c:v>-2.6200000000000045</c:v>
                </c:pt>
                <c:pt idx="130">
                  <c:v>3.5599999999999739</c:v>
                </c:pt>
                <c:pt idx="131">
                  <c:v>6.9200000000000159</c:v>
                </c:pt>
                <c:pt idx="132">
                  <c:v>15.620000000000005</c:v>
                </c:pt>
                <c:pt idx="133">
                  <c:v>5.0500000000000114</c:v>
                </c:pt>
                <c:pt idx="134">
                  <c:v>2.6999999999999886</c:v>
                </c:pt>
                <c:pt idx="135">
                  <c:v>-0.69999999999998863</c:v>
                </c:pt>
                <c:pt idx="136">
                  <c:v>8.9000000000000057</c:v>
                </c:pt>
                <c:pt idx="137">
                  <c:v>5.1299999999999955</c:v>
                </c:pt>
                <c:pt idx="138">
                  <c:v>3.6499999999999773</c:v>
                </c:pt>
                <c:pt idx="139">
                  <c:v>-5.5600000000000023</c:v>
                </c:pt>
                <c:pt idx="140">
                  <c:v>-4.0799999999999841</c:v>
                </c:pt>
                <c:pt idx="141">
                  <c:v>-4.2399999999999807</c:v>
                </c:pt>
                <c:pt idx="142">
                  <c:v>1.1200000000000045</c:v>
                </c:pt>
                <c:pt idx="143">
                  <c:v>13.379999999999995</c:v>
                </c:pt>
                <c:pt idx="144">
                  <c:v>16.53</c:v>
                </c:pt>
                <c:pt idx="145">
                  <c:v>8.6800000000000068</c:v>
                </c:pt>
                <c:pt idx="146">
                  <c:v>-13.550000000000011</c:v>
                </c:pt>
                <c:pt idx="147">
                  <c:v>-17.650000000000006</c:v>
                </c:pt>
                <c:pt idx="148">
                  <c:v>-14.400000000000006</c:v>
                </c:pt>
                <c:pt idx="149">
                  <c:v>-1.0900000000000034</c:v>
                </c:pt>
                <c:pt idx="150">
                  <c:v>6.0000000000002274E-2</c:v>
                </c:pt>
                <c:pt idx="151">
                  <c:v>0.50999999999999091</c:v>
                </c:pt>
                <c:pt idx="152">
                  <c:v>2</c:v>
                </c:pt>
                <c:pt idx="153">
                  <c:v>1.6800000000000068</c:v>
                </c:pt>
                <c:pt idx="154">
                  <c:v>-18.810000000000002</c:v>
                </c:pt>
                <c:pt idx="155">
                  <c:v>-23.299999999999983</c:v>
                </c:pt>
                <c:pt idx="156">
                  <c:v>-26.460000000000008</c:v>
                </c:pt>
                <c:pt idx="157">
                  <c:v>1.8900000000000148</c:v>
                </c:pt>
                <c:pt idx="158">
                  <c:v>5.3899999999999864</c:v>
                </c:pt>
                <c:pt idx="159">
                  <c:v>17.039999999999992</c:v>
                </c:pt>
                <c:pt idx="160">
                  <c:v>13.72999999999999</c:v>
                </c:pt>
                <c:pt idx="161">
                  <c:v>14.710000000000008</c:v>
                </c:pt>
                <c:pt idx="162">
                  <c:v>3.789999999999992</c:v>
                </c:pt>
                <c:pt idx="163">
                  <c:v>2.1599999999999966</c:v>
                </c:pt>
                <c:pt idx="164">
                  <c:v>-0.56000000000000227</c:v>
                </c:pt>
                <c:pt idx="165">
                  <c:v>2.8000000000000114</c:v>
                </c:pt>
                <c:pt idx="166">
                  <c:v>10.340000000000003</c:v>
                </c:pt>
                <c:pt idx="167">
                  <c:v>8.710000000000008</c:v>
                </c:pt>
                <c:pt idx="168">
                  <c:v>5.75</c:v>
                </c:pt>
                <c:pt idx="169">
                  <c:v>-3.25</c:v>
                </c:pt>
                <c:pt idx="170">
                  <c:v>-4.25</c:v>
                </c:pt>
                <c:pt idx="171">
                  <c:v>3.7199999999999989</c:v>
                </c:pt>
                <c:pt idx="172">
                  <c:v>3.7299999999999898</c:v>
                </c:pt>
                <c:pt idx="173">
                  <c:v>7.960000000000008</c:v>
                </c:pt>
                <c:pt idx="174">
                  <c:v>-5.75</c:v>
                </c:pt>
                <c:pt idx="175">
                  <c:v>-2.9899999999999807</c:v>
                </c:pt>
                <c:pt idx="176">
                  <c:v>1.6499999999999773</c:v>
                </c:pt>
                <c:pt idx="177">
                  <c:v>9.0099999999999909</c:v>
                </c:pt>
                <c:pt idx="178">
                  <c:v>6.2199999999999989</c:v>
                </c:pt>
                <c:pt idx="179">
                  <c:v>0.60000000000002274</c:v>
                </c:pt>
                <c:pt idx="180">
                  <c:v>5.2800000000000011</c:v>
                </c:pt>
                <c:pt idx="181">
                  <c:v>1.5199999999999818</c:v>
                </c:pt>
                <c:pt idx="182">
                  <c:v>-3.410000000000025</c:v>
                </c:pt>
                <c:pt idx="183">
                  <c:v>-9</c:v>
                </c:pt>
                <c:pt idx="184">
                  <c:v>0.60000000000002274</c:v>
                </c:pt>
                <c:pt idx="185">
                  <c:v>2.8300000000000125</c:v>
                </c:pt>
                <c:pt idx="186">
                  <c:v>0.37000000000000455</c:v>
                </c:pt>
                <c:pt idx="187">
                  <c:v>-1.5300000000000011</c:v>
                </c:pt>
                <c:pt idx="188">
                  <c:v>-4.3799999999999955</c:v>
                </c:pt>
                <c:pt idx="189">
                  <c:v>-1.25</c:v>
                </c:pt>
                <c:pt idx="190">
                  <c:v>-3.4699999999999989</c:v>
                </c:pt>
                <c:pt idx="191">
                  <c:v>-6.0000000000002274E-2</c:v>
                </c:pt>
                <c:pt idx="192">
                  <c:v>-1.2999999999999829</c:v>
                </c:pt>
                <c:pt idx="193">
                  <c:v>-2.3700000000000045</c:v>
                </c:pt>
                <c:pt idx="194">
                  <c:v>-2.0800000000000125</c:v>
                </c:pt>
                <c:pt idx="195">
                  <c:v>1.3899999999999864</c:v>
                </c:pt>
                <c:pt idx="196">
                  <c:v>-0.31000000000000227</c:v>
                </c:pt>
                <c:pt idx="197">
                  <c:v>1.3300000000000125</c:v>
                </c:pt>
                <c:pt idx="198">
                  <c:v>-2.3799999999999955</c:v>
                </c:pt>
                <c:pt idx="199">
                  <c:v>-1.9699999999999989</c:v>
                </c:pt>
                <c:pt idx="200">
                  <c:v>-4.8499999999999943</c:v>
                </c:pt>
                <c:pt idx="201">
                  <c:v>-7.4200000000000159</c:v>
                </c:pt>
                <c:pt idx="202">
                  <c:v>-9.6200000000000045</c:v>
                </c:pt>
                <c:pt idx="203">
                  <c:v>-7.9800000000000182</c:v>
                </c:pt>
                <c:pt idx="204">
                  <c:v>-14.429999999999978</c:v>
                </c:pt>
                <c:pt idx="205">
                  <c:v>-13.560000000000002</c:v>
                </c:pt>
                <c:pt idx="206">
                  <c:v>-9.1799999999999784</c:v>
                </c:pt>
                <c:pt idx="207">
                  <c:v>0.93999999999999773</c:v>
                </c:pt>
                <c:pt idx="208">
                  <c:v>-0.41999999999998749</c:v>
                </c:pt>
                <c:pt idx="209">
                  <c:v>-8.3600000000000136</c:v>
                </c:pt>
                <c:pt idx="210">
                  <c:v>-3.4099999999999966</c:v>
                </c:pt>
                <c:pt idx="211">
                  <c:v>-1.3100000000000023</c:v>
                </c:pt>
                <c:pt idx="212">
                  <c:v>1.9399999999999977</c:v>
                </c:pt>
                <c:pt idx="213">
                  <c:v>2.1199999999999761</c:v>
                </c:pt>
                <c:pt idx="214">
                  <c:v>9.3499999999999943</c:v>
                </c:pt>
                <c:pt idx="215">
                  <c:v>9.9300000000000068</c:v>
                </c:pt>
                <c:pt idx="216">
                  <c:v>4.2199999999999989</c:v>
                </c:pt>
                <c:pt idx="217">
                  <c:v>-0.18000000000000682</c:v>
                </c:pt>
                <c:pt idx="218">
                  <c:v>9.0000000000003411E-2</c:v>
                </c:pt>
                <c:pt idx="219">
                  <c:v>2.8100000000000023</c:v>
                </c:pt>
                <c:pt idx="220">
                  <c:v>3.7700000000000102</c:v>
                </c:pt>
                <c:pt idx="221">
                  <c:v>-0.62000000000000455</c:v>
                </c:pt>
                <c:pt idx="222">
                  <c:v>-1.1799999999999784</c:v>
                </c:pt>
                <c:pt idx="223">
                  <c:v>-8.2900000000000205</c:v>
                </c:pt>
                <c:pt idx="224">
                  <c:v>-1.7800000000000011</c:v>
                </c:pt>
                <c:pt idx="225">
                  <c:v>7.4299999999999784</c:v>
                </c:pt>
                <c:pt idx="226">
                  <c:v>10.710000000000008</c:v>
                </c:pt>
                <c:pt idx="227">
                  <c:v>4.4300000000000068</c:v>
                </c:pt>
                <c:pt idx="228">
                  <c:v>-12.699999999999989</c:v>
                </c:pt>
                <c:pt idx="229">
                  <c:v>-14.799999999999983</c:v>
                </c:pt>
                <c:pt idx="230">
                  <c:v>-7.5100000000000193</c:v>
                </c:pt>
                <c:pt idx="231">
                  <c:v>-0.90000000000000568</c:v>
                </c:pt>
                <c:pt idx="232">
                  <c:v>4.8999999999999773</c:v>
                </c:pt>
                <c:pt idx="233">
                  <c:v>-0.70999999999997954</c:v>
                </c:pt>
                <c:pt idx="234">
                  <c:v>-3.5900000000000034</c:v>
                </c:pt>
                <c:pt idx="235">
                  <c:v>-7.5499999999999829</c:v>
                </c:pt>
                <c:pt idx="236">
                  <c:v>-1.1400000000000148</c:v>
                </c:pt>
                <c:pt idx="237">
                  <c:v>7.0500000000000114</c:v>
                </c:pt>
                <c:pt idx="238">
                  <c:v>5.1399999999999864</c:v>
                </c:pt>
                <c:pt idx="239">
                  <c:v>0.99000000000000909</c:v>
                </c:pt>
                <c:pt idx="240">
                  <c:v>-0.80000000000001137</c:v>
                </c:pt>
                <c:pt idx="241">
                  <c:v>3.2400000000000091</c:v>
                </c:pt>
                <c:pt idx="242">
                  <c:v>2.1500000000000057</c:v>
                </c:pt>
                <c:pt idx="243">
                  <c:v>1.25</c:v>
                </c:pt>
                <c:pt idx="244">
                  <c:v>-2.3700000000000045</c:v>
                </c:pt>
                <c:pt idx="245">
                  <c:v>-4.5100000000000193</c:v>
                </c:pt>
                <c:pt idx="246">
                  <c:v>-13.219999999999999</c:v>
                </c:pt>
                <c:pt idx="247">
                  <c:v>-11.949999999999989</c:v>
                </c:pt>
                <c:pt idx="248">
                  <c:v>-10.310000000000002</c:v>
                </c:pt>
                <c:pt idx="249">
                  <c:v>-0.22999999999998977</c:v>
                </c:pt>
                <c:pt idx="250">
                  <c:v>5.1899999999999977</c:v>
                </c:pt>
                <c:pt idx="251">
                  <c:v>7.5200000000000102</c:v>
                </c:pt>
                <c:pt idx="252">
                  <c:v>-0.5</c:v>
                </c:pt>
                <c:pt idx="253">
                  <c:v>-7.8600000000000136</c:v>
                </c:pt>
                <c:pt idx="254">
                  <c:v>-6.3799999999999955</c:v>
                </c:pt>
                <c:pt idx="255">
                  <c:v>-8.6100000000000136</c:v>
                </c:pt>
                <c:pt idx="256">
                  <c:v>-1.5799999999999841</c:v>
                </c:pt>
                <c:pt idx="257">
                  <c:v>-4.6299999999999955</c:v>
                </c:pt>
                <c:pt idx="258">
                  <c:v>7.210000000000008</c:v>
                </c:pt>
                <c:pt idx="259">
                  <c:v>1.25</c:v>
                </c:pt>
                <c:pt idx="260">
                  <c:v>0.59000000000000341</c:v>
                </c:pt>
                <c:pt idx="261">
                  <c:v>2.5099999999999909</c:v>
                </c:pt>
                <c:pt idx="262">
                  <c:v>8.1199999999999761</c:v>
                </c:pt>
                <c:pt idx="263">
                  <c:v>12.129999999999995</c:v>
                </c:pt>
                <c:pt idx="264">
                  <c:v>4.9500000000000171</c:v>
                </c:pt>
                <c:pt idx="265">
                  <c:v>-3.5699999999999932</c:v>
                </c:pt>
                <c:pt idx="266">
                  <c:v>-7.25</c:v>
                </c:pt>
                <c:pt idx="267">
                  <c:v>-14.240000000000009</c:v>
                </c:pt>
                <c:pt idx="268">
                  <c:v>-8.0999999999999943</c:v>
                </c:pt>
                <c:pt idx="269">
                  <c:v>-2.5999999999999943</c:v>
                </c:pt>
                <c:pt idx="270">
                  <c:v>3.9699999999999989</c:v>
                </c:pt>
                <c:pt idx="271">
                  <c:v>11.680000000000007</c:v>
                </c:pt>
                <c:pt idx="272">
                  <c:v>5.4899999999999807</c:v>
                </c:pt>
                <c:pt idx="273">
                  <c:v>6.3300000000000125</c:v>
                </c:pt>
                <c:pt idx="274">
                  <c:v>-0.71999999999999886</c:v>
                </c:pt>
                <c:pt idx="275">
                  <c:v>5.8600000000000136</c:v>
                </c:pt>
                <c:pt idx="276">
                  <c:v>6.5099999999999909</c:v>
                </c:pt>
                <c:pt idx="277">
                  <c:v>5.1500000000000057</c:v>
                </c:pt>
                <c:pt idx="278">
                  <c:v>4.3400000000000034</c:v>
                </c:pt>
                <c:pt idx="279">
                  <c:v>4.039999999999992</c:v>
                </c:pt>
                <c:pt idx="280">
                  <c:v>11.20999999999998</c:v>
                </c:pt>
                <c:pt idx="281">
                  <c:v>5.2099999999999795</c:v>
                </c:pt>
                <c:pt idx="282">
                  <c:v>5.7199999999999989</c:v>
                </c:pt>
                <c:pt idx="283">
                  <c:v>4.5500000000000114</c:v>
                </c:pt>
                <c:pt idx="284">
                  <c:v>11.830000000000013</c:v>
                </c:pt>
                <c:pt idx="285">
                  <c:v>11.29000000000002</c:v>
                </c:pt>
                <c:pt idx="286">
                  <c:v>1.3400000000000034</c:v>
                </c:pt>
                <c:pt idx="287">
                  <c:v>-5.8400000000000034</c:v>
                </c:pt>
                <c:pt idx="288">
                  <c:v>-2.75</c:v>
                </c:pt>
                <c:pt idx="289">
                  <c:v>12.310000000000002</c:v>
                </c:pt>
                <c:pt idx="290">
                  <c:v>13.060000000000002</c:v>
                </c:pt>
                <c:pt idx="291">
                  <c:v>12.019999999999982</c:v>
                </c:pt>
                <c:pt idx="292">
                  <c:v>4.289999999999992</c:v>
                </c:pt>
                <c:pt idx="293">
                  <c:v>3.1200000000000045</c:v>
                </c:pt>
                <c:pt idx="294">
                  <c:v>0.71999999999999886</c:v>
                </c:pt>
                <c:pt idx="295">
                  <c:v>-1.6899999999999977</c:v>
                </c:pt>
                <c:pt idx="296">
                  <c:v>7.8799999999999955</c:v>
                </c:pt>
                <c:pt idx="297">
                  <c:v>5.8500000000000227</c:v>
                </c:pt>
                <c:pt idx="298">
                  <c:v>8.7700000000000102</c:v>
                </c:pt>
                <c:pt idx="299">
                  <c:v>6.0099999999999909</c:v>
                </c:pt>
                <c:pt idx="300">
                  <c:v>9.1499999999999773</c:v>
                </c:pt>
                <c:pt idx="301">
                  <c:v>10.559999999999974</c:v>
                </c:pt>
                <c:pt idx="302">
                  <c:v>10.850000000000023</c:v>
                </c:pt>
                <c:pt idx="303">
                  <c:v>9.7400000000000091</c:v>
                </c:pt>
                <c:pt idx="304">
                  <c:v>3.5900000000000034</c:v>
                </c:pt>
                <c:pt idx="305">
                  <c:v>-1.660000000000025</c:v>
                </c:pt>
                <c:pt idx="306">
                  <c:v>-3.8400000000000034</c:v>
                </c:pt>
                <c:pt idx="307">
                  <c:v>-0.57999999999998408</c:v>
                </c:pt>
                <c:pt idx="308">
                  <c:v>-3.7099999999999795</c:v>
                </c:pt>
                <c:pt idx="309">
                  <c:v>0.92000000000001592</c:v>
                </c:pt>
                <c:pt idx="310">
                  <c:v>-0.59999999999999432</c:v>
                </c:pt>
                <c:pt idx="311">
                  <c:v>8.5299999999999727</c:v>
                </c:pt>
                <c:pt idx="312">
                  <c:v>5.9300000000000068</c:v>
                </c:pt>
                <c:pt idx="313">
                  <c:v>10.749999999999972</c:v>
                </c:pt>
                <c:pt idx="314">
                  <c:v>11.430000000000007</c:v>
                </c:pt>
                <c:pt idx="315">
                  <c:v>11.75</c:v>
                </c:pt>
                <c:pt idx="316">
                  <c:v>18.520000000000039</c:v>
                </c:pt>
                <c:pt idx="317">
                  <c:v>11.78000000000003</c:v>
                </c:pt>
                <c:pt idx="318">
                  <c:v>10.529999999999973</c:v>
                </c:pt>
                <c:pt idx="319">
                  <c:v>-11.650000000000034</c:v>
                </c:pt>
                <c:pt idx="320">
                  <c:v>-8.75</c:v>
                </c:pt>
                <c:pt idx="321">
                  <c:v>-2.3700000000000045</c:v>
                </c:pt>
                <c:pt idx="322">
                  <c:v>4.5600000000000023</c:v>
                </c:pt>
                <c:pt idx="323">
                  <c:v>-16.240000000000009</c:v>
                </c:pt>
                <c:pt idx="324">
                  <c:v>-20.389999999999986</c:v>
                </c:pt>
                <c:pt idx="325">
                  <c:v>-27.28</c:v>
                </c:pt>
                <c:pt idx="326">
                  <c:v>-6</c:v>
                </c:pt>
                <c:pt idx="327">
                  <c:v>-6.9799999999999898</c:v>
                </c:pt>
                <c:pt idx="328">
                  <c:v>4.25</c:v>
                </c:pt>
                <c:pt idx="329">
                  <c:v>1.5799999999999841</c:v>
                </c:pt>
                <c:pt idx="330">
                  <c:v>1.1899999999999977</c:v>
                </c:pt>
                <c:pt idx="331">
                  <c:v>-1.8899999999999864</c:v>
                </c:pt>
                <c:pt idx="332">
                  <c:v>-4.6999999999999886</c:v>
                </c:pt>
                <c:pt idx="333">
                  <c:v>-6.3100000000000023</c:v>
                </c:pt>
                <c:pt idx="334">
                  <c:v>-4.9000000000000057</c:v>
                </c:pt>
                <c:pt idx="335">
                  <c:v>-0.70000000000001705</c:v>
                </c:pt>
                <c:pt idx="336">
                  <c:v>13.099999999999994</c:v>
                </c:pt>
                <c:pt idx="337">
                  <c:v>12.039999999999992</c:v>
                </c:pt>
                <c:pt idx="338">
                  <c:v>15.880000000000024</c:v>
                </c:pt>
                <c:pt idx="339">
                  <c:v>3.5</c:v>
                </c:pt>
                <c:pt idx="340">
                  <c:v>6.1900000000000261</c:v>
                </c:pt>
                <c:pt idx="341">
                  <c:v>-11.370000000000005</c:v>
                </c:pt>
                <c:pt idx="342">
                  <c:v>-6.4900000000000091</c:v>
                </c:pt>
                <c:pt idx="343">
                  <c:v>-7.1400000000000148</c:v>
                </c:pt>
                <c:pt idx="344">
                  <c:v>12.480000000000018</c:v>
                </c:pt>
                <c:pt idx="345">
                  <c:v>15.210000000000036</c:v>
                </c:pt>
                <c:pt idx="346">
                  <c:v>22.669999999999987</c:v>
                </c:pt>
                <c:pt idx="347">
                  <c:v>14.21999999999997</c:v>
                </c:pt>
                <c:pt idx="348">
                  <c:v>7.6999999999999886</c:v>
                </c:pt>
                <c:pt idx="349">
                  <c:v>0.85000000000002274</c:v>
                </c:pt>
                <c:pt idx="350">
                  <c:v>21.139999999999986</c:v>
                </c:pt>
                <c:pt idx="351">
                  <c:v>25.779999999999973</c:v>
                </c:pt>
                <c:pt idx="352">
                  <c:v>16.699999999999989</c:v>
                </c:pt>
                <c:pt idx="353">
                  <c:v>0.18000000000000682</c:v>
                </c:pt>
                <c:pt idx="354">
                  <c:v>-1.1599999999999682</c:v>
                </c:pt>
                <c:pt idx="355">
                  <c:v>17.389999999999986</c:v>
                </c:pt>
                <c:pt idx="356">
                  <c:v>10.009999999999991</c:v>
                </c:pt>
                <c:pt idx="357">
                  <c:v>-5.7000000000000455</c:v>
                </c:pt>
                <c:pt idx="358">
                  <c:v>-8.3899999999999864</c:v>
                </c:pt>
                <c:pt idx="359">
                  <c:v>-7.2699999999999818</c:v>
                </c:pt>
                <c:pt idx="360">
                  <c:v>3.410000000000025</c:v>
                </c:pt>
                <c:pt idx="361">
                  <c:v>1.5199999999999818</c:v>
                </c:pt>
                <c:pt idx="362">
                  <c:v>1.0699999999999932</c:v>
                </c:pt>
                <c:pt idx="363">
                  <c:v>5.3500000000000227</c:v>
                </c:pt>
                <c:pt idx="364">
                  <c:v>2.5099999999999909</c:v>
                </c:pt>
                <c:pt idx="365">
                  <c:v>11.28000000000003</c:v>
                </c:pt>
                <c:pt idx="366">
                  <c:v>4.5699999999999932</c:v>
                </c:pt>
                <c:pt idx="367">
                  <c:v>0.60000000000002274</c:v>
                </c:pt>
                <c:pt idx="368">
                  <c:v>0.27999999999997272</c:v>
                </c:pt>
                <c:pt idx="369">
                  <c:v>12.659999999999968</c:v>
                </c:pt>
                <c:pt idx="370">
                  <c:v>10.259999999999991</c:v>
                </c:pt>
                <c:pt idx="371">
                  <c:v>-3.0500000000000114</c:v>
                </c:pt>
                <c:pt idx="372">
                  <c:v>-27.370000000000005</c:v>
                </c:pt>
                <c:pt idx="373">
                  <c:v>-10.539999999999964</c:v>
                </c:pt>
                <c:pt idx="374">
                  <c:v>-3.8299999999999841</c:v>
                </c:pt>
                <c:pt idx="375">
                  <c:v>25.800000000000011</c:v>
                </c:pt>
                <c:pt idx="376">
                  <c:v>16.870000000000005</c:v>
                </c:pt>
                <c:pt idx="377">
                  <c:v>15.910000000000025</c:v>
                </c:pt>
                <c:pt idx="378">
                  <c:v>3.5500000000000114</c:v>
                </c:pt>
                <c:pt idx="379">
                  <c:v>-9.3400000000000318</c:v>
                </c:pt>
                <c:pt idx="380">
                  <c:v>-6.0900000000000318</c:v>
                </c:pt>
                <c:pt idx="381">
                  <c:v>-18.699999999999989</c:v>
                </c:pt>
                <c:pt idx="382">
                  <c:v>-2.8199999999999932</c:v>
                </c:pt>
                <c:pt idx="383">
                  <c:v>-6.1800000000000068</c:v>
                </c:pt>
                <c:pt idx="384">
                  <c:v>4.2400000000000091</c:v>
                </c:pt>
                <c:pt idx="385">
                  <c:v>-9.1999999999999886</c:v>
                </c:pt>
                <c:pt idx="386">
                  <c:v>-0.6099999999999568</c:v>
                </c:pt>
                <c:pt idx="387">
                  <c:v>6.4799999999999613</c:v>
                </c:pt>
                <c:pt idx="388">
                  <c:v>21.279999999999973</c:v>
                </c:pt>
                <c:pt idx="389">
                  <c:v>24.879999999999995</c:v>
                </c:pt>
                <c:pt idx="390">
                  <c:v>24.180000000000007</c:v>
                </c:pt>
                <c:pt idx="391">
                  <c:v>15.230000000000018</c:v>
                </c:pt>
                <c:pt idx="392">
                  <c:v>4.75</c:v>
                </c:pt>
                <c:pt idx="393">
                  <c:v>6.3100000000000023</c:v>
                </c:pt>
                <c:pt idx="394">
                  <c:v>12.480000000000018</c:v>
                </c:pt>
                <c:pt idx="395">
                  <c:v>19.799999999999955</c:v>
                </c:pt>
                <c:pt idx="396">
                  <c:v>22.680000000000007</c:v>
                </c:pt>
                <c:pt idx="397">
                  <c:v>4.4699999999999704</c:v>
                </c:pt>
                <c:pt idx="398">
                  <c:v>-0.63999999999998636</c:v>
                </c:pt>
                <c:pt idx="399">
                  <c:v>5.9499999999999886</c:v>
                </c:pt>
                <c:pt idx="400">
                  <c:v>23.340000000000032</c:v>
                </c:pt>
                <c:pt idx="401">
                  <c:v>16.329999999999984</c:v>
                </c:pt>
                <c:pt idx="402">
                  <c:v>-4.5500000000000114</c:v>
                </c:pt>
                <c:pt idx="403">
                  <c:v>-10.860000000000014</c:v>
                </c:pt>
                <c:pt idx="404">
                  <c:v>-3.0999999999999659</c:v>
                </c:pt>
                <c:pt idx="405">
                  <c:v>5</c:v>
                </c:pt>
                <c:pt idx="406">
                  <c:v>12.810000000000002</c:v>
                </c:pt>
                <c:pt idx="407">
                  <c:v>11.20999999999998</c:v>
                </c:pt>
                <c:pt idx="408">
                  <c:v>1.0900000000000318</c:v>
                </c:pt>
                <c:pt idx="409">
                  <c:v>-20.240000000000009</c:v>
                </c:pt>
                <c:pt idx="410">
                  <c:v>-12.20999999999998</c:v>
                </c:pt>
                <c:pt idx="411">
                  <c:v>-16.740000000000009</c:v>
                </c:pt>
                <c:pt idx="412">
                  <c:v>-0.75999999999999091</c:v>
                </c:pt>
                <c:pt idx="413">
                  <c:v>-18.620000000000005</c:v>
                </c:pt>
                <c:pt idx="414">
                  <c:v>-33.660000000000025</c:v>
                </c:pt>
                <c:pt idx="415">
                  <c:v>-52.78000000000003</c:v>
                </c:pt>
                <c:pt idx="416">
                  <c:v>-39.399999999999977</c:v>
                </c:pt>
                <c:pt idx="417">
                  <c:v>-11.039999999999964</c:v>
                </c:pt>
                <c:pt idx="418">
                  <c:v>18.390000000000043</c:v>
                </c:pt>
                <c:pt idx="419">
                  <c:v>16.299999999999955</c:v>
                </c:pt>
                <c:pt idx="420">
                  <c:v>7.3600000000000136</c:v>
                </c:pt>
                <c:pt idx="421">
                  <c:v>0.55999999999994543</c:v>
                </c:pt>
                <c:pt idx="422">
                  <c:v>-9.9499999999999886</c:v>
                </c:pt>
                <c:pt idx="423">
                  <c:v>4.8299999999999841</c:v>
                </c:pt>
                <c:pt idx="424">
                  <c:v>-2.5199999999999818</c:v>
                </c:pt>
                <c:pt idx="425">
                  <c:v>10.350000000000023</c:v>
                </c:pt>
                <c:pt idx="426">
                  <c:v>0.15999999999996817</c:v>
                </c:pt>
                <c:pt idx="427">
                  <c:v>17.259999999999991</c:v>
                </c:pt>
                <c:pt idx="428">
                  <c:v>9.6800000000000068</c:v>
                </c:pt>
                <c:pt idx="429">
                  <c:v>15.450000000000045</c:v>
                </c:pt>
                <c:pt idx="430">
                  <c:v>-8.0600000000000023</c:v>
                </c:pt>
                <c:pt idx="431">
                  <c:v>-4.5300000000000296</c:v>
                </c:pt>
                <c:pt idx="432">
                  <c:v>-20.379999999999995</c:v>
                </c:pt>
                <c:pt idx="433">
                  <c:v>-14.889999999999986</c:v>
                </c:pt>
                <c:pt idx="434">
                  <c:v>-9.1800000000000068</c:v>
                </c:pt>
                <c:pt idx="435">
                  <c:v>23.619999999999948</c:v>
                </c:pt>
                <c:pt idx="436">
                  <c:v>37.340000000000032</c:v>
                </c:pt>
                <c:pt idx="437">
                  <c:v>29.28000000000003</c:v>
                </c:pt>
                <c:pt idx="438">
                  <c:v>18.130000000000052</c:v>
                </c:pt>
                <c:pt idx="439">
                  <c:v>6.6199999999999477</c:v>
                </c:pt>
                <c:pt idx="440">
                  <c:v>0.22999999999996135</c:v>
                </c:pt>
                <c:pt idx="441">
                  <c:v>-7.3500000000000227</c:v>
                </c:pt>
                <c:pt idx="442">
                  <c:v>0.27000000000003865</c:v>
                </c:pt>
                <c:pt idx="443">
                  <c:v>6.9300000000000068</c:v>
                </c:pt>
                <c:pt idx="444">
                  <c:v>5.0400000000000205</c:v>
                </c:pt>
                <c:pt idx="445">
                  <c:v>-11.879999999999995</c:v>
                </c:pt>
                <c:pt idx="446">
                  <c:v>-14.870000000000005</c:v>
                </c:pt>
                <c:pt idx="447">
                  <c:v>-25.050000000000011</c:v>
                </c:pt>
                <c:pt idx="448">
                  <c:v>-10.569999999999993</c:v>
                </c:pt>
                <c:pt idx="449">
                  <c:v>5.3100000000000023</c:v>
                </c:pt>
                <c:pt idx="450">
                  <c:v>15.069999999999993</c:v>
                </c:pt>
                <c:pt idx="451">
                  <c:v>6.6999999999999886</c:v>
                </c:pt>
                <c:pt idx="452">
                  <c:v>-7.1099999999999568</c:v>
                </c:pt>
                <c:pt idx="453">
                  <c:v>-5.5699999999999932</c:v>
                </c:pt>
                <c:pt idx="454">
                  <c:v>5.1299999999999955</c:v>
                </c:pt>
                <c:pt idx="455">
                  <c:v>10.239999999999952</c:v>
                </c:pt>
                <c:pt idx="456">
                  <c:v>8.0399999999999636</c:v>
                </c:pt>
                <c:pt idx="457">
                  <c:v>-3.5900000000000318</c:v>
                </c:pt>
                <c:pt idx="458">
                  <c:v>-11.370000000000005</c:v>
                </c:pt>
                <c:pt idx="459">
                  <c:v>-4.7899999999999636</c:v>
                </c:pt>
                <c:pt idx="460">
                  <c:v>-6.1899999999999977</c:v>
                </c:pt>
                <c:pt idx="461">
                  <c:v>19.160000000000025</c:v>
                </c:pt>
                <c:pt idx="462">
                  <c:v>12.139999999999986</c:v>
                </c:pt>
                <c:pt idx="463">
                  <c:v>22.830000000000041</c:v>
                </c:pt>
                <c:pt idx="464">
                  <c:v>13.949999999999989</c:v>
                </c:pt>
                <c:pt idx="465">
                  <c:v>17.060000000000002</c:v>
                </c:pt>
                <c:pt idx="466">
                  <c:v>18.769999999999982</c:v>
                </c:pt>
                <c:pt idx="467">
                  <c:v>-2.5399999999999636</c:v>
                </c:pt>
                <c:pt idx="468">
                  <c:v>-5.8999999999999773</c:v>
                </c:pt>
                <c:pt idx="469">
                  <c:v>-18.519999999999982</c:v>
                </c:pt>
                <c:pt idx="470">
                  <c:v>-24.010000000000048</c:v>
                </c:pt>
                <c:pt idx="471">
                  <c:v>-28.920000000000016</c:v>
                </c:pt>
                <c:pt idx="472">
                  <c:v>-21.230000000000018</c:v>
                </c:pt>
                <c:pt idx="473">
                  <c:v>-10.119999999999948</c:v>
                </c:pt>
                <c:pt idx="474">
                  <c:v>-5.3899999999999864</c:v>
                </c:pt>
                <c:pt idx="475">
                  <c:v>-4.1499999999999773</c:v>
                </c:pt>
                <c:pt idx="476">
                  <c:v>0.55999999999994543</c:v>
                </c:pt>
                <c:pt idx="477">
                  <c:v>8.5399999999999636</c:v>
                </c:pt>
                <c:pt idx="478">
                  <c:v>13.909999999999968</c:v>
                </c:pt>
                <c:pt idx="479">
                  <c:v>13.800000000000011</c:v>
                </c:pt>
                <c:pt idx="480">
                  <c:v>8.7400000000000091</c:v>
                </c:pt>
                <c:pt idx="481">
                  <c:v>-12.069999999999993</c:v>
                </c:pt>
                <c:pt idx="482">
                  <c:v>0.25999999999999091</c:v>
                </c:pt>
                <c:pt idx="483">
                  <c:v>-2.2799999999999727</c:v>
                </c:pt>
                <c:pt idx="484">
                  <c:v>12.740000000000009</c:v>
                </c:pt>
                <c:pt idx="485">
                  <c:v>-1.999999999998181E-2</c:v>
                </c:pt>
                <c:pt idx="486">
                  <c:v>-4</c:v>
                </c:pt>
                <c:pt idx="487">
                  <c:v>6.9999999999993179E-2</c:v>
                </c:pt>
                <c:pt idx="488">
                  <c:v>4.0799999999999841</c:v>
                </c:pt>
                <c:pt idx="489">
                  <c:v>1.2099999999999795</c:v>
                </c:pt>
                <c:pt idx="490">
                  <c:v>-10.649999999999977</c:v>
                </c:pt>
                <c:pt idx="491">
                  <c:v>-22.629999999999995</c:v>
                </c:pt>
                <c:pt idx="492">
                  <c:v>-14.470000000000027</c:v>
                </c:pt>
                <c:pt idx="493">
                  <c:v>-19.260000000000048</c:v>
                </c:pt>
                <c:pt idx="494">
                  <c:v>-10.849999999999966</c:v>
                </c:pt>
                <c:pt idx="495">
                  <c:v>-16.46999999999997</c:v>
                </c:pt>
                <c:pt idx="496">
                  <c:v>-5.7599999999999909</c:v>
                </c:pt>
                <c:pt idx="497">
                  <c:v>5.3599999999999568</c:v>
                </c:pt>
                <c:pt idx="498">
                  <c:v>0.20999999999997954</c:v>
                </c:pt>
                <c:pt idx="499">
                  <c:v>-20.819999999999993</c:v>
                </c:pt>
                <c:pt idx="500">
                  <c:v>-25.439999999999998</c:v>
                </c:pt>
                <c:pt idx="501">
                  <c:v>-18.300000000000011</c:v>
                </c:pt>
                <c:pt idx="502">
                  <c:v>6.7900000000000205</c:v>
                </c:pt>
                <c:pt idx="503">
                  <c:v>-1.6999999999999886</c:v>
                </c:pt>
                <c:pt idx="504">
                  <c:v>0.21000000000003638</c:v>
                </c:pt>
                <c:pt idx="505">
                  <c:v>-3.0600000000000023</c:v>
                </c:pt>
                <c:pt idx="506">
                  <c:v>11.009999999999991</c:v>
                </c:pt>
                <c:pt idx="507">
                  <c:v>5.7099999999999795</c:v>
                </c:pt>
                <c:pt idx="508">
                  <c:v>8.3100000000000023</c:v>
                </c:pt>
                <c:pt idx="509">
                  <c:v>-2.8999999999999773</c:v>
                </c:pt>
                <c:pt idx="510">
                  <c:v>6.3500000000000227</c:v>
                </c:pt>
                <c:pt idx="511">
                  <c:v>-2.5600000000000023</c:v>
                </c:pt>
                <c:pt idx="512">
                  <c:v>5.3100000000000023</c:v>
                </c:pt>
                <c:pt idx="513">
                  <c:v>-2.4499999999999886</c:v>
                </c:pt>
                <c:pt idx="514">
                  <c:v>6.8100000000000023</c:v>
                </c:pt>
                <c:pt idx="515">
                  <c:v>-1</c:v>
                </c:pt>
                <c:pt idx="516">
                  <c:v>4.9499999999999886</c:v>
                </c:pt>
                <c:pt idx="517">
                  <c:v>-8.0099999999999909</c:v>
                </c:pt>
                <c:pt idx="518">
                  <c:v>-7.9599999999999795</c:v>
                </c:pt>
                <c:pt idx="519">
                  <c:v>-11.020000000000039</c:v>
                </c:pt>
                <c:pt idx="520">
                  <c:v>-2.3400000000000318</c:v>
                </c:pt>
                <c:pt idx="521">
                  <c:v>-5.1500000000000341</c:v>
                </c:pt>
                <c:pt idx="522">
                  <c:v>6.7300000000000182</c:v>
                </c:pt>
                <c:pt idx="523">
                  <c:v>6.0400000000000205</c:v>
                </c:pt>
                <c:pt idx="524">
                  <c:v>11.430000000000007</c:v>
                </c:pt>
                <c:pt idx="525">
                  <c:v>15.650000000000034</c:v>
                </c:pt>
                <c:pt idx="526">
                  <c:v>29.789999999999964</c:v>
                </c:pt>
                <c:pt idx="527">
                  <c:v>23.899999999999977</c:v>
                </c:pt>
                <c:pt idx="528">
                  <c:v>8.9799999999999613</c:v>
                </c:pt>
                <c:pt idx="529">
                  <c:v>2.4200000000000159</c:v>
                </c:pt>
                <c:pt idx="530">
                  <c:v>-0.15999999999996817</c:v>
                </c:pt>
                <c:pt idx="531">
                  <c:v>-6.7899999999999636</c:v>
                </c:pt>
                <c:pt idx="532">
                  <c:v>-14.46999999999997</c:v>
                </c:pt>
                <c:pt idx="533">
                  <c:v>-7.2099999999999795</c:v>
                </c:pt>
                <c:pt idx="534">
                  <c:v>-5.9000000000000341</c:v>
                </c:pt>
                <c:pt idx="535">
                  <c:v>-11.689999999999998</c:v>
                </c:pt>
                <c:pt idx="536">
                  <c:v>-20.020000000000039</c:v>
                </c:pt>
                <c:pt idx="537">
                  <c:v>-9.839999999999975</c:v>
                </c:pt>
                <c:pt idx="538">
                  <c:v>-5.9399999999999977</c:v>
                </c:pt>
                <c:pt idx="539">
                  <c:v>8.8899999999999864</c:v>
                </c:pt>
                <c:pt idx="540">
                  <c:v>1.8899999999999864</c:v>
                </c:pt>
                <c:pt idx="541">
                  <c:v>3.2699999999999818</c:v>
                </c:pt>
                <c:pt idx="542">
                  <c:v>-3.9499999999999886</c:v>
                </c:pt>
                <c:pt idx="543">
                  <c:v>19.160000000000025</c:v>
                </c:pt>
                <c:pt idx="544">
                  <c:v>19.069999999999993</c:v>
                </c:pt>
                <c:pt idx="545">
                  <c:v>18.220000000000027</c:v>
                </c:pt>
                <c:pt idx="546">
                  <c:v>1.5399999999999636</c:v>
                </c:pt>
                <c:pt idx="547">
                  <c:v>2.5300000000000296</c:v>
                </c:pt>
                <c:pt idx="548">
                  <c:v>5.2599999999999909</c:v>
                </c:pt>
                <c:pt idx="549">
                  <c:v>9.2100000000000364</c:v>
                </c:pt>
                <c:pt idx="550">
                  <c:v>8.3499999999999659</c:v>
                </c:pt>
                <c:pt idx="551">
                  <c:v>9.9599999999999795</c:v>
                </c:pt>
                <c:pt idx="552">
                  <c:v>4.3999999999999773</c:v>
                </c:pt>
                <c:pt idx="553">
                  <c:v>8.2200000000000273</c:v>
                </c:pt>
                <c:pt idx="554">
                  <c:v>-4.1299999999999955</c:v>
                </c:pt>
                <c:pt idx="555">
                  <c:v>-13.920000000000016</c:v>
                </c:pt>
                <c:pt idx="556">
                  <c:v>-9.9399999999999977</c:v>
                </c:pt>
                <c:pt idx="557">
                  <c:v>3.6399999999999864</c:v>
                </c:pt>
                <c:pt idx="558">
                  <c:v>8.1800000000000068</c:v>
                </c:pt>
                <c:pt idx="559">
                  <c:v>11.45999999999998</c:v>
                </c:pt>
                <c:pt idx="560">
                  <c:v>-0.27999999999997272</c:v>
                </c:pt>
                <c:pt idx="561">
                  <c:v>-2.0699999999999932</c:v>
                </c:pt>
                <c:pt idx="562">
                  <c:v>-21.180000000000007</c:v>
                </c:pt>
                <c:pt idx="563">
                  <c:v>-15.279999999999973</c:v>
                </c:pt>
                <c:pt idx="564">
                  <c:v>1.25</c:v>
                </c:pt>
                <c:pt idx="565">
                  <c:v>-17.899999999999977</c:v>
                </c:pt>
                <c:pt idx="566">
                  <c:v>-23.550000000000011</c:v>
                </c:pt>
                <c:pt idx="567">
                  <c:v>-29.269999999999982</c:v>
                </c:pt>
                <c:pt idx="568">
                  <c:v>8.4300000000000068</c:v>
                </c:pt>
                <c:pt idx="569">
                  <c:v>11.889999999999986</c:v>
                </c:pt>
                <c:pt idx="570">
                  <c:v>18.33499999999998</c:v>
                </c:pt>
                <c:pt idx="571">
                  <c:v>11.829999999999984</c:v>
                </c:pt>
                <c:pt idx="572">
                  <c:v>12.45999999999998</c:v>
                </c:pt>
                <c:pt idx="573">
                  <c:v>-0.76499999999998636</c:v>
                </c:pt>
                <c:pt idx="574">
                  <c:v>10.680000000000007</c:v>
                </c:pt>
                <c:pt idx="575">
                  <c:v>17.28000000000003</c:v>
                </c:pt>
                <c:pt idx="576">
                  <c:v>24.120000000000005</c:v>
                </c:pt>
                <c:pt idx="577">
                  <c:v>4.8199999999999932</c:v>
                </c:pt>
                <c:pt idx="578">
                  <c:v>-8.9900000000000091</c:v>
                </c:pt>
                <c:pt idx="579">
                  <c:v>-26.490000000000009</c:v>
                </c:pt>
                <c:pt idx="580">
                  <c:v>-15.870000000000005</c:v>
                </c:pt>
                <c:pt idx="581">
                  <c:v>-9.7099999999999795</c:v>
                </c:pt>
                <c:pt idx="582">
                  <c:v>-2.7300000000000182</c:v>
                </c:pt>
                <c:pt idx="583">
                  <c:v>-2.8199999999999932</c:v>
                </c:pt>
                <c:pt idx="584">
                  <c:v>-4.25</c:v>
                </c:pt>
                <c:pt idx="585">
                  <c:v>-1.0299999999999727</c:v>
                </c:pt>
                <c:pt idx="586">
                  <c:v>13.20999999999998</c:v>
                </c:pt>
                <c:pt idx="587">
                  <c:v>12.739999999999952</c:v>
                </c:pt>
                <c:pt idx="588">
                  <c:v>-0.54000000000002046</c:v>
                </c:pt>
                <c:pt idx="589">
                  <c:v>-19.909999999999968</c:v>
                </c:pt>
                <c:pt idx="590">
                  <c:v>-20.489999999999952</c:v>
                </c:pt>
                <c:pt idx="591">
                  <c:v>-13.069999999999993</c:v>
                </c:pt>
                <c:pt idx="592">
                  <c:v>-15.050000000000011</c:v>
                </c:pt>
                <c:pt idx="593">
                  <c:v>-4.82000000000005</c:v>
                </c:pt>
                <c:pt idx="594">
                  <c:v>-4.4599999999999795</c:v>
                </c:pt>
                <c:pt idx="595">
                  <c:v>-9.0099999999999909</c:v>
                </c:pt>
                <c:pt idx="596">
                  <c:v>-12.349999999999966</c:v>
                </c:pt>
                <c:pt idx="597">
                  <c:v>-29.920000000000016</c:v>
                </c:pt>
                <c:pt idx="598">
                  <c:v>-43.760000000000048</c:v>
                </c:pt>
                <c:pt idx="599">
                  <c:v>-38.050000000000011</c:v>
                </c:pt>
                <c:pt idx="600">
                  <c:v>-26.700000000000017</c:v>
                </c:pt>
                <c:pt idx="601">
                  <c:v>9.75</c:v>
                </c:pt>
                <c:pt idx="602">
                  <c:v>20.810000000000002</c:v>
                </c:pt>
                <c:pt idx="603">
                  <c:v>53.240000000000038</c:v>
                </c:pt>
                <c:pt idx="604">
                  <c:v>31.770000000000039</c:v>
                </c:pt>
                <c:pt idx="605">
                  <c:v>2.7200000000000273</c:v>
                </c:pt>
                <c:pt idx="606">
                  <c:v>-1.0200000000000387</c:v>
                </c:pt>
                <c:pt idx="607">
                  <c:v>1.6299999999999955</c:v>
                </c:pt>
                <c:pt idx="608">
                  <c:v>4.4199999999999591</c:v>
                </c:pt>
                <c:pt idx="609">
                  <c:v>-4.3600000000000136</c:v>
                </c:pt>
                <c:pt idx="610">
                  <c:v>-9.7200000000000273</c:v>
                </c:pt>
                <c:pt idx="611">
                  <c:v>-6.3899999999999864</c:v>
                </c:pt>
                <c:pt idx="612">
                  <c:v>-6.9899999999999523</c:v>
                </c:pt>
                <c:pt idx="613">
                  <c:v>8.8700000000000045</c:v>
                </c:pt>
                <c:pt idx="614">
                  <c:v>2.5500000000000114</c:v>
                </c:pt>
                <c:pt idx="615">
                  <c:v>-9.9800000000000182</c:v>
                </c:pt>
                <c:pt idx="616">
                  <c:v>-16.620000000000005</c:v>
                </c:pt>
                <c:pt idx="617">
                  <c:v>-9.5500000000000114</c:v>
                </c:pt>
                <c:pt idx="618">
                  <c:v>2.1100000000000136</c:v>
                </c:pt>
                <c:pt idx="619">
                  <c:v>10.615000000000009</c:v>
                </c:pt>
                <c:pt idx="620">
                  <c:v>13.20999999999998</c:v>
                </c:pt>
                <c:pt idx="621">
                  <c:v>14.439999999999998</c:v>
                </c:pt>
                <c:pt idx="622">
                  <c:v>7.0749999999999886</c:v>
                </c:pt>
                <c:pt idx="623">
                  <c:v>-9.4499999999999886</c:v>
                </c:pt>
                <c:pt idx="624">
                  <c:v>-5.8300000000000409</c:v>
                </c:pt>
                <c:pt idx="625">
                  <c:v>1.6200000000000045</c:v>
                </c:pt>
                <c:pt idx="626">
                  <c:v>17.520000000000039</c:v>
                </c:pt>
                <c:pt idx="627">
                  <c:v>12.760000000000048</c:v>
                </c:pt>
                <c:pt idx="628">
                  <c:v>2.25</c:v>
                </c:pt>
                <c:pt idx="629">
                  <c:v>-0.91000000000002501</c:v>
                </c:pt>
                <c:pt idx="630">
                  <c:v>-14.879999999999995</c:v>
                </c:pt>
                <c:pt idx="631">
                  <c:v>-20.839999999999975</c:v>
                </c:pt>
                <c:pt idx="632">
                  <c:v>-14.579999999999984</c:v>
                </c:pt>
                <c:pt idx="633">
                  <c:v>-7.4300000000000068</c:v>
                </c:pt>
                <c:pt idx="634">
                  <c:v>-7.3600000000000136</c:v>
                </c:pt>
                <c:pt idx="635">
                  <c:v>-1.9900000000000091</c:v>
                </c:pt>
                <c:pt idx="636">
                  <c:v>-9.5300000000000296</c:v>
                </c:pt>
                <c:pt idx="637">
                  <c:v>2.25</c:v>
                </c:pt>
                <c:pt idx="638">
                  <c:v>-6.6399999999999864</c:v>
                </c:pt>
                <c:pt idx="639">
                  <c:v>3.8400000000000318</c:v>
                </c:pt>
                <c:pt idx="640">
                  <c:v>4.6899999999999977</c:v>
                </c:pt>
                <c:pt idx="641">
                  <c:v>13.870000000000005</c:v>
                </c:pt>
                <c:pt idx="642">
                  <c:v>5.8799999999999955</c:v>
                </c:pt>
                <c:pt idx="643">
                  <c:v>8.0600000000000023</c:v>
                </c:pt>
                <c:pt idx="644">
                  <c:v>5.0199999999999818</c:v>
                </c:pt>
                <c:pt idx="645">
                  <c:v>6.3999999999999773</c:v>
                </c:pt>
                <c:pt idx="646">
                  <c:v>27.680000000000007</c:v>
                </c:pt>
                <c:pt idx="647">
                  <c:v>19.349999999999966</c:v>
                </c:pt>
                <c:pt idx="648">
                  <c:v>26.53000000000003</c:v>
                </c:pt>
                <c:pt idx="649">
                  <c:v>12.600000000000023</c:v>
                </c:pt>
                <c:pt idx="650">
                  <c:v>26.680000000000007</c:v>
                </c:pt>
                <c:pt idx="651">
                  <c:v>27.119999999999948</c:v>
                </c:pt>
                <c:pt idx="652">
                  <c:v>25.620000000000005</c:v>
                </c:pt>
                <c:pt idx="653">
                  <c:v>15.400000000000034</c:v>
                </c:pt>
                <c:pt idx="654">
                  <c:v>26.050000000000011</c:v>
                </c:pt>
                <c:pt idx="655">
                  <c:v>-5.1700000000000159</c:v>
                </c:pt>
                <c:pt idx="656">
                  <c:v>4.0500000000000114</c:v>
                </c:pt>
                <c:pt idx="657">
                  <c:v>-23.319999999999993</c:v>
                </c:pt>
                <c:pt idx="658">
                  <c:v>-18.920000000000016</c:v>
                </c:pt>
                <c:pt idx="659">
                  <c:v>-29.210000000000036</c:v>
                </c:pt>
                <c:pt idx="660">
                  <c:v>-5.5099999999999909</c:v>
                </c:pt>
                <c:pt idx="661">
                  <c:v>10.870000000000005</c:v>
                </c:pt>
                <c:pt idx="662">
                  <c:v>16.920000000000016</c:v>
                </c:pt>
                <c:pt idx="663">
                  <c:v>0.94999999999998863</c:v>
                </c:pt>
                <c:pt idx="664">
                  <c:v>-9.4300000000000068</c:v>
                </c:pt>
                <c:pt idx="665">
                  <c:v>-39.069999999999993</c:v>
                </c:pt>
                <c:pt idx="666">
                  <c:v>-33.789999999999964</c:v>
                </c:pt>
                <c:pt idx="667">
                  <c:v>-26.170000000000016</c:v>
                </c:pt>
                <c:pt idx="668">
                  <c:v>7.6499999999999773</c:v>
                </c:pt>
                <c:pt idx="669">
                  <c:v>13.310000000000002</c:v>
                </c:pt>
                <c:pt idx="670">
                  <c:v>10.060000000000002</c:v>
                </c:pt>
                <c:pt idx="671">
                  <c:v>-1.8000000000000114</c:v>
                </c:pt>
                <c:pt idx="672">
                  <c:v>-3.6000000000000227</c:v>
                </c:pt>
                <c:pt idx="673">
                  <c:v>-8.8599999999999568</c:v>
                </c:pt>
                <c:pt idx="674">
                  <c:v>5.9800000000000182</c:v>
                </c:pt>
                <c:pt idx="675">
                  <c:v>4.9800000000000182</c:v>
                </c:pt>
                <c:pt idx="676">
                  <c:v>10.129999999999995</c:v>
                </c:pt>
                <c:pt idx="677">
                  <c:v>-9.1100000000000136</c:v>
                </c:pt>
                <c:pt idx="678">
                  <c:v>-20.650000000000034</c:v>
                </c:pt>
                <c:pt idx="679">
                  <c:v>-22.800000000000011</c:v>
                </c:pt>
                <c:pt idx="680">
                  <c:v>-4.839999999999975</c:v>
                </c:pt>
                <c:pt idx="681">
                  <c:v>3.4499999999999886</c:v>
                </c:pt>
                <c:pt idx="682">
                  <c:v>-0.25</c:v>
                </c:pt>
                <c:pt idx="683">
                  <c:v>-18.569999999999993</c:v>
                </c:pt>
                <c:pt idx="684">
                  <c:v>-8.5099999999999909</c:v>
                </c:pt>
                <c:pt idx="685">
                  <c:v>3.6599999999999682</c:v>
                </c:pt>
                <c:pt idx="686">
                  <c:v>59.370000000000005</c:v>
                </c:pt>
                <c:pt idx="687">
                  <c:v>50.03000000000003</c:v>
                </c:pt>
                <c:pt idx="688">
                  <c:v>41.150000000000034</c:v>
                </c:pt>
                <c:pt idx="689">
                  <c:v>30.029999999999973</c:v>
                </c:pt>
                <c:pt idx="690">
                  <c:v>22.169999999999959</c:v>
                </c:pt>
                <c:pt idx="691">
                  <c:v>10.45999999999998</c:v>
                </c:pt>
                <c:pt idx="692">
                  <c:v>-24.079999999999984</c:v>
                </c:pt>
                <c:pt idx="693">
                  <c:v>-13.92999999999995</c:v>
                </c:pt>
                <c:pt idx="694">
                  <c:v>-4.8100000000000023</c:v>
                </c:pt>
                <c:pt idx="695">
                  <c:v>-16.800000000000011</c:v>
                </c:pt>
                <c:pt idx="696">
                  <c:v>-20.960000000000036</c:v>
                </c:pt>
                <c:pt idx="697">
                  <c:v>-42.139999999999986</c:v>
                </c:pt>
                <c:pt idx="698">
                  <c:v>-30.25</c:v>
                </c:pt>
                <c:pt idx="699">
                  <c:v>-13.550000000000011</c:v>
                </c:pt>
                <c:pt idx="700">
                  <c:v>16.139999999999986</c:v>
                </c:pt>
                <c:pt idx="701">
                  <c:v>11.660000000000025</c:v>
                </c:pt>
                <c:pt idx="702">
                  <c:v>0.92000000000001592</c:v>
                </c:pt>
                <c:pt idx="703">
                  <c:v>-2.3700000000000045</c:v>
                </c:pt>
                <c:pt idx="704">
                  <c:v>-8.2400000000000091</c:v>
                </c:pt>
                <c:pt idx="705">
                  <c:v>-17.810000000000002</c:v>
                </c:pt>
                <c:pt idx="706">
                  <c:v>-16.120000000000005</c:v>
                </c:pt>
                <c:pt idx="707">
                  <c:v>-10.199999999999989</c:v>
                </c:pt>
                <c:pt idx="708">
                  <c:v>-16.060000000000002</c:v>
                </c:pt>
                <c:pt idx="709">
                  <c:v>-22.409999999999968</c:v>
                </c:pt>
                <c:pt idx="710">
                  <c:v>-20.710000000000036</c:v>
                </c:pt>
                <c:pt idx="711">
                  <c:v>-25.70999999999998</c:v>
                </c:pt>
                <c:pt idx="712">
                  <c:v>4.7599999999999909</c:v>
                </c:pt>
                <c:pt idx="713">
                  <c:v>-1.5099999999999909</c:v>
                </c:pt>
                <c:pt idx="714">
                  <c:v>27.300000000000011</c:v>
                </c:pt>
                <c:pt idx="715">
                  <c:v>3.9599999999999795</c:v>
                </c:pt>
                <c:pt idx="716">
                  <c:v>15.759999999999991</c:v>
                </c:pt>
                <c:pt idx="717">
                  <c:v>4.2999999999999545</c:v>
                </c:pt>
                <c:pt idx="718">
                  <c:v>-4.5</c:v>
                </c:pt>
                <c:pt idx="719">
                  <c:v>3.8199999999999932</c:v>
                </c:pt>
                <c:pt idx="720">
                  <c:v>3.4900000000000091</c:v>
                </c:pt>
                <c:pt idx="721">
                  <c:v>14.140000000000043</c:v>
                </c:pt>
                <c:pt idx="722">
                  <c:v>0.66000000000002501</c:v>
                </c:pt>
                <c:pt idx="723">
                  <c:v>2.660000000000025</c:v>
                </c:pt>
                <c:pt idx="724">
                  <c:v>10.479999999999961</c:v>
                </c:pt>
                <c:pt idx="725">
                  <c:v>7.839999999999975</c:v>
                </c:pt>
                <c:pt idx="726">
                  <c:v>-36.220000000000027</c:v>
                </c:pt>
                <c:pt idx="727">
                  <c:v>1.1200000000000045</c:v>
                </c:pt>
                <c:pt idx="728">
                  <c:v>-6.5</c:v>
                </c:pt>
                <c:pt idx="729">
                  <c:v>30.03000000000003</c:v>
                </c:pt>
                <c:pt idx="730">
                  <c:v>-28.870000000000005</c:v>
                </c:pt>
                <c:pt idx="731">
                  <c:v>-39.069999999999993</c:v>
                </c:pt>
                <c:pt idx="732">
                  <c:v>-44.240000000000009</c:v>
                </c:pt>
                <c:pt idx="733">
                  <c:v>-19.029999999999973</c:v>
                </c:pt>
                <c:pt idx="734">
                  <c:v>-5.0699999999999932</c:v>
                </c:pt>
                <c:pt idx="735">
                  <c:v>1.6699999999999875</c:v>
                </c:pt>
                <c:pt idx="736">
                  <c:v>-4.0200000000000387</c:v>
                </c:pt>
                <c:pt idx="737">
                  <c:v>2.7099999999999795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3-4E74-892D-74AAFF884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921263"/>
        <c:axId val="312920015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v>B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'tesla-stock-price (4)'!$A$23:$A$760</c15:sqref>
                        </c15:formulaRef>
                      </c:ext>
                    </c:extLst>
                    <c:numCache>
                      <c:formatCode>General</c:formatCode>
                      <c:ptCount val="738"/>
                      <c:pt idx="0">
                        <c:v>42318</c:v>
                      </c:pt>
                      <c:pt idx="1">
                        <c:v>42319</c:v>
                      </c:pt>
                      <c:pt idx="2">
                        <c:v>42320</c:v>
                      </c:pt>
                      <c:pt idx="3">
                        <c:v>42321</c:v>
                      </c:pt>
                      <c:pt idx="4">
                        <c:v>42324</c:v>
                      </c:pt>
                      <c:pt idx="5">
                        <c:v>42325</c:v>
                      </c:pt>
                      <c:pt idx="6">
                        <c:v>42326</c:v>
                      </c:pt>
                      <c:pt idx="7">
                        <c:v>42327</c:v>
                      </c:pt>
                      <c:pt idx="8">
                        <c:v>42328</c:v>
                      </c:pt>
                      <c:pt idx="9">
                        <c:v>42331</c:v>
                      </c:pt>
                      <c:pt idx="10">
                        <c:v>42332</c:v>
                      </c:pt>
                      <c:pt idx="11">
                        <c:v>42333</c:v>
                      </c:pt>
                      <c:pt idx="12">
                        <c:v>42335</c:v>
                      </c:pt>
                      <c:pt idx="13">
                        <c:v>42338</c:v>
                      </c:pt>
                      <c:pt idx="14">
                        <c:v>42339</c:v>
                      </c:pt>
                      <c:pt idx="15">
                        <c:v>42340</c:v>
                      </c:pt>
                      <c:pt idx="16">
                        <c:v>42341</c:v>
                      </c:pt>
                      <c:pt idx="17">
                        <c:v>42342</c:v>
                      </c:pt>
                      <c:pt idx="18">
                        <c:v>42345</c:v>
                      </c:pt>
                      <c:pt idx="19">
                        <c:v>42346</c:v>
                      </c:pt>
                      <c:pt idx="20">
                        <c:v>42347</c:v>
                      </c:pt>
                      <c:pt idx="21">
                        <c:v>42348</c:v>
                      </c:pt>
                      <c:pt idx="22">
                        <c:v>42349</c:v>
                      </c:pt>
                      <c:pt idx="23">
                        <c:v>42352</c:v>
                      </c:pt>
                      <c:pt idx="24">
                        <c:v>42353</c:v>
                      </c:pt>
                      <c:pt idx="25">
                        <c:v>42354</c:v>
                      </c:pt>
                      <c:pt idx="26">
                        <c:v>42355</c:v>
                      </c:pt>
                      <c:pt idx="27">
                        <c:v>42356</c:v>
                      </c:pt>
                      <c:pt idx="28">
                        <c:v>42359</c:v>
                      </c:pt>
                      <c:pt idx="29">
                        <c:v>42360</c:v>
                      </c:pt>
                      <c:pt idx="30">
                        <c:v>42361</c:v>
                      </c:pt>
                      <c:pt idx="31">
                        <c:v>42362</c:v>
                      </c:pt>
                      <c:pt idx="32">
                        <c:v>42366</c:v>
                      </c:pt>
                      <c:pt idx="33">
                        <c:v>42367</c:v>
                      </c:pt>
                      <c:pt idx="34">
                        <c:v>42368</c:v>
                      </c:pt>
                      <c:pt idx="35">
                        <c:v>42369</c:v>
                      </c:pt>
                      <c:pt idx="36">
                        <c:v>42373</c:v>
                      </c:pt>
                      <c:pt idx="37">
                        <c:v>42374</c:v>
                      </c:pt>
                      <c:pt idx="38">
                        <c:v>42375</c:v>
                      </c:pt>
                      <c:pt idx="39">
                        <c:v>42376</c:v>
                      </c:pt>
                      <c:pt idx="40">
                        <c:v>42377</c:v>
                      </c:pt>
                      <c:pt idx="41">
                        <c:v>42380</c:v>
                      </c:pt>
                      <c:pt idx="42">
                        <c:v>42381</c:v>
                      </c:pt>
                      <c:pt idx="43">
                        <c:v>42382</c:v>
                      </c:pt>
                      <c:pt idx="44">
                        <c:v>42383</c:v>
                      </c:pt>
                      <c:pt idx="45">
                        <c:v>42384</c:v>
                      </c:pt>
                      <c:pt idx="46">
                        <c:v>42388</c:v>
                      </c:pt>
                      <c:pt idx="47">
                        <c:v>42389</c:v>
                      </c:pt>
                      <c:pt idx="48">
                        <c:v>42390</c:v>
                      </c:pt>
                      <c:pt idx="49">
                        <c:v>42391</c:v>
                      </c:pt>
                      <c:pt idx="50">
                        <c:v>42394</c:v>
                      </c:pt>
                      <c:pt idx="51">
                        <c:v>42395</c:v>
                      </c:pt>
                      <c:pt idx="52">
                        <c:v>42396</c:v>
                      </c:pt>
                      <c:pt idx="53">
                        <c:v>42397</c:v>
                      </c:pt>
                      <c:pt idx="54">
                        <c:v>42398</c:v>
                      </c:pt>
                      <c:pt idx="55">
                        <c:v>42401</c:v>
                      </c:pt>
                      <c:pt idx="56">
                        <c:v>42402</c:v>
                      </c:pt>
                      <c:pt idx="57">
                        <c:v>42403</c:v>
                      </c:pt>
                      <c:pt idx="58">
                        <c:v>42404</c:v>
                      </c:pt>
                      <c:pt idx="59">
                        <c:v>42405</c:v>
                      </c:pt>
                      <c:pt idx="60">
                        <c:v>42408</c:v>
                      </c:pt>
                      <c:pt idx="61">
                        <c:v>42409</c:v>
                      </c:pt>
                      <c:pt idx="62">
                        <c:v>42410</c:v>
                      </c:pt>
                      <c:pt idx="63">
                        <c:v>42411</c:v>
                      </c:pt>
                      <c:pt idx="64">
                        <c:v>42412</c:v>
                      </c:pt>
                      <c:pt idx="65">
                        <c:v>42416</c:v>
                      </c:pt>
                      <c:pt idx="66">
                        <c:v>42417</c:v>
                      </c:pt>
                      <c:pt idx="67">
                        <c:v>42418</c:v>
                      </c:pt>
                      <c:pt idx="68">
                        <c:v>42419</c:v>
                      </c:pt>
                      <c:pt idx="69">
                        <c:v>42422</c:v>
                      </c:pt>
                      <c:pt idx="70">
                        <c:v>42423</c:v>
                      </c:pt>
                      <c:pt idx="71">
                        <c:v>42424</c:v>
                      </c:pt>
                      <c:pt idx="72">
                        <c:v>42425</c:v>
                      </c:pt>
                      <c:pt idx="73">
                        <c:v>42426</c:v>
                      </c:pt>
                      <c:pt idx="74">
                        <c:v>42429</c:v>
                      </c:pt>
                      <c:pt idx="75">
                        <c:v>42430</c:v>
                      </c:pt>
                      <c:pt idx="76">
                        <c:v>42431</c:v>
                      </c:pt>
                      <c:pt idx="77">
                        <c:v>42432</c:v>
                      </c:pt>
                      <c:pt idx="78">
                        <c:v>42433</c:v>
                      </c:pt>
                      <c:pt idx="79">
                        <c:v>42436</c:v>
                      </c:pt>
                      <c:pt idx="80">
                        <c:v>42437</c:v>
                      </c:pt>
                      <c:pt idx="81">
                        <c:v>42438</c:v>
                      </c:pt>
                      <c:pt idx="82">
                        <c:v>42439</c:v>
                      </c:pt>
                      <c:pt idx="83">
                        <c:v>42440</c:v>
                      </c:pt>
                      <c:pt idx="84">
                        <c:v>42443</c:v>
                      </c:pt>
                      <c:pt idx="85">
                        <c:v>42444</c:v>
                      </c:pt>
                      <c:pt idx="86">
                        <c:v>42445</c:v>
                      </c:pt>
                      <c:pt idx="87">
                        <c:v>42446</c:v>
                      </c:pt>
                      <c:pt idx="88">
                        <c:v>42447</c:v>
                      </c:pt>
                      <c:pt idx="89">
                        <c:v>42450</c:v>
                      </c:pt>
                      <c:pt idx="90">
                        <c:v>42451</c:v>
                      </c:pt>
                      <c:pt idx="91">
                        <c:v>42452</c:v>
                      </c:pt>
                      <c:pt idx="92">
                        <c:v>42453</c:v>
                      </c:pt>
                      <c:pt idx="93">
                        <c:v>42457</c:v>
                      </c:pt>
                      <c:pt idx="94">
                        <c:v>42458</c:v>
                      </c:pt>
                      <c:pt idx="95">
                        <c:v>42459</c:v>
                      </c:pt>
                      <c:pt idx="96">
                        <c:v>42460</c:v>
                      </c:pt>
                      <c:pt idx="97">
                        <c:v>42461</c:v>
                      </c:pt>
                      <c:pt idx="98">
                        <c:v>42464</c:v>
                      </c:pt>
                      <c:pt idx="99">
                        <c:v>42465</c:v>
                      </c:pt>
                      <c:pt idx="100">
                        <c:v>42466</c:v>
                      </c:pt>
                      <c:pt idx="101">
                        <c:v>42467</c:v>
                      </c:pt>
                      <c:pt idx="102">
                        <c:v>42468</c:v>
                      </c:pt>
                      <c:pt idx="103">
                        <c:v>42471</c:v>
                      </c:pt>
                      <c:pt idx="104">
                        <c:v>42472</c:v>
                      </c:pt>
                      <c:pt idx="105">
                        <c:v>42473</c:v>
                      </c:pt>
                      <c:pt idx="106">
                        <c:v>42474</c:v>
                      </c:pt>
                      <c:pt idx="107">
                        <c:v>42475</c:v>
                      </c:pt>
                      <c:pt idx="108">
                        <c:v>42478</c:v>
                      </c:pt>
                      <c:pt idx="109">
                        <c:v>42479</c:v>
                      </c:pt>
                      <c:pt idx="110">
                        <c:v>42480</c:v>
                      </c:pt>
                      <c:pt idx="111">
                        <c:v>42481</c:v>
                      </c:pt>
                      <c:pt idx="112">
                        <c:v>42482</c:v>
                      </c:pt>
                      <c:pt idx="113">
                        <c:v>42485</c:v>
                      </c:pt>
                      <c:pt idx="114">
                        <c:v>42486</c:v>
                      </c:pt>
                      <c:pt idx="115">
                        <c:v>42487</c:v>
                      </c:pt>
                      <c:pt idx="116">
                        <c:v>42488</c:v>
                      </c:pt>
                      <c:pt idx="117">
                        <c:v>42489</c:v>
                      </c:pt>
                      <c:pt idx="118">
                        <c:v>42492</c:v>
                      </c:pt>
                      <c:pt idx="119">
                        <c:v>42493</c:v>
                      </c:pt>
                      <c:pt idx="120">
                        <c:v>42494</c:v>
                      </c:pt>
                      <c:pt idx="121">
                        <c:v>42495</c:v>
                      </c:pt>
                      <c:pt idx="122">
                        <c:v>42496</c:v>
                      </c:pt>
                      <c:pt idx="123">
                        <c:v>42499</c:v>
                      </c:pt>
                      <c:pt idx="124">
                        <c:v>42500</c:v>
                      </c:pt>
                      <c:pt idx="125">
                        <c:v>42501</c:v>
                      </c:pt>
                      <c:pt idx="126">
                        <c:v>42502</c:v>
                      </c:pt>
                      <c:pt idx="127">
                        <c:v>42503</c:v>
                      </c:pt>
                      <c:pt idx="128">
                        <c:v>42506</c:v>
                      </c:pt>
                      <c:pt idx="129">
                        <c:v>42507</c:v>
                      </c:pt>
                      <c:pt idx="130">
                        <c:v>42508</c:v>
                      </c:pt>
                      <c:pt idx="131">
                        <c:v>42509</c:v>
                      </c:pt>
                      <c:pt idx="132">
                        <c:v>42510</c:v>
                      </c:pt>
                      <c:pt idx="133">
                        <c:v>42513</c:v>
                      </c:pt>
                      <c:pt idx="134">
                        <c:v>42514</c:v>
                      </c:pt>
                      <c:pt idx="135">
                        <c:v>42515</c:v>
                      </c:pt>
                      <c:pt idx="136">
                        <c:v>42516</c:v>
                      </c:pt>
                      <c:pt idx="137">
                        <c:v>42517</c:v>
                      </c:pt>
                      <c:pt idx="138">
                        <c:v>42521</c:v>
                      </c:pt>
                      <c:pt idx="139">
                        <c:v>42522</c:v>
                      </c:pt>
                      <c:pt idx="140">
                        <c:v>42523</c:v>
                      </c:pt>
                      <c:pt idx="141">
                        <c:v>42524</c:v>
                      </c:pt>
                      <c:pt idx="142">
                        <c:v>42527</c:v>
                      </c:pt>
                      <c:pt idx="143">
                        <c:v>42528</c:v>
                      </c:pt>
                      <c:pt idx="144">
                        <c:v>42529</c:v>
                      </c:pt>
                      <c:pt idx="145">
                        <c:v>42530</c:v>
                      </c:pt>
                      <c:pt idx="146">
                        <c:v>42531</c:v>
                      </c:pt>
                      <c:pt idx="147">
                        <c:v>42534</c:v>
                      </c:pt>
                      <c:pt idx="148">
                        <c:v>42535</c:v>
                      </c:pt>
                      <c:pt idx="149">
                        <c:v>42536</c:v>
                      </c:pt>
                      <c:pt idx="150">
                        <c:v>42537</c:v>
                      </c:pt>
                      <c:pt idx="151">
                        <c:v>42538</c:v>
                      </c:pt>
                      <c:pt idx="152">
                        <c:v>42541</c:v>
                      </c:pt>
                      <c:pt idx="153">
                        <c:v>42542</c:v>
                      </c:pt>
                      <c:pt idx="154">
                        <c:v>42543</c:v>
                      </c:pt>
                      <c:pt idx="155">
                        <c:v>42544</c:v>
                      </c:pt>
                      <c:pt idx="156">
                        <c:v>42545</c:v>
                      </c:pt>
                      <c:pt idx="157">
                        <c:v>42548</c:v>
                      </c:pt>
                      <c:pt idx="158">
                        <c:v>42549</c:v>
                      </c:pt>
                      <c:pt idx="159">
                        <c:v>42550</c:v>
                      </c:pt>
                      <c:pt idx="160">
                        <c:v>42551</c:v>
                      </c:pt>
                      <c:pt idx="161">
                        <c:v>42552</c:v>
                      </c:pt>
                      <c:pt idx="162">
                        <c:v>42556</c:v>
                      </c:pt>
                      <c:pt idx="163">
                        <c:v>42557</c:v>
                      </c:pt>
                      <c:pt idx="164">
                        <c:v>42558</c:v>
                      </c:pt>
                      <c:pt idx="165">
                        <c:v>42559</c:v>
                      </c:pt>
                      <c:pt idx="166">
                        <c:v>42562</c:v>
                      </c:pt>
                      <c:pt idx="167">
                        <c:v>42563</c:v>
                      </c:pt>
                      <c:pt idx="168">
                        <c:v>42564</c:v>
                      </c:pt>
                      <c:pt idx="169">
                        <c:v>42565</c:v>
                      </c:pt>
                      <c:pt idx="170">
                        <c:v>42566</c:v>
                      </c:pt>
                      <c:pt idx="171">
                        <c:v>42569</c:v>
                      </c:pt>
                      <c:pt idx="172">
                        <c:v>42570</c:v>
                      </c:pt>
                      <c:pt idx="173">
                        <c:v>42571</c:v>
                      </c:pt>
                      <c:pt idx="174">
                        <c:v>42572</c:v>
                      </c:pt>
                      <c:pt idx="175">
                        <c:v>42573</c:v>
                      </c:pt>
                      <c:pt idx="176">
                        <c:v>42576</c:v>
                      </c:pt>
                      <c:pt idx="177">
                        <c:v>42577</c:v>
                      </c:pt>
                      <c:pt idx="178">
                        <c:v>42578</c:v>
                      </c:pt>
                      <c:pt idx="179">
                        <c:v>42579</c:v>
                      </c:pt>
                      <c:pt idx="180">
                        <c:v>42580</c:v>
                      </c:pt>
                      <c:pt idx="181">
                        <c:v>42583</c:v>
                      </c:pt>
                      <c:pt idx="182">
                        <c:v>42584</c:v>
                      </c:pt>
                      <c:pt idx="183">
                        <c:v>42585</c:v>
                      </c:pt>
                      <c:pt idx="184">
                        <c:v>42586</c:v>
                      </c:pt>
                      <c:pt idx="185">
                        <c:v>42587</c:v>
                      </c:pt>
                      <c:pt idx="186">
                        <c:v>42590</c:v>
                      </c:pt>
                      <c:pt idx="187">
                        <c:v>42591</c:v>
                      </c:pt>
                      <c:pt idx="188">
                        <c:v>42592</c:v>
                      </c:pt>
                      <c:pt idx="189">
                        <c:v>42593</c:v>
                      </c:pt>
                      <c:pt idx="190">
                        <c:v>42594</c:v>
                      </c:pt>
                      <c:pt idx="191">
                        <c:v>42597</c:v>
                      </c:pt>
                      <c:pt idx="192">
                        <c:v>42598</c:v>
                      </c:pt>
                      <c:pt idx="193">
                        <c:v>42599</c:v>
                      </c:pt>
                      <c:pt idx="194">
                        <c:v>42600</c:v>
                      </c:pt>
                      <c:pt idx="195">
                        <c:v>42601</c:v>
                      </c:pt>
                      <c:pt idx="196">
                        <c:v>42604</c:v>
                      </c:pt>
                      <c:pt idx="197">
                        <c:v>42605</c:v>
                      </c:pt>
                      <c:pt idx="198">
                        <c:v>42606</c:v>
                      </c:pt>
                      <c:pt idx="199">
                        <c:v>42607</c:v>
                      </c:pt>
                      <c:pt idx="200">
                        <c:v>42608</c:v>
                      </c:pt>
                      <c:pt idx="201">
                        <c:v>42611</c:v>
                      </c:pt>
                      <c:pt idx="202">
                        <c:v>42612</c:v>
                      </c:pt>
                      <c:pt idx="203">
                        <c:v>42613</c:v>
                      </c:pt>
                      <c:pt idx="204">
                        <c:v>42614</c:v>
                      </c:pt>
                      <c:pt idx="205">
                        <c:v>42615</c:v>
                      </c:pt>
                      <c:pt idx="206">
                        <c:v>42619</c:v>
                      </c:pt>
                      <c:pt idx="207">
                        <c:v>42620</c:v>
                      </c:pt>
                      <c:pt idx="208">
                        <c:v>42621</c:v>
                      </c:pt>
                      <c:pt idx="209">
                        <c:v>42622</c:v>
                      </c:pt>
                      <c:pt idx="210">
                        <c:v>42625</c:v>
                      </c:pt>
                      <c:pt idx="211">
                        <c:v>42626</c:v>
                      </c:pt>
                      <c:pt idx="212">
                        <c:v>42627</c:v>
                      </c:pt>
                      <c:pt idx="213">
                        <c:v>42628</c:v>
                      </c:pt>
                      <c:pt idx="214">
                        <c:v>42629</c:v>
                      </c:pt>
                      <c:pt idx="215">
                        <c:v>42632</c:v>
                      </c:pt>
                      <c:pt idx="216">
                        <c:v>42633</c:v>
                      </c:pt>
                      <c:pt idx="217">
                        <c:v>42634</c:v>
                      </c:pt>
                      <c:pt idx="218">
                        <c:v>42635</c:v>
                      </c:pt>
                      <c:pt idx="219">
                        <c:v>42636</c:v>
                      </c:pt>
                      <c:pt idx="220">
                        <c:v>42639</c:v>
                      </c:pt>
                      <c:pt idx="221">
                        <c:v>42640</c:v>
                      </c:pt>
                      <c:pt idx="222">
                        <c:v>42641</c:v>
                      </c:pt>
                      <c:pt idx="223">
                        <c:v>42642</c:v>
                      </c:pt>
                      <c:pt idx="224">
                        <c:v>42643</c:v>
                      </c:pt>
                      <c:pt idx="225">
                        <c:v>42646</c:v>
                      </c:pt>
                      <c:pt idx="226">
                        <c:v>42647</c:v>
                      </c:pt>
                      <c:pt idx="227">
                        <c:v>42648</c:v>
                      </c:pt>
                      <c:pt idx="228">
                        <c:v>42649</c:v>
                      </c:pt>
                      <c:pt idx="229">
                        <c:v>42650</c:v>
                      </c:pt>
                      <c:pt idx="230">
                        <c:v>42653</c:v>
                      </c:pt>
                      <c:pt idx="231">
                        <c:v>42654</c:v>
                      </c:pt>
                      <c:pt idx="232">
                        <c:v>42655</c:v>
                      </c:pt>
                      <c:pt idx="233">
                        <c:v>42656</c:v>
                      </c:pt>
                      <c:pt idx="234">
                        <c:v>42657</c:v>
                      </c:pt>
                      <c:pt idx="235">
                        <c:v>42660</c:v>
                      </c:pt>
                      <c:pt idx="236">
                        <c:v>42661</c:v>
                      </c:pt>
                      <c:pt idx="237">
                        <c:v>42662</c:v>
                      </c:pt>
                      <c:pt idx="238">
                        <c:v>42663</c:v>
                      </c:pt>
                      <c:pt idx="239">
                        <c:v>42664</c:v>
                      </c:pt>
                      <c:pt idx="240">
                        <c:v>42667</c:v>
                      </c:pt>
                      <c:pt idx="241">
                        <c:v>42668</c:v>
                      </c:pt>
                      <c:pt idx="242">
                        <c:v>42669</c:v>
                      </c:pt>
                      <c:pt idx="243">
                        <c:v>42670</c:v>
                      </c:pt>
                      <c:pt idx="244">
                        <c:v>42671</c:v>
                      </c:pt>
                      <c:pt idx="245">
                        <c:v>42674</c:v>
                      </c:pt>
                      <c:pt idx="246">
                        <c:v>42675</c:v>
                      </c:pt>
                      <c:pt idx="247">
                        <c:v>42676</c:v>
                      </c:pt>
                      <c:pt idx="248">
                        <c:v>42677</c:v>
                      </c:pt>
                      <c:pt idx="249">
                        <c:v>42678</c:v>
                      </c:pt>
                      <c:pt idx="250">
                        <c:v>42681</c:v>
                      </c:pt>
                      <c:pt idx="251">
                        <c:v>42682</c:v>
                      </c:pt>
                      <c:pt idx="252">
                        <c:v>42683</c:v>
                      </c:pt>
                      <c:pt idx="253">
                        <c:v>42684</c:v>
                      </c:pt>
                      <c:pt idx="254">
                        <c:v>42685</c:v>
                      </c:pt>
                      <c:pt idx="255">
                        <c:v>42688</c:v>
                      </c:pt>
                      <c:pt idx="256">
                        <c:v>42689</c:v>
                      </c:pt>
                      <c:pt idx="257">
                        <c:v>42690</c:v>
                      </c:pt>
                      <c:pt idx="258">
                        <c:v>42691</c:v>
                      </c:pt>
                      <c:pt idx="259">
                        <c:v>42692</c:v>
                      </c:pt>
                      <c:pt idx="260">
                        <c:v>42695</c:v>
                      </c:pt>
                      <c:pt idx="261">
                        <c:v>42696</c:v>
                      </c:pt>
                      <c:pt idx="262">
                        <c:v>42697</c:v>
                      </c:pt>
                      <c:pt idx="263">
                        <c:v>42699</c:v>
                      </c:pt>
                      <c:pt idx="264">
                        <c:v>42702</c:v>
                      </c:pt>
                      <c:pt idx="265">
                        <c:v>42703</c:v>
                      </c:pt>
                      <c:pt idx="266">
                        <c:v>42704</c:v>
                      </c:pt>
                      <c:pt idx="267">
                        <c:v>42705</c:v>
                      </c:pt>
                      <c:pt idx="268">
                        <c:v>42706</c:v>
                      </c:pt>
                      <c:pt idx="269">
                        <c:v>42709</c:v>
                      </c:pt>
                      <c:pt idx="270">
                        <c:v>42710</c:v>
                      </c:pt>
                      <c:pt idx="271">
                        <c:v>42711</c:v>
                      </c:pt>
                      <c:pt idx="272">
                        <c:v>42712</c:v>
                      </c:pt>
                      <c:pt idx="273">
                        <c:v>42713</c:v>
                      </c:pt>
                      <c:pt idx="274">
                        <c:v>42716</c:v>
                      </c:pt>
                      <c:pt idx="275">
                        <c:v>42717</c:v>
                      </c:pt>
                      <c:pt idx="276">
                        <c:v>42718</c:v>
                      </c:pt>
                      <c:pt idx="277">
                        <c:v>42719</c:v>
                      </c:pt>
                      <c:pt idx="278">
                        <c:v>42720</c:v>
                      </c:pt>
                      <c:pt idx="279">
                        <c:v>42723</c:v>
                      </c:pt>
                      <c:pt idx="280">
                        <c:v>42724</c:v>
                      </c:pt>
                      <c:pt idx="281">
                        <c:v>42725</c:v>
                      </c:pt>
                      <c:pt idx="282">
                        <c:v>42726</c:v>
                      </c:pt>
                      <c:pt idx="283">
                        <c:v>42727</c:v>
                      </c:pt>
                      <c:pt idx="284">
                        <c:v>42731</c:v>
                      </c:pt>
                      <c:pt idx="285">
                        <c:v>42732</c:v>
                      </c:pt>
                      <c:pt idx="286">
                        <c:v>42733</c:v>
                      </c:pt>
                      <c:pt idx="287">
                        <c:v>42734</c:v>
                      </c:pt>
                      <c:pt idx="288">
                        <c:v>42738</c:v>
                      </c:pt>
                      <c:pt idx="289">
                        <c:v>42739</c:v>
                      </c:pt>
                      <c:pt idx="290">
                        <c:v>42740</c:v>
                      </c:pt>
                      <c:pt idx="291">
                        <c:v>42741</c:v>
                      </c:pt>
                      <c:pt idx="292">
                        <c:v>42744</c:v>
                      </c:pt>
                      <c:pt idx="293">
                        <c:v>42745</c:v>
                      </c:pt>
                      <c:pt idx="294">
                        <c:v>42746</c:v>
                      </c:pt>
                      <c:pt idx="295">
                        <c:v>42747</c:v>
                      </c:pt>
                      <c:pt idx="296">
                        <c:v>42748</c:v>
                      </c:pt>
                      <c:pt idx="297">
                        <c:v>42752</c:v>
                      </c:pt>
                      <c:pt idx="298">
                        <c:v>42753</c:v>
                      </c:pt>
                      <c:pt idx="299">
                        <c:v>42754</c:v>
                      </c:pt>
                      <c:pt idx="300">
                        <c:v>42755</c:v>
                      </c:pt>
                      <c:pt idx="301">
                        <c:v>42758</c:v>
                      </c:pt>
                      <c:pt idx="302">
                        <c:v>42759</c:v>
                      </c:pt>
                      <c:pt idx="303">
                        <c:v>42760</c:v>
                      </c:pt>
                      <c:pt idx="304">
                        <c:v>42761</c:v>
                      </c:pt>
                      <c:pt idx="305">
                        <c:v>42762</c:v>
                      </c:pt>
                      <c:pt idx="306">
                        <c:v>42765</c:v>
                      </c:pt>
                      <c:pt idx="307">
                        <c:v>42766</c:v>
                      </c:pt>
                      <c:pt idx="308">
                        <c:v>42767</c:v>
                      </c:pt>
                      <c:pt idx="309">
                        <c:v>42768</c:v>
                      </c:pt>
                      <c:pt idx="310">
                        <c:v>42769</c:v>
                      </c:pt>
                      <c:pt idx="311">
                        <c:v>42772</c:v>
                      </c:pt>
                      <c:pt idx="312">
                        <c:v>42773</c:v>
                      </c:pt>
                      <c:pt idx="313">
                        <c:v>42774</c:v>
                      </c:pt>
                      <c:pt idx="314">
                        <c:v>42775</c:v>
                      </c:pt>
                      <c:pt idx="315">
                        <c:v>42776</c:v>
                      </c:pt>
                      <c:pt idx="316">
                        <c:v>42779</c:v>
                      </c:pt>
                      <c:pt idx="317">
                        <c:v>42780</c:v>
                      </c:pt>
                      <c:pt idx="318">
                        <c:v>42781</c:v>
                      </c:pt>
                      <c:pt idx="319">
                        <c:v>42782</c:v>
                      </c:pt>
                      <c:pt idx="320">
                        <c:v>42783</c:v>
                      </c:pt>
                      <c:pt idx="321">
                        <c:v>42787</c:v>
                      </c:pt>
                      <c:pt idx="322">
                        <c:v>42788</c:v>
                      </c:pt>
                      <c:pt idx="323">
                        <c:v>42789</c:v>
                      </c:pt>
                      <c:pt idx="324">
                        <c:v>42790</c:v>
                      </c:pt>
                      <c:pt idx="325">
                        <c:v>42793</c:v>
                      </c:pt>
                      <c:pt idx="326">
                        <c:v>42794</c:v>
                      </c:pt>
                      <c:pt idx="327">
                        <c:v>42795</c:v>
                      </c:pt>
                      <c:pt idx="328">
                        <c:v>42796</c:v>
                      </c:pt>
                      <c:pt idx="329">
                        <c:v>42797</c:v>
                      </c:pt>
                      <c:pt idx="330">
                        <c:v>42800</c:v>
                      </c:pt>
                      <c:pt idx="331">
                        <c:v>42801</c:v>
                      </c:pt>
                      <c:pt idx="332">
                        <c:v>42802</c:v>
                      </c:pt>
                      <c:pt idx="333">
                        <c:v>42803</c:v>
                      </c:pt>
                      <c:pt idx="334">
                        <c:v>42804</c:v>
                      </c:pt>
                      <c:pt idx="335">
                        <c:v>42807</c:v>
                      </c:pt>
                      <c:pt idx="336">
                        <c:v>42808</c:v>
                      </c:pt>
                      <c:pt idx="337">
                        <c:v>42809</c:v>
                      </c:pt>
                      <c:pt idx="338">
                        <c:v>42810</c:v>
                      </c:pt>
                      <c:pt idx="339">
                        <c:v>42811</c:v>
                      </c:pt>
                      <c:pt idx="340">
                        <c:v>42814</c:v>
                      </c:pt>
                      <c:pt idx="341">
                        <c:v>42815</c:v>
                      </c:pt>
                      <c:pt idx="342">
                        <c:v>42816</c:v>
                      </c:pt>
                      <c:pt idx="343">
                        <c:v>42817</c:v>
                      </c:pt>
                      <c:pt idx="344">
                        <c:v>42818</c:v>
                      </c:pt>
                      <c:pt idx="345">
                        <c:v>42821</c:v>
                      </c:pt>
                      <c:pt idx="346">
                        <c:v>42822</c:v>
                      </c:pt>
                      <c:pt idx="347">
                        <c:v>42823</c:v>
                      </c:pt>
                      <c:pt idx="348">
                        <c:v>42824</c:v>
                      </c:pt>
                      <c:pt idx="349">
                        <c:v>42825</c:v>
                      </c:pt>
                      <c:pt idx="350">
                        <c:v>42828</c:v>
                      </c:pt>
                      <c:pt idx="351">
                        <c:v>42829</c:v>
                      </c:pt>
                      <c:pt idx="352">
                        <c:v>42830</c:v>
                      </c:pt>
                      <c:pt idx="353">
                        <c:v>42831</c:v>
                      </c:pt>
                      <c:pt idx="354">
                        <c:v>42832</c:v>
                      </c:pt>
                      <c:pt idx="355">
                        <c:v>42835</c:v>
                      </c:pt>
                      <c:pt idx="356">
                        <c:v>42836</c:v>
                      </c:pt>
                      <c:pt idx="357">
                        <c:v>42837</c:v>
                      </c:pt>
                      <c:pt idx="358">
                        <c:v>42838</c:v>
                      </c:pt>
                      <c:pt idx="359">
                        <c:v>42842</c:v>
                      </c:pt>
                      <c:pt idx="360">
                        <c:v>42843</c:v>
                      </c:pt>
                      <c:pt idx="361">
                        <c:v>42844</c:v>
                      </c:pt>
                      <c:pt idx="362">
                        <c:v>42845</c:v>
                      </c:pt>
                      <c:pt idx="363">
                        <c:v>42846</c:v>
                      </c:pt>
                      <c:pt idx="364">
                        <c:v>42849</c:v>
                      </c:pt>
                      <c:pt idx="365">
                        <c:v>42850</c:v>
                      </c:pt>
                      <c:pt idx="366">
                        <c:v>42851</c:v>
                      </c:pt>
                      <c:pt idx="367">
                        <c:v>42852</c:v>
                      </c:pt>
                      <c:pt idx="368">
                        <c:v>42853</c:v>
                      </c:pt>
                      <c:pt idx="369">
                        <c:v>42856</c:v>
                      </c:pt>
                      <c:pt idx="370">
                        <c:v>42857</c:v>
                      </c:pt>
                      <c:pt idx="371">
                        <c:v>42858</c:v>
                      </c:pt>
                      <c:pt idx="372">
                        <c:v>42859</c:v>
                      </c:pt>
                      <c:pt idx="373">
                        <c:v>42860</c:v>
                      </c:pt>
                      <c:pt idx="374">
                        <c:v>42863</c:v>
                      </c:pt>
                      <c:pt idx="375">
                        <c:v>42864</c:v>
                      </c:pt>
                      <c:pt idx="376">
                        <c:v>42865</c:v>
                      </c:pt>
                      <c:pt idx="377">
                        <c:v>42866</c:v>
                      </c:pt>
                      <c:pt idx="378">
                        <c:v>42867</c:v>
                      </c:pt>
                      <c:pt idx="379">
                        <c:v>42870</c:v>
                      </c:pt>
                      <c:pt idx="380">
                        <c:v>42871</c:v>
                      </c:pt>
                      <c:pt idx="381">
                        <c:v>42872</c:v>
                      </c:pt>
                      <c:pt idx="382">
                        <c:v>42873</c:v>
                      </c:pt>
                      <c:pt idx="383">
                        <c:v>42874</c:v>
                      </c:pt>
                      <c:pt idx="384">
                        <c:v>42877</c:v>
                      </c:pt>
                      <c:pt idx="385">
                        <c:v>42878</c:v>
                      </c:pt>
                      <c:pt idx="386">
                        <c:v>42879</c:v>
                      </c:pt>
                      <c:pt idx="387">
                        <c:v>42880</c:v>
                      </c:pt>
                      <c:pt idx="388">
                        <c:v>42881</c:v>
                      </c:pt>
                      <c:pt idx="389">
                        <c:v>42885</c:v>
                      </c:pt>
                      <c:pt idx="390">
                        <c:v>42886</c:v>
                      </c:pt>
                      <c:pt idx="391">
                        <c:v>42887</c:v>
                      </c:pt>
                      <c:pt idx="392">
                        <c:v>42888</c:v>
                      </c:pt>
                      <c:pt idx="393">
                        <c:v>42891</c:v>
                      </c:pt>
                      <c:pt idx="394">
                        <c:v>42892</c:v>
                      </c:pt>
                      <c:pt idx="395">
                        <c:v>42893</c:v>
                      </c:pt>
                      <c:pt idx="396">
                        <c:v>42894</c:v>
                      </c:pt>
                      <c:pt idx="397">
                        <c:v>42895</c:v>
                      </c:pt>
                      <c:pt idx="398">
                        <c:v>42898</c:v>
                      </c:pt>
                      <c:pt idx="399">
                        <c:v>42899</c:v>
                      </c:pt>
                      <c:pt idx="400">
                        <c:v>42900</c:v>
                      </c:pt>
                      <c:pt idx="401">
                        <c:v>42901</c:v>
                      </c:pt>
                      <c:pt idx="402">
                        <c:v>42902</c:v>
                      </c:pt>
                      <c:pt idx="403">
                        <c:v>42905</c:v>
                      </c:pt>
                      <c:pt idx="404">
                        <c:v>42906</c:v>
                      </c:pt>
                      <c:pt idx="405">
                        <c:v>42907</c:v>
                      </c:pt>
                      <c:pt idx="406">
                        <c:v>42908</c:v>
                      </c:pt>
                      <c:pt idx="407">
                        <c:v>42909</c:v>
                      </c:pt>
                      <c:pt idx="408">
                        <c:v>42912</c:v>
                      </c:pt>
                      <c:pt idx="409">
                        <c:v>42913</c:v>
                      </c:pt>
                      <c:pt idx="410">
                        <c:v>42914</c:v>
                      </c:pt>
                      <c:pt idx="411">
                        <c:v>42915</c:v>
                      </c:pt>
                      <c:pt idx="412">
                        <c:v>42916</c:v>
                      </c:pt>
                      <c:pt idx="413">
                        <c:v>42919</c:v>
                      </c:pt>
                      <c:pt idx="414">
                        <c:v>42921</c:v>
                      </c:pt>
                      <c:pt idx="415">
                        <c:v>42922</c:v>
                      </c:pt>
                      <c:pt idx="416">
                        <c:v>42923</c:v>
                      </c:pt>
                      <c:pt idx="417">
                        <c:v>42926</c:v>
                      </c:pt>
                      <c:pt idx="418">
                        <c:v>42927</c:v>
                      </c:pt>
                      <c:pt idx="419">
                        <c:v>42928</c:v>
                      </c:pt>
                      <c:pt idx="420">
                        <c:v>42929</c:v>
                      </c:pt>
                      <c:pt idx="421">
                        <c:v>42930</c:v>
                      </c:pt>
                      <c:pt idx="422">
                        <c:v>42933</c:v>
                      </c:pt>
                      <c:pt idx="423">
                        <c:v>42934</c:v>
                      </c:pt>
                      <c:pt idx="424">
                        <c:v>42935</c:v>
                      </c:pt>
                      <c:pt idx="425">
                        <c:v>42936</c:v>
                      </c:pt>
                      <c:pt idx="426">
                        <c:v>42937</c:v>
                      </c:pt>
                      <c:pt idx="427">
                        <c:v>42940</c:v>
                      </c:pt>
                      <c:pt idx="428">
                        <c:v>42941</c:v>
                      </c:pt>
                      <c:pt idx="429">
                        <c:v>42942</c:v>
                      </c:pt>
                      <c:pt idx="430">
                        <c:v>42943</c:v>
                      </c:pt>
                      <c:pt idx="431">
                        <c:v>42944</c:v>
                      </c:pt>
                      <c:pt idx="432">
                        <c:v>42947</c:v>
                      </c:pt>
                      <c:pt idx="433">
                        <c:v>42948</c:v>
                      </c:pt>
                      <c:pt idx="434">
                        <c:v>42949</c:v>
                      </c:pt>
                      <c:pt idx="435">
                        <c:v>42950</c:v>
                      </c:pt>
                      <c:pt idx="436">
                        <c:v>42951</c:v>
                      </c:pt>
                      <c:pt idx="437">
                        <c:v>42954</c:v>
                      </c:pt>
                      <c:pt idx="438">
                        <c:v>42955</c:v>
                      </c:pt>
                      <c:pt idx="439">
                        <c:v>42956</c:v>
                      </c:pt>
                      <c:pt idx="440">
                        <c:v>42957</c:v>
                      </c:pt>
                      <c:pt idx="441">
                        <c:v>42958</c:v>
                      </c:pt>
                      <c:pt idx="442">
                        <c:v>42961</c:v>
                      </c:pt>
                      <c:pt idx="443">
                        <c:v>42962</c:v>
                      </c:pt>
                      <c:pt idx="444">
                        <c:v>42963</c:v>
                      </c:pt>
                      <c:pt idx="445">
                        <c:v>42964</c:v>
                      </c:pt>
                      <c:pt idx="446">
                        <c:v>42965</c:v>
                      </c:pt>
                      <c:pt idx="447">
                        <c:v>42968</c:v>
                      </c:pt>
                      <c:pt idx="448">
                        <c:v>42969</c:v>
                      </c:pt>
                      <c:pt idx="449">
                        <c:v>42970</c:v>
                      </c:pt>
                      <c:pt idx="450">
                        <c:v>42971</c:v>
                      </c:pt>
                      <c:pt idx="451">
                        <c:v>42972</c:v>
                      </c:pt>
                      <c:pt idx="452">
                        <c:v>42975</c:v>
                      </c:pt>
                      <c:pt idx="453">
                        <c:v>42976</c:v>
                      </c:pt>
                      <c:pt idx="454">
                        <c:v>42977</c:v>
                      </c:pt>
                      <c:pt idx="455">
                        <c:v>42978</c:v>
                      </c:pt>
                      <c:pt idx="456">
                        <c:v>42979</c:v>
                      </c:pt>
                      <c:pt idx="457">
                        <c:v>42983</c:v>
                      </c:pt>
                      <c:pt idx="458">
                        <c:v>42984</c:v>
                      </c:pt>
                      <c:pt idx="459">
                        <c:v>42985</c:v>
                      </c:pt>
                      <c:pt idx="460">
                        <c:v>42986</c:v>
                      </c:pt>
                      <c:pt idx="461">
                        <c:v>42989</c:v>
                      </c:pt>
                      <c:pt idx="462">
                        <c:v>42990</c:v>
                      </c:pt>
                      <c:pt idx="463">
                        <c:v>42991</c:v>
                      </c:pt>
                      <c:pt idx="464">
                        <c:v>42992</c:v>
                      </c:pt>
                      <c:pt idx="465">
                        <c:v>42993</c:v>
                      </c:pt>
                      <c:pt idx="466">
                        <c:v>42996</c:v>
                      </c:pt>
                      <c:pt idx="467">
                        <c:v>42997</c:v>
                      </c:pt>
                      <c:pt idx="468">
                        <c:v>42998</c:v>
                      </c:pt>
                      <c:pt idx="469">
                        <c:v>42999</c:v>
                      </c:pt>
                      <c:pt idx="470">
                        <c:v>43000</c:v>
                      </c:pt>
                      <c:pt idx="471">
                        <c:v>43003</c:v>
                      </c:pt>
                      <c:pt idx="472">
                        <c:v>43004</c:v>
                      </c:pt>
                      <c:pt idx="473">
                        <c:v>43005</c:v>
                      </c:pt>
                      <c:pt idx="474">
                        <c:v>43006</c:v>
                      </c:pt>
                      <c:pt idx="475">
                        <c:v>43007</c:v>
                      </c:pt>
                      <c:pt idx="476">
                        <c:v>43010</c:v>
                      </c:pt>
                      <c:pt idx="477">
                        <c:v>43011</c:v>
                      </c:pt>
                      <c:pt idx="478">
                        <c:v>43012</c:v>
                      </c:pt>
                      <c:pt idx="479">
                        <c:v>43013</c:v>
                      </c:pt>
                      <c:pt idx="480">
                        <c:v>43014</c:v>
                      </c:pt>
                      <c:pt idx="481">
                        <c:v>43017</c:v>
                      </c:pt>
                      <c:pt idx="482">
                        <c:v>43018</c:v>
                      </c:pt>
                      <c:pt idx="483">
                        <c:v>43019</c:v>
                      </c:pt>
                      <c:pt idx="484">
                        <c:v>43020</c:v>
                      </c:pt>
                      <c:pt idx="485">
                        <c:v>43021</c:v>
                      </c:pt>
                      <c:pt idx="486">
                        <c:v>43024</c:v>
                      </c:pt>
                      <c:pt idx="487">
                        <c:v>43025</c:v>
                      </c:pt>
                      <c:pt idx="488">
                        <c:v>43026</c:v>
                      </c:pt>
                      <c:pt idx="489">
                        <c:v>43027</c:v>
                      </c:pt>
                      <c:pt idx="490">
                        <c:v>43028</c:v>
                      </c:pt>
                      <c:pt idx="491">
                        <c:v>43031</c:v>
                      </c:pt>
                      <c:pt idx="492">
                        <c:v>43032</c:v>
                      </c:pt>
                      <c:pt idx="493">
                        <c:v>43033</c:v>
                      </c:pt>
                      <c:pt idx="494">
                        <c:v>43034</c:v>
                      </c:pt>
                      <c:pt idx="495">
                        <c:v>43035</c:v>
                      </c:pt>
                      <c:pt idx="496">
                        <c:v>43038</c:v>
                      </c:pt>
                      <c:pt idx="497">
                        <c:v>43039</c:v>
                      </c:pt>
                      <c:pt idx="498">
                        <c:v>43040</c:v>
                      </c:pt>
                      <c:pt idx="499">
                        <c:v>43041</c:v>
                      </c:pt>
                      <c:pt idx="500">
                        <c:v>43042</c:v>
                      </c:pt>
                      <c:pt idx="501">
                        <c:v>43045</c:v>
                      </c:pt>
                      <c:pt idx="502">
                        <c:v>43046</c:v>
                      </c:pt>
                      <c:pt idx="503">
                        <c:v>43047</c:v>
                      </c:pt>
                      <c:pt idx="504">
                        <c:v>43048</c:v>
                      </c:pt>
                      <c:pt idx="505">
                        <c:v>43049</c:v>
                      </c:pt>
                      <c:pt idx="506">
                        <c:v>43052</c:v>
                      </c:pt>
                      <c:pt idx="507">
                        <c:v>43053</c:v>
                      </c:pt>
                      <c:pt idx="508">
                        <c:v>43054</c:v>
                      </c:pt>
                      <c:pt idx="509">
                        <c:v>43055</c:v>
                      </c:pt>
                      <c:pt idx="510">
                        <c:v>43056</c:v>
                      </c:pt>
                      <c:pt idx="511">
                        <c:v>43059</c:v>
                      </c:pt>
                      <c:pt idx="512">
                        <c:v>43060</c:v>
                      </c:pt>
                      <c:pt idx="513">
                        <c:v>43061</c:v>
                      </c:pt>
                      <c:pt idx="514">
                        <c:v>43063</c:v>
                      </c:pt>
                      <c:pt idx="515">
                        <c:v>43066</c:v>
                      </c:pt>
                      <c:pt idx="516">
                        <c:v>43067</c:v>
                      </c:pt>
                      <c:pt idx="517">
                        <c:v>43068</c:v>
                      </c:pt>
                      <c:pt idx="518">
                        <c:v>43069</c:v>
                      </c:pt>
                      <c:pt idx="519">
                        <c:v>43070</c:v>
                      </c:pt>
                      <c:pt idx="520">
                        <c:v>43073</c:v>
                      </c:pt>
                      <c:pt idx="521">
                        <c:v>43074</c:v>
                      </c:pt>
                      <c:pt idx="522">
                        <c:v>43075</c:v>
                      </c:pt>
                      <c:pt idx="523">
                        <c:v>43076</c:v>
                      </c:pt>
                      <c:pt idx="524">
                        <c:v>43077</c:v>
                      </c:pt>
                      <c:pt idx="525">
                        <c:v>43080</c:v>
                      </c:pt>
                      <c:pt idx="526">
                        <c:v>43081</c:v>
                      </c:pt>
                      <c:pt idx="527">
                        <c:v>43082</c:v>
                      </c:pt>
                      <c:pt idx="528">
                        <c:v>43083</c:v>
                      </c:pt>
                      <c:pt idx="529">
                        <c:v>43084</c:v>
                      </c:pt>
                      <c:pt idx="530">
                        <c:v>43087</c:v>
                      </c:pt>
                      <c:pt idx="531">
                        <c:v>43088</c:v>
                      </c:pt>
                      <c:pt idx="532">
                        <c:v>43089</c:v>
                      </c:pt>
                      <c:pt idx="533">
                        <c:v>43090</c:v>
                      </c:pt>
                      <c:pt idx="534">
                        <c:v>43091</c:v>
                      </c:pt>
                      <c:pt idx="535">
                        <c:v>43095</c:v>
                      </c:pt>
                      <c:pt idx="536">
                        <c:v>43096</c:v>
                      </c:pt>
                      <c:pt idx="537">
                        <c:v>43097</c:v>
                      </c:pt>
                      <c:pt idx="538">
                        <c:v>43098</c:v>
                      </c:pt>
                      <c:pt idx="539">
                        <c:v>43102</c:v>
                      </c:pt>
                      <c:pt idx="540">
                        <c:v>43103</c:v>
                      </c:pt>
                      <c:pt idx="541">
                        <c:v>43104</c:v>
                      </c:pt>
                      <c:pt idx="542">
                        <c:v>43105</c:v>
                      </c:pt>
                      <c:pt idx="543">
                        <c:v>43108</c:v>
                      </c:pt>
                      <c:pt idx="544">
                        <c:v>43109</c:v>
                      </c:pt>
                      <c:pt idx="545">
                        <c:v>43110</c:v>
                      </c:pt>
                      <c:pt idx="546">
                        <c:v>43111</c:v>
                      </c:pt>
                      <c:pt idx="547">
                        <c:v>43112</c:v>
                      </c:pt>
                      <c:pt idx="548">
                        <c:v>43116</c:v>
                      </c:pt>
                      <c:pt idx="549">
                        <c:v>43117</c:v>
                      </c:pt>
                      <c:pt idx="550">
                        <c:v>43118</c:v>
                      </c:pt>
                      <c:pt idx="551">
                        <c:v>43119</c:v>
                      </c:pt>
                      <c:pt idx="552">
                        <c:v>43122</c:v>
                      </c:pt>
                      <c:pt idx="553">
                        <c:v>43123</c:v>
                      </c:pt>
                      <c:pt idx="554">
                        <c:v>43124</c:v>
                      </c:pt>
                      <c:pt idx="555">
                        <c:v>43125</c:v>
                      </c:pt>
                      <c:pt idx="556">
                        <c:v>43126</c:v>
                      </c:pt>
                      <c:pt idx="557">
                        <c:v>43129</c:v>
                      </c:pt>
                      <c:pt idx="558">
                        <c:v>43130</c:v>
                      </c:pt>
                      <c:pt idx="559">
                        <c:v>43131</c:v>
                      </c:pt>
                      <c:pt idx="560">
                        <c:v>43132</c:v>
                      </c:pt>
                      <c:pt idx="561">
                        <c:v>43133</c:v>
                      </c:pt>
                      <c:pt idx="562">
                        <c:v>43136</c:v>
                      </c:pt>
                      <c:pt idx="563">
                        <c:v>43137</c:v>
                      </c:pt>
                      <c:pt idx="564">
                        <c:v>43138</c:v>
                      </c:pt>
                      <c:pt idx="565">
                        <c:v>43139</c:v>
                      </c:pt>
                      <c:pt idx="566">
                        <c:v>43140</c:v>
                      </c:pt>
                      <c:pt idx="567">
                        <c:v>43143</c:v>
                      </c:pt>
                      <c:pt idx="568">
                        <c:v>43144</c:v>
                      </c:pt>
                      <c:pt idx="569">
                        <c:v>43145</c:v>
                      </c:pt>
                      <c:pt idx="570">
                        <c:v>43146</c:v>
                      </c:pt>
                      <c:pt idx="571">
                        <c:v>43147</c:v>
                      </c:pt>
                      <c:pt idx="572">
                        <c:v>43151</c:v>
                      </c:pt>
                      <c:pt idx="573">
                        <c:v>43152</c:v>
                      </c:pt>
                      <c:pt idx="574">
                        <c:v>43153</c:v>
                      </c:pt>
                      <c:pt idx="575">
                        <c:v>43154</c:v>
                      </c:pt>
                      <c:pt idx="576">
                        <c:v>43157</c:v>
                      </c:pt>
                      <c:pt idx="577">
                        <c:v>43158</c:v>
                      </c:pt>
                      <c:pt idx="578">
                        <c:v>43159</c:v>
                      </c:pt>
                      <c:pt idx="579">
                        <c:v>43160</c:v>
                      </c:pt>
                      <c:pt idx="580">
                        <c:v>43161</c:v>
                      </c:pt>
                      <c:pt idx="581">
                        <c:v>43164</c:v>
                      </c:pt>
                      <c:pt idx="582">
                        <c:v>43165</c:v>
                      </c:pt>
                      <c:pt idx="583">
                        <c:v>43166</c:v>
                      </c:pt>
                      <c:pt idx="584">
                        <c:v>43167</c:v>
                      </c:pt>
                      <c:pt idx="585">
                        <c:v>43168</c:v>
                      </c:pt>
                      <c:pt idx="586">
                        <c:v>43171</c:v>
                      </c:pt>
                      <c:pt idx="587">
                        <c:v>43172</c:v>
                      </c:pt>
                      <c:pt idx="588">
                        <c:v>43173</c:v>
                      </c:pt>
                      <c:pt idx="589">
                        <c:v>43174</c:v>
                      </c:pt>
                      <c:pt idx="590">
                        <c:v>43175</c:v>
                      </c:pt>
                      <c:pt idx="591">
                        <c:v>43178</c:v>
                      </c:pt>
                      <c:pt idx="592">
                        <c:v>43179</c:v>
                      </c:pt>
                      <c:pt idx="593">
                        <c:v>43180</c:v>
                      </c:pt>
                      <c:pt idx="594">
                        <c:v>43181</c:v>
                      </c:pt>
                      <c:pt idx="595">
                        <c:v>43182</c:v>
                      </c:pt>
                      <c:pt idx="596">
                        <c:v>43185</c:v>
                      </c:pt>
                      <c:pt idx="597">
                        <c:v>43186</c:v>
                      </c:pt>
                      <c:pt idx="598">
                        <c:v>43187</c:v>
                      </c:pt>
                      <c:pt idx="599">
                        <c:v>43188</c:v>
                      </c:pt>
                      <c:pt idx="600">
                        <c:v>43192</c:v>
                      </c:pt>
                      <c:pt idx="601">
                        <c:v>43193</c:v>
                      </c:pt>
                      <c:pt idx="602">
                        <c:v>43194</c:v>
                      </c:pt>
                      <c:pt idx="603">
                        <c:v>43195</c:v>
                      </c:pt>
                      <c:pt idx="604">
                        <c:v>43196</c:v>
                      </c:pt>
                      <c:pt idx="605">
                        <c:v>43199</c:v>
                      </c:pt>
                      <c:pt idx="606">
                        <c:v>43200</c:v>
                      </c:pt>
                      <c:pt idx="607">
                        <c:v>43201</c:v>
                      </c:pt>
                      <c:pt idx="608">
                        <c:v>43202</c:v>
                      </c:pt>
                      <c:pt idx="609">
                        <c:v>43203</c:v>
                      </c:pt>
                      <c:pt idx="610">
                        <c:v>43206</c:v>
                      </c:pt>
                      <c:pt idx="611">
                        <c:v>43207</c:v>
                      </c:pt>
                      <c:pt idx="612">
                        <c:v>43208</c:v>
                      </c:pt>
                      <c:pt idx="613">
                        <c:v>43209</c:v>
                      </c:pt>
                      <c:pt idx="614">
                        <c:v>43210</c:v>
                      </c:pt>
                      <c:pt idx="615">
                        <c:v>43213</c:v>
                      </c:pt>
                      <c:pt idx="616">
                        <c:v>43214</c:v>
                      </c:pt>
                      <c:pt idx="617">
                        <c:v>43215</c:v>
                      </c:pt>
                      <c:pt idx="618">
                        <c:v>43216</c:v>
                      </c:pt>
                      <c:pt idx="619">
                        <c:v>43217</c:v>
                      </c:pt>
                      <c:pt idx="620">
                        <c:v>43220</c:v>
                      </c:pt>
                      <c:pt idx="621">
                        <c:v>43221</c:v>
                      </c:pt>
                      <c:pt idx="622">
                        <c:v>43222</c:v>
                      </c:pt>
                      <c:pt idx="623">
                        <c:v>43223</c:v>
                      </c:pt>
                      <c:pt idx="624">
                        <c:v>43224</c:v>
                      </c:pt>
                      <c:pt idx="625">
                        <c:v>43227</c:v>
                      </c:pt>
                      <c:pt idx="626">
                        <c:v>43228</c:v>
                      </c:pt>
                      <c:pt idx="627">
                        <c:v>43229</c:v>
                      </c:pt>
                      <c:pt idx="628">
                        <c:v>43230</c:v>
                      </c:pt>
                      <c:pt idx="629">
                        <c:v>43231</c:v>
                      </c:pt>
                      <c:pt idx="630">
                        <c:v>43234</c:v>
                      </c:pt>
                      <c:pt idx="631">
                        <c:v>43235</c:v>
                      </c:pt>
                      <c:pt idx="632">
                        <c:v>43236</c:v>
                      </c:pt>
                      <c:pt idx="633">
                        <c:v>43237</c:v>
                      </c:pt>
                      <c:pt idx="634">
                        <c:v>43238</c:v>
                      </c:pt>
                      <c:pt idx="635">
                        <c:v>43241</c:v>
                      </c:pt>
                      <c:pt idx="636">
                        <c:v>43242</c:v>
                      </c:pt>
                      <c:pt idx="637">
                        <c:v>43243</c:v>
                      </c:pt>
                      <c:pt idx="638">
                        <c:v>43244</c:v>
                      </c:pt>
                      <c:pt idx="639">
                        <c:v>43245</c:v>
                      </c:pt>
                      <c:pt idx="640">
                        <c:v>43249</c:v>
                      </c:pt>
                      <c:pt idx="641">
                        <c:v>43250</c:v>
                      </c:pt>
                      <c:pt idx="642">
                        <c:v>43251</c:v>
                      </c:pt>
                      <c:pt idx="643">
                        <c:v>43252</c:v>
                      </c:pt>
                      <c:pt idx="644">
                        <c:v>43255</c:v>
                      </c:pt>
                      <c:pt idx="645">
                        <c:v>43256</c:v>
                      </c:pt>
                      <c:pt idx="646">
                        <c:v>43257</c:v>
                      </c:pt>
                      <c:pt idx="647">
                        <c:v>43258</c:v>
                      </c:pt>
                      <c:pt idx="648">
                        <c:v>43259</c:v>
                      </c:pt>
                      <c:pt idx="649">
                        <c:v>43262</c:v>
                      </c:pt>
                      <c:pt idx="650">
                        <c:v>43263</c:v>
                      </c:pt>
                      <c:pt idx="651">
                        <c:v>43264</c:v>
                      </c:pt>
                      <c:pt idx="652">
                        <c:v>43265</c:v>
                      </c:pt>
                      <c:pt idx="653">
                        <c:v>43266</c:v>
                      </c:pt>
                      <c:pt idx="654">
                        <c:v>43269</c:v>
                      </c:pt>
                      <c:pt idx="655">
                        <c:v>43270</c:v>
                      </c:pt>
                      <c:pt idx="656">
                        <c:v>43271</c:v>
                      </c:pt>
                      <c:pt idx="657">
                        <c:v>43272</c:v>
                      </c:pt>
                      <c:pt idx="658">
                        <c:v>43273</c:v>
                      </c:pt>
                      <c:pt idx="659">
                        <c:v>43276</c:v>
                      </c:pt>
                      <c:pt idx="660">
                        <c:v>43277</c:v>
                      </c:pt>
                      <c:pt idx="661">
                        <c:v>43278</c:v>
                      </c:pt>
                      <c:pt idx="662">
                        <c:v>43279</c:v>
                      </c:pt>
                      <c:pt idx="663">
                        <c:v>43280</c:v>
                      </c:pt>
                      <c:pt idx="664">
                        <c:v>43283</c:v>
                      </c:pt>
                      <c:pt idx="665">
                        <c:v>43284</c:v>
                      </c:pt>
                      <c:pt idx="666">
                        <c:v>43286</c:v>
                      </c:pt>
                      <c:pt idx="667">
                        <c:v>43287</c:v>
                      </c:pt>
                      <c:pt idx="668">
                        <c:v>43290</c:v>
                      </c:pt>
                      <c:pt idx="669">
                        <c:v>43291</c:v>
                      </c:pt>
                      <c:pt idx="670">
                        <c:v>43292</c:v>
                      </c:pt>
                      <c:pt idx="671">
                        <c:v>43293</c:v>
                      </c:pt>
                      <c:pt idx="672">
                        <c:v>43294</c:v>
                      </c:pt>
                      <c:pt idx="673">
                        <c:v>43297</c:v>
                      </c:pt>
                      <c:pt idx="674">
                        <c:v>43298</c:v>
                      </c:pt>
                      <c:pt idx="675">
                        <c:v>43299</c:v>
                      </c:pt>
                      <c:pt idx="676">
                        <c:v>43300</c:v>
                      </c:pt>
                      <c:pt idx="677">
                        <c:v>43301</c:v>
                      </c:pt>
                      <c:pt idx="678">
                        <c:v>43304</c:v>
                      </c:pt>
                      <c:pt idx="679">
                        <c:v>43305</c:v>
                      </c:pt>
                      <c:pt idx="680">
                        <c:v>43306</c:v>
                      </c:pt>
                      <c:pt idx="681">
                        <c:v>43307</c:v>
                      </c:pt>
                      <c:pt idx="682">
                        <c:v>43308</c:v>
                      </c:pt>
                      <c:pt idx="683">
                        <c:v>43311</c:v>
                      </c:pt>
                      <c:pt idx="684">
                        <c:v>43312</c:v>
                      </c:pt>
                      <c:pt idx="685">
                        <c:v>43313</c:v>
                      </c:pt>
                      <c:pt idx="686">
                        <c:v>43314</c:v>
                      </c:pt>
                      <c:pt idx="687">
                        <c:v>43315</c:v>
                      </c:pt>
                      <c:pt idx="688">
                        <c:v>43318</c:v>
                      </c:pt>
                      <c:pt idx="689">
                        <c:v>43319</c:v>
                      </c:pt>
                      <c:pt idx="690">
                        <c:v>43320</c:v>
                      </c:pt>
                      <c:pt idx="691">
                        <c:v>43321</c:v>
                      </c:pt>
                      <c:pt idx="692">
                        <c:v>43322</c:v>
                      </c:pt>
                      <c:pt idx="693">
                        <c:v>43325</c:v>
                      </c:pt>
                      <c:pt idx="694">
                        <c:v>43326</c:v>
                      </c:pt>
                      <c:pt idx="695">
                        <c:v>43327</c:v>
                      </c:pt>
                      <c:pt idx="696">
                        <c:v>43328</c:v>
                      </c:pt>
                      <c:pt idx="697">
                        <c:v>43329</c:v>
                      </c:pt>
                      <c:pt idx="698">
                        <c:v>43332</c:v>
                      </c:pt>
                      <c:pt idx="699">
                        <c:v>43333</c:v>
                      </c:pt>
                      <c:pt idx="700">
                        <c:v>43334</c:v>
                      </c:pt>
                      <c:pt idx="701">
                        <c:v>43335</c:v>
                      </c:pt>
                      <c:pt idx="702">
                        <c:v>43336</c:v>
                      </c:pt>
                      <c:pt idx="703">
                        <c:v>43339</c:v>
                      </c:pt>
                      <c:pt idx="704">
                        <c:v>43340</c:v>
                      </c:pt>
                      <c:pt idx="705">
                        <c:v>43341</c:v>
                      </c:pt>
                      <c:pt idx="706">
                        <c:v>43342</c:v>
                      </c:pt>
                      <c:pt idx="707">
                        <c:v>43343</c:v>
                      </c:pt>
                      <c:pt idx="708">
                        <c:v>43347</c:v>
                      </c:pt>
                      <c:pt idx="709">
                        <c:v>43348</c:v>
                      </c:pt>
                      <c:pt idx="710">
                        <c:v>43349</c:v>
                      </c:pt>
                      <c:pt idx="711">
                        <c:v>43350</c:v>
                      </c:pt>
                      <c:pt idx="712">
                        <c:v>43353</c:v>
                      </c:pt>
                      <c:pt idx="713">
                        <c:v>43354</c:v>
                      </c:pt>
                      <c:pt idx="714">
                        <c:v>43355</c:v>
                      </c:pt>
                      <c:pt idx="715">
                        <c:v>43356</c:v>
                      </c:pt>
                      <c:pt idx="716">
                        <c:v>43357</c:v>
                      </c:pt>
                      <c:pt idx="717">
                        <c:v>43360</c:v>
                      </c:pt>
                      <c:pt idx="718">
                        <c:v>43361</c:v>
                      </c:pt>
                      <c:pt idx="719">
                        <c:v>43362</c:v>
                      </c:pt>
                      <c:pt idx="720">
                        <c:v>43363</c:v>
                      </c:pt>
                      <c:pt idx="721">
                        <c:v>43364</c:v>
                      </c:pt>
                      <c:pt idx="722">
                        <c:v>43367</c:v>
                      </c:pt>
                      <c:pt idx="723">
                        <c:v>43368</c:v>
                      </c:pt>
                      <c:pt idx="724">
                        <c:v>43369</c:v>
                      </c:pt>
                      <c:pt idx="725">
                        <c:v>43370</c:v>
                      </c:pt>
                      <c:pt idx="726">
                        <c:v>43371</c:v>
                      </c:pt>
                      <c:pt idx="727">
                        <c:v>43374</c:v>
                      </c:pt>
                      <c:pt idx="728">
                        <c:v>43375</c:v>
                      </c:pt>
                      <c:pt idx="729">
                        <c:v>43376</c:v>
                      </c:pt>
                      <c:pt idx="730">
                        <c:v>43377</c:v>
                      </c:pt>
                      <c:pt idx="731">
                        <c:v>43378</c:v>
                      </c:pt>
                      <c:pt idx="732">
                        <c:v>43381</c:v>
                      </c:pt>
                      <c:pt idx="733">
                        <c:v>43382</c:v>
                      </c:pt>
                      <c:pt idx="734">
                        <c:v>43383</c:v>
                      </c:pt>
                      <c:pt idx="735">
                        <c:v>43384</c:v>
                      </c:pt>
                      <c:pt idx="736">
                        <c:v>43385</c:v>
                      </c:pt>
                      <c:pt idx="737">
                        <c:v>43388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'tesla-stock-price (4)'!$D$23:$D$760</c15:sqref>
                        </c15:formulaRef>
                      </c:ext>
                    </c:extLst>
                    <c:numCache>
                      <c:formatCode>General</c:formatCode>
                      <c:ptCount val="738"/>
                      <c:pt idx="0">
                        <c:v>6.1500000000000057</c:v>
                      </c:pt>
                      <c:pt idx="1">
                        <c:v>6.1200000000000045</c:v>
                      </c:pt>
                      <c:pt idx="2">
                        <c:v>1.3100000000000023</c:v>
                      </c:pt>
                      <c:pt idx="3">
                        <c:v>0.25999999999999091</c:v>
                      </c:pt>
                      <c:pt idx="4">
                        <c:v>0.52000000000001023</c:v>
                      </c:pt>
                      <c:pt idx="5">
                        <c:v>5.6500000000000057</c:v>
                      </c:pt>
                      <c:pt idx="6">
                        <c:v>-10.560000000000002</c:v>
                      </c:pt>
                      <c:pt idx="7">
                        <c:v>-9.9699999999999989</c:v>
                      </c:pt>
                      <c:pt idx="8">
                        <c:v>-12.350000000000023</c:v>
                      </c:pt>
                      <c:pt idx="9">
                        <c:v>-7.5800000000000125</c:v>
                      </c:pt>
                      <c:pt idx="10">
                        <c:v>1.75</c:v>
                      </c:pt>
                      <c:pt idx="11">
                        <c:v>10.559999999999974</c:v>
                      </c:pt>
                      <c:pt idx="12">
                        <c:v>18.670000000000016</c:v>
                      </c:pt>
                      <c:pt idx="13">
                        <c:v>23.069999999999993</c:v>
                      </c:pt>
                      <c:pt idx="14">
                        <c:v>22.879999999999995</c:v>
                      </c:pt>
                      <c:pt idx="15">
                        <c:v>17.990000000000009</c:v>
                      </c:pt>
                      <c:pt idx="16">
                        <c:v>11.640000000000015</c:v>
                      </c:pt>
                      <c:pt idx="17">
                        <c:v>8.5799999999999841</c:v>
                      </c:pt>
                      <c:pt idx="18">
                        <c:v>11.120000000000005</c:v>
                      </c:pt>
                      <c:pt idx="19">
                        <c:v>8.9699999999999989</c:v>
                      </c:pt>
                      <c:pt idx="20">
                        <c:v>6.2700000000000102</c:v>
                      </c:pt>
                      <c:pt idx="21">
                        <c:v>-2.5699999999999932</c:v>
                      </c:pt>
                      <c:pt idx="22">
                        <c:v>-14.590000000000003</c:v>
                      </c:pt>
                      <c:pt idx="23">
                        <c:v>-11.679999999999978</c:v>
                      </c:pt>
                      <c:pt idx="24">
                        <c:v>-16.099999999999994</c:v>
                      </c:pt>
                      <c:pt idx="25">
                        <c:v>2.5199999999999818</c:v>
                      </c:pt>
                      <c:pt idx="26">
                        <c:v>0.6799999999999784</c:v>
                      </c:pt>
                      <c:pt idx="27">
                        <c:v>8.0000000000012506E-2</c:v>
                      </c:pt>
                      <c:pt idx="28">
                        <c:v>1.4300000000000068</c:v>
                      </c:pt>
                      <c:pt idx="29">
                        <c:v>3.2299999999999898</c:v>
                      </c:pt>
                      <c:pt idx="30">
                        <c:v>5.1799999999999784</c:v>
                      </c:pt>
                      <c:pt idx="31">
                        <c:v>3.5</c:v>
                      </c:pt>
                      <c:pt idx="32">
                        <c:v>11.929999999999978</c:v>
                      </c:pt>
                      <c:pt idx="33">
                        <c:v>18.609999999999985</c:v>
                      </c:pt>
                      <c:pt idx="34">
                        <c:v>17</c:v>
                      </c:pt>
                      <c:pt idx="35">
                        <c:v>5.5</c:v>
                      </c:pt>
                      <c:pt idx="36">
                        <c:v>-9.9799999999999898</c:v>
                      </c:pt>
                      <c:pt idx="37">
                        <c:v>-7.0300000000000011</c:v>
                      </c:pt>
                      <c:pt idx="38">
                        <c:v>-13.52000000000001</c:v>
                      </c:pt>
                      <c:pt idx="39">
                        <c:v>-14.299999999999983</c:v>
                      </c:pt>
                      <c:pt idx="40">
                        <c:v>-18.699999999999989</c:v>
                      </c:pt>
                      <c:pt idx="41">
                        <c:v>-22.72</c:v>
                      </c:pt>
                      <c:pt idx="42">
                        <c:v>-18.97999999999999</c:v>
                      </c:pt>
                      <c:pt idx="43">
                        <c:v>-36.879999999999995</c:v>
                      </c:pt>
                      <c:pt idx="44">
                        <c:v>-31.909999999999997</c:v>
                      </c:pt>
                      <c:pt idx="45">
                        <c:v>-35.019999999999982</c:v>
                      </c:pt>
                      <c:pt idx="46">
                        <c:v>-18.689999999999998</c:v>
                      </c:pt>
                      <c:pt idx="47">
                        <c:v>-24.730000000000018</c:v>
                      </c:pt>
                      <c:pt idx="48">
                        <c:v>-19.069999999999993</c:v>
                      </c:pt>
                      <c:pt idx="49">
                        <c:v>-13.099999999999994</c:v>
                      </c:pt>
                      <c:pt idx="50">
                        <c:v>-14.620000000000005</c:v>
                      </c:pt>
                      <c:pt idx="51">
                        <c:v>-14.289999999999992</c:v>
                      </c:pt>
                      <c:pt idx="52">
                        <c:v>-21.900000000000006</c:v>
                      </c:pt>
                      <c:pt idx="53">
                        <c:v>-10.610000000000014</c:v>
                      </c:pt>
                      <c:pt idx="54">
                        <c:v>-14.980000000000018</c:v>
                      </c:pt>
                      <c:pt idx="55">
                        <c:v>-8.0500000000000114</c:v>
                      </c:pt>
                      <c:pt idx="56">
                        <c:v>-21.939999999999998</c:v>
                      </c:pt>
                      <c:pt idx="57">
                        <c:v>-25.22</c:v>
                      </c:pt>
                      <c:pt idx="58">
                        <c:v>-24.639999999999986</c:v>
                      </c:pt>
                      <c:pt idx="59">
                        <c:v>-39.950000000000017</c:v>
                      </c:pt>
                      <c:pt idx="60">
                        <c:v>-48.389999999999986</c:v>
                      </c:pt>
                      <c:pt idx="61">
                        <c:v>-45.31</c:v>
                      </c:pt>
                      <c:pt idx="62">
                        <c:v>-44.400000000000006</c:v>
                      </c:pt>
                      <c:pt idx="63">
                        <c:v>-39.22999999999999</c:v>
                      </c:pt>
                      <c:pt idx="64">
                        <c:v>-40.159999999999997</c:v>
                      </c:pt>
                      <c:pt idx="65">
                        <c:v>-41.77000000000001</c:v>
                      </c:pt>
                      <c:pt idx="66">
                        <c:v>-14.099999999999994</c:v>
                      </c:pt>
                      <c:pt idx="67">
                        <c:v>-6.7099999999999795</c:v>
                      </c:pt>
                      <c:pt idx="68">
                        <c:v>-8.75</c:v>
                      </c:pt>
                      <c:pt idx="69">
                        <c:v>15.140000000000015</c:v>
                      </c:pt>
                      <c:pt idx="70">
                        <c:v>29.22</c:v>
                      </c:pt>
                      <c:pt idx="71">
                        <c:v>30.75</c:v>
                      </c:pt>
                      <c:pt idx="72">
                        <c:v>43.760000000000019</c:v>
                      </c:pt>
                      <c:pt idx="73">
                        <c:v>39.870000000000005</c:v>
                      </c:pt>
                      <c:pt idx="74">
                        <c:v>40.890000000000015</c:v>
                      </c:pt>
                      <c:pt idx="75">
                        <c:v>31.180000000000007</c:v>
                      </c:pt>
                      <c:pt idx="76">
                        <c:v>19.659999999999997</c:v>
                      </c:pt>
                      <c:pt idx="77">
                        <c:v>28.97</c:v>
                      </c:pt>
                      <c:pt idx="78">
                        <c:v>34.45999999999998</c:v>
                      </c:pt>
                      <c:pt idx="79">
                        <c:v>27.549999999999983</c:v>
                      </c:pt>
                      <c:pt idx="80">
                        <c:v>25.389999999999986</c:v>
                      </c:pt>
                      <c:pt idx="81">
                        <c:v>29.72</c:v>
                      </c:pt>
                      <c:pt idx="82">
                        <c:v>17.75</c:v>
                      </c:pt>
                      <c:pt idx="83">
                        <c:v>17.159999999999997</c:v>
                      </c:pt>
                      <c:pt idx="84">
                        <c:v>23.22</c:v>
                      </c:pt>
                      <c:pt idx="85">
                        <c:v>31.990000000000009</c:v>
                      </c:pt>
                      <c:pt idx="86">
                        <c:v>33.590000000000003</c:v>
                      </c:pt>
                      <c:pt idx="87">
                        <c:v>30.639999999999986</c:v>
                      </c:pt>
                      <c:pt idx="88">
                        <c:v>31.700000000000017</c:v>
                      </c:pt>
                      <c:pt idx="89">
                        <c:v>33.03</c:v>
                      </c:pt>
                      <c:pt idx="90">
                        <c:v>31.640000000000015</c:v>
                      </c:pt>
                      <c:pt idx="91">
                        <c:v>13.860000000000014</c:v>
                      </c:pt>
                      <c:pt idx="92">
                        <c:v>22.569999999999993</c:v>
                      </c:pt>
                      <c:pt idx="93">
                        <c:v>22.759999999999991</c:v>
                      </c:pt>
                      <c:pt idx="94">
                        <c:v>14.97999999999999</c:v>
                      </c:pt>
                      <c:pt idx="95">
                        <c:v>8.5499999999999829</c:v>
                      </c:pt>
                      <c:pt idx="96">
                        <c:v>7.8400000000000034</c:v>
                      </c:pt>
                      <c:pt idx="97">
                        <c:v>11.210000000000008</c:v>
                      </c:pt>
                      <c:pt idx="98">
                        <c:v>14.25</c:v>
                      </c:pt>
                      <c:pt idx="99">
                        <c:v>17.150000000000006</c:v>
                      </c:pt>
                      <c:pt idx="100">
                        <c:v>31.180000000000007</c:v>
                      </c:pt>
                      <c:pt idx="101">
                        <c:v>34.619999999999976</c:v>
                      </c:pt>
                      <c:pt idx="102">
                        <c:v>22.319999999999993</c:v>
                      </c:pt>
                      <c:pt idx="103">
                        <c:v>19.659999999999997</c:v>
                      </c:pt>
                      <c:pt idx="104">
                        <c:v>17.689999999999998</c:v>
                      </c:pt>
                      <c:pt idx="105">
                        <c:v>27.640000000000015</c:v>
                      </c:pt>
                      <c:pt idx="106">
                        <c:v>22.090000000000003</c:v>
                      </c:pt>
                      <c:pt idx="107">
                        <c:v>16.919999999999987</c:v>
                      </c:pt>
                      <c:pt idx="108">
                        <c:v>6.8899999999999864</c:v>
                      </c:pt>
                      <c:pt idx="109">
                        <c:v>-8.0999999999999943</c:v>
                      </c:pt>
                      <c:pt idx="110">
                        <c:v>-15.450000000000017</c:v>
                      </c:pt>
                      <c:pt idx="111">
                        <c:v>-8.9099999999999966</c:v>
                      </c:pt>
                      <c:pt idx="112">
                        <c:v>3.6800000000000068</c:v>
                      </c:pt>
                      <c:pt idx="113">
                        <c:v>1.9000000000000057</c:v>
                      </c:pt>
                      <c:pt idx="114">
                        <c:v>5.9200000000000159</c:v>
                      </c:pt>
                      <c:pt idx="115">
                        <c:v>-3.0600000000000023</c:v>
                      </c:pt>
                      <c:pt idx="116">
                        <c:v>-4.1500000000000057</c:v>
                      </c:pt>
                      <c:pt idx="117">
                        <c:v>-13.75</c:v>
                      </c:pt>
                      <c:pt idx="118">
                        <c:v>-12.079999999999984</c:v>
                      </c:pt>
                      <c:pt idx="119">
                        <c:v>-15.050000000000011</c:v>
                      </c:pt>
                      <c:pt idx="120">
                        <c:v>-27.409999999999997</c:v>
                      </c:pt>
                      <c:pt idx="121">
                        <c:v>-36.759999999999991</c:v>
                      </c:pt>
                      <c:pt idx="122">
                        <c:v>-38.819999999999993</c:v>
                      </c:pt>
                      <c:pt idx="123">
                        <c:v>-42.900000000000006</c:v>
                      </c:pt>
                      <c:pt idx="124">
                        <c:v>-45.050000000000011</c:v>
                      </c:pt>
                      <c:pt idx="125">
                        <c:v>-42.509999999999991</c:v>
                      </c:pt>
                      <c:pt idx="126">
                        <c:v>-40.430000000000007</c:v>
                      </c:pt>
                      <c:pt idx="127">
                        <c:v>-33.149999999999977</c:v>
                      </c:pt>
                      <c:pt idx="128">
                        <c:v>-33.510000000000019</c:v>
                      </c:pt>
                      <c:pt idx="129">
                        <c:v>-27.659999999999997</c:v>
                      </c:pt>
                      <c:pt idx="130">
                        <c:v>-11.390000000000015</c:v>
                      </c:pt>
                      <c:pt idx="131">
                        <c:v>3.6800000000000068</c:v>
                      </c:pt>
                      <c:pt idx="132">
                        <c:v>5.3499999999999943</c:v>
                      </c:pt>
                      <c:pt idx="133">
                        <c:v>7.3000000000000114</c:v>
                      </c:pt>
                      <c:pt idx="134">
                        <c:v>9.2199999999999989</c:v>
                      </c:pt>
                      <c:pt idx="135">
                        <c:v>10.620000000000005</c:v>
                      </c:pt>
                      <c:pt idx="136">
                        <c:v>17.840000000000003</c:v>
                      </c:pt>
                      <c:pt idx="137">
                        <c:v>15.429999999999978</c:v>
                      </c:pt>
                      <c:pt idx="138">
                        <c:v>14.939999999999998</c:v>
                      </c:pt>
                      <c:pt idx="139">
                        <c:v>14.900000000000006</c:v>
                      </c:pt>
                      <c:pt idx="140">
                        <c:v>7.7900000000000205</c:v>
                      </c:pt>
                      <c:pt idx="141">
                        <c:v>3.7800000000000011</c:v>
                      </c:pt>
                      <c:pt idx="142">
                        <c:v>0.40000000000000568</c:v>
                      </c:pt>
                      <c:pt idx="143">
                        <c:v>16.120000000000005</c:v>
                      </c:pt>
                      <c:pt idx="144">
                        <c:v>17.610000000000014</c:v>
                      </c:pt>
                      <c:pt idx="145">
                        <c:v>9.7800000000000011</c:v>
                      </c:pt>
                      <c:pt idx="146">
                        <c:v>-6.3300000000000125</c:v>
                      </c:pt>
                      <c:pt idx="147">
                        <c:v>-5.1699999999999875</c:v>
                      </c:pt>
                      <c:pt idx="148">
                        <c:v>-8.2699999999999818</c:v>
                      </c:pt>
                      <c:pt idx="149">
                        <c:v>-1.8600000000000136</c:v>
                      </c:pt>
                      <c:pt idx="150">
                        <c:v>-1.0300000000000011</c:v>
                      </c:pt>
                      <c:pt idx="151">
                        <c:v>-3.5200000000000102</c:v>
                      </c:pt>
                      <c:pt idx="152">
                        <c:v>-0.98000000000001819</c:v>
                      </c:pt>
                      <c:pt idx="153">
                        <c:v>-12.72999999999999</c:v>
                      </c:pt>
                      <c:pt idx="154">
                        <c:v>-38.860000000000014</c:v>
                      </c:pt>
                      <c:pt idx="155">
                        <c:v>-32.960000000000008</c:v>
                      </c:pt>
                      <c:pt idx="156">
                        <c:v>-25.639999999999986</c:v>
                      </c:pt>
                      <c:pt idx="157">
                        <c:v>-19.319999999999993</c:v>
                      </c:pt>
                      <c:pt idx="158">
                        <c:v>-13.170000000000016</c:v>
                      </c:pt>
                      <c:pt idx="159">
                        <c:v>-7.5099999999999909</c:v>
                      </c:pt>
                      <c:pt idx="160">
                        <c:v>-5.6500000000000057</c:v>
                      </c:pt>
                      <c:pt idx="161">
                        <c:v>1.0300000000000011</c:v>
                      </c:pt>
                      <c:pt idx="162">
                        <c:v>-5.7199999999999989</c:v>
                      </c:pt>
                      <c:pt idx="163">
                        <c:v>-5.1700000000000159</c:v>
                      </c:pt>
                      <c:pt idx="164">
                        <c:v>19.28</c:v>
                      </c:pt>
                      <c:pt idx="165">
                        <c:v>20.379999999999995</c:v>
                      </c:pt>
                      <c:pt idx="166">
                        <c:v>31.629999999999995</c:v>
                      </c:pt>
                      <c:pt idx="167">
                        <c:v>26.099999999999994</c:v>
                      </c:pt>
                      <c:pt idx="168">
                        <c:v>20.740000000000009</c:v>
                      </c:pt>
                      <c:pt idx="169">
                        <c:v>11.340000000000003</c:v>
                      </c:pt>
                      <c:pt idx="170">
                        <c:v>8.1200000000000045</c:v>
                      </c:pt>
                      <c:pt idx="171">
                        <c:v>9.75</c:v>
                      </c:pt>
                      <c:pt idx="172">
                        <c:v>11.280000000000001</c:v>
                      </c:pt>
                      <c:pt idx="173">
                        <c:v>13.920000000000016</c:v>
                      </c:pt>
                      <c:pt idx="174">
                        <c:v>4.5600000000000023</c:v>
                      </c:pt>
                      <c:pt idx="175">
                        <c:v>5.4900000000000091</c:v>
                      </c:pt>
                      <c:pt idx="176">
                        <c:v>5.2299999999999898</c:v>
                      </c:pt>
                      <c:pt idx="177">
                        <c:v>4.8599999999999852</c:v>
                      </c:pt>
                      <c:pt idx="178">
                        <c:v>5.960000000000008</c:v>
                      </c:pt>
                      <c:pt idx="179">
                        <c:v>9.0800000000000125</c:v>
                      </c:pt>
                      <c:pt idx="180">
                        <c:v>14.389999999999986</c:v>
                      </c:pt>
                      <c:pt idx="181">
                        <c:v>3.7599999999999909</c:v>
                      </c:pt>
                      <c:pt idx="182">
                        <c:v>1.9399999999999977</c:v>
                      </c:pt>
                      <c:pt idx="183">
                        <c:v>-2.5700000000000216</c:v>
                      </c:pt>
                      <c:pt idx="184">
                        <c:v>10.110000000000014</c:v>
                      </c:pt>
                      <c:pt idx="185">
                        <c:v>7.7599999999999909</c:v>
                      </c:pt>
                      <c:pt idx="186">
                        <c:v>-3.8499999999999943</c:v>
                      </c:pt>
                      <c:pt idx="187">
                        <c:v>-0.4299999999999784</c:v>
                      </c:pt>
                      <c:pt idx="188">
                        <c:v>-2.8400000000000034</c:v>
                      </c:pt>
                      <c:pt idx="189">
                        <c:v>-5.7000000000000171</c:v>
                      </c:pt>
                      <c:pt idx="190">
                        <c:v>-9.1799999999999784</c:v>
                      </c:pt>
                      <c:pt idx="191">
                        <c:v>-4.4199999999999875</c:v>
                      </c:pt>
                      <c:pt idx="192">
                        <c:v>-3.589999999999975</c:v>
                      </c:pt>
                      <c:pt idx="193">
                        <c:v>-2.5499999999999829</c:v>
                      </c:pt>
                      <c:pt idx="194">
                        <c:v>-7.1000000000000227</c:v>
                      </c:pt>
                      <c:pt idx="195">
                        <c:v>-5.0300000000000011</c:v>
                      </c:pt>
                      <c:pt idx="196">
                        <c:v>-3.2299999999999898</c:v>
                      </c:pt>
                      <c:pt idx="197">
                        <c:v>-4.2400000000000091</c:v>
                      </c:pt>
                      <c:pt idx="198">
                        <c:v>-3.0300000000000011</c:v>
                      </c:pt>
                      <c:pt idx="199">
                        <c:v>-3.9499999999999886</c:v>
                      </c:pt>
                      <c:pt idx="200">
                        <c:v>-5.6200000000000045</c:v>
                      </c:pt>
                      <c:pt idx="201">
                        <c:v>-10.390000000000015</c:v>
                      </c:pt>
                      <c:pt idx="202">
                        <c:v>-12.27000000000001</c:v>
                      </c:pt>
                      <c:pt idx="203">
                        <c:v>-11.230000000000018</c:v>
                      </c:pt>
                      <c:pt idx="204">
                        <c:v>-22.739999999999981</c:v>
                      </c:pt>
                      <c:pt idx="205">
                        <c:v>-27.22</c:v>
                      </c:pt>
                      <c:pt idx="206">
                        <c:v>-20.099999999999994</c:v>
                      </c:pt>
                      <c:pt idx="207">
                        <c:v>-23.129999999999995</c:v>
                      </c:pt>
                      <c:pt idx="208">
                        <c:v>-25.259999999999991</c:v>
                      </c:pt>
                      <c:pt idx="209">
                        <c:v>-26.490000000000009</c:v>
                      </c:pt>
                      <c:pt idx="210">
                        <c:v>-21.689999999999998</c:v>
                      </c:pt>
                      <c:pt idx="211">
                        <c:v>-19.149999999999977</c:v>
                      </c:pt>
                      <c:pt idx="212">
                        <c:v>-14.930000000000007</c:v>
                      </c:pt>
                      <c:pt idx="213">
                        <c:v>-11.590000000000003</c:v>
                      </c:pt>
                      <c:pt idx="214">
                        <c:v>4.6299999999999955</c:v>
                      </c:pt>
                      <c:pt idx="215">
                        <c:v>8.5600000000000023</c:v>
                      </c:pt>
                      <c:pt idx="216">
                        <c:v>1.8099999999999739</c:v>
                      </c:pt>
                      <c:pt idx="217">
                        <c:v>3.5099999999999909</c:v>
                      </c:pt>
                      <c:pt idx="218">
                        <c:v>9.0699999999999932</c:v>
                      </c:pt>
                      <c:pt idx="219">
                        <c:v>12.97999999999999</c:v>
                      </c:pt>
                      <c:pt idx="220">
                        <c:v>10.689999999999998</c:v>
                      </c:pt>
                      <c:pt idx="221">
                        <c:v>9.7599999999999909</c:v>
                      </c:pt>
                      <c:pt idx="222">
                        <c:v>9.8600000000000136</c:v>
                      </c:pt>
                      <c:pt idx="223">
                        <c:v>0.28000000000000114</c:v>
                      </c:pt>
                      <c:pt idx="224">
                        <c:v>-1.3700000000000045</c:v>
                      </c:pt>
                      <c:pt idx="225">
                        <c:v>7.3599999999999852</c:v>
                      </c:pt>
                      <c:pt idx="226">
                        <c:v>6.7700000000000102</c:v>
                      </c:pt>
                      <c:pt idx="227">
                        <c:v>3.2400000000000091</c:v>
                      </c:pt>
                      <c:pt idx="228">
                        <c:v>-5.4300000000000068</c:v>
                      </c:pt>
                      <c:pt idx="229">
                        <c:v>-10.839999999999975</c:v>
                      </c:pt>
                      <c:pt idx="230">
                        <c:v>-8.0400000000000205</c:v>
                      </c:pt>
                      <c:pt idx="231">
                        <c:v>-5.710000000000008</c:v>
                      </c:pt>
                      <c:pt idx="232">
                        <c:v>-4.7600000000000193</c:v>
                      </c:pt>
                      <c:pt idx="233">
                        <c:v>-0.45999999999997954</c:v>
                      </c:pt>
                      <c:pt idx="234">
                        <c:v>-7.5200000000000102</c:v>
                      </c:pt>
                      <c:pt idx="235">
                        <c:v>-19.739999999999981</c:v>
                      </c:pt>
                      <c:pt idx="236">
                        <c:v>-12.310000000000002</c:v>
                      </c:pt>
                      <c:pt idx="237">
                        <c:v>-4.9000000000000057</c:v>
                      </c:pt>
                      <c:pt idx="238">
                        <c:v>-1.9000000000000057</c:v>
                      </c:pt>
                      <c:pt idx="239">
                        <c:v>3.4799999999999898</c:v>
                      </c:pt>
                      <c:pt idx="240">
                        <c:v>1.8100000000000023</c:v>
                      </c:pt>
                      <c:pt idx="241">
                        <c:v>2.2400000000000091</c:v>
                      </c:pt>
                      <c:pt idx="242">
                        <c:v>0.73000000000001819</c:v>
                      </c:pt>
                      <c:pt idx="243">
                        <c:v>3.7699999999999818</c:v>
                      </c:pt>
                      <c:pt idx="244">
                        <c:v>3.460000000000008</c:v>
                      </c:pt>
                      <c:pt idx="245">
                        <c:v>3.7699999999999818</c:v>
                      </c:pt>
                      <c:pt idx="246">
                        <c:v>-8.3100000000000023</c:v>
                      </c:pt>
                      <c:pt idx="247">
                        <c:v>-15.539999999999992</c:v>
                      </c:pt>
                      <c:pt idx="248">
                        <c:v>-11.680000000000007</c:v>
                      </c:pt>
                      <c:pt idx="249">
                        <c:v>-9.5300000000000011</c:v>
                      </c:pt>
                      <c:pt idx="250">
                        <c:v>-9.5499999999999829</c:v>
                      </c:pt>
                      <c:pt idx="251">
                        <c:v>-7.4000000000000057</c:v>
                      </c:pt>
                      <c:pt idx="252">
                        <c:v>-12.180000000000007</c:v>
                      </c:pt>
                      <c:pt idx="253">
                        <c:v>-18.659999999999997</c:v>
                      </c:pt>
                      <c:pt idx="254">
                        <c:v>-11.409999999999997</c:v>
                      </c:pt>
                      <c:pt idx="255">
                        <c:v>-16.28</c:v>
                      </c:pt>
                      <c:pt idx="256">
                        <c:v>-7.0199999999999818</c:v>
                      </c:pt>
                      <c:pt idx="257">
                        <c:v>-4.0900000000000034</c:v>
                      </c:pt>
                      <c:pt idx="258">
                        <c:v>1.2400000000000091</c:v>
                      </c:pt>
                      <c:pt idx="259">
                        <c:v>-5.539999999999992</c:v>
                      </c:pt>
                      <c:pt idx="260">
                        <c:v>-8.6899999999999977</c:v>
                      </c:pt>
                      <c:pt idx="261">
                        <c:v>-3.7700000000000102</c:v>
                      </c:pt>
                      <c:pt idx="262">
                        <c:v>3.0799999999999841</c:v>
                      </c:pt>
                      <c:pt idx="263">
                        <c:v>11.300000000000011</c:v>
                      </c:pt>
                      <c:pt idx="264">
                        <c:v>7.5600000000000023</c:v>
                      </c:pt>
                      <c:pt idx="265">
                        <c:v>8.1200000000000045</c:v>
                      </c:pt>
                      <c:pt idx="266">
                        <c:v>5.6299999999999955</c:v>
                      </c:pt>
                      <c:pt idx="267">
                        <c:v>-2.0500000000000114</c:v>
                      </c:pt>
                      <c:pt idx="268">
                        <c:v>-7.1899999999999977</c:v>
                      </c:pt>
                      <c:pt idx="269">
                        <c:v>1.7800000000000011</c:v>
                      </c:pt>
                      <c:pt idx="270">
                        <c:v>1.3299999999999841</c:v>
                      </c:pt>
                      <c:pt idx="271">
                        <c:v>1.9800000000000182</c:v>
                      </c:pt>
                      <c:pt idx="272">
                        <c:v>-0.84999999999999432</c:v>
                      </c:pt>
                      <c:pt idx="273">
                        <c:v>-4.4699999999999989</c:v>
                      </c:pt>
                      <c:pt idx="274">
                        <c:v>-3.6899999999999977</c:v>
                      </c:pt>
                      <c:pt idx="275">
                        <c:v>8.5800000000000125</c:v>
                      </c:pt>
                      <c:pt idx="276">
                        <c:v>9.289999999999992</c:v>
                      </c:pt>
                      <c:pt idx="277">
                        <c:v>15.700000000000017</c:v>
                      </c:pt>
                      <c:pt idx="278">
                        <c:v>21.02000000000001</c:v>
                      </c:pt>
                      <c:pt idx="279">
                        <c:v>15.929999999999978</c:v>
                      </c:pt>
                      <c:pt idx="280">
                        <c:v>22.939999999999998</c:v>
                      </c:pt>
                      <c:pt idx="281">
                        <c:v>14.549999999999983</c:v>
                      </c:pt>
                      <c:pt idx="282">
                        <c:v>16.159999999999997</c:v>
                      </c:pt>
                      <c:pt idx="283">
                        <c:v>21.159999999999997</c:v>
                      </c:pt>
                      <c:pt idx="284">
                        <c:v>27.099999999999994</c:v>
                      </c:pt>
                      <c:pt idx="285">
                        <c:v>21.590000000000003</c:v>
                      </c:pt>
                      <c:pt idx="286">
                        <c:v>15.990000000000009</c:v>
                      </c:pt>
                      <c:pt idx="287">
                        <c:v>16.109999999999985</c:v>
                      </c:pt>
                      <c:pt idx="288">
                        <c:v>14.5</c:v>
                      </c:pt>
                      <c:pt idx="289">
                        <c:v>24.260000000000019</c:v>
                      </c:pt>
                      <c:pt idx="290">
                        <c:v>17.960000000000008</c:v>
                      </c:pt>
                      <c:pt idx="291">
                        <c:v>21.310000000000002</c:v>
                      </c:pt>
                      <c:pt idx="292">
                        <c:v>22.830000000000013</c:v>
                      </c:pt>
                      <c:pt idx="293">
                        <c:v>16.53</c:v>
                      </c:pt>
                      <c:pt idx="294">
                        <c:v>10.199999999999989</c:v>
                      </c:pt>
                      <c:pt idx="295">
                        <c:v>9.8499999999999943</c:v>
                      </c:pt>
                      <c:pt idx="296">
                        <c:v>23.069999999999993</c:v>
                      </c:pt>
                      <c:pt idx="297">
                        <c:v>21.890000000000015</c:v>
                      </c:pt>
                      <c:pt idx="298">
                        <c:v>21.370000000000005</c:v>
                      </c:pt>
                      <c:pt idx="299">
                        <c:v>16.769999999999982</c:v>
                      </c:pt>
                      <c:pt idx="300">
                        <c:v>17.97999999999999</c:v>
                      </c:pt>
                      <c:pt idx="301">
                        <c:v>19.909999999999997</c:v>
                      </c:pt>
                      <c:pt idx="302">
                        <c:v>23.330000000000013</c:v>
                      </c:pt>
                      <c:pt idx="303">
                        <c:v>24.599999999999994</c:v>
                      </c:pt>
                      <c:pt idx="304">
                        <c:v>22.78</c:v>
                      </c:pt>
                      <c:pt idx="305">
                        <c:v>23.359999999999985</c:v>
                      </c:pt>
                      <c:pt idx="306">
                        <c:v>12.879999999999995</c:v>
                      </c:pt>
                      <c:pt idx="307">
                        <c:v>16.349999999999994</c:v>
                      </c:pt>
                      <c:pt idx="308">
                        <c:v>10.879999999999995</c:v>
                      </c:pt>
                      <c:pt idx="309">
                        <c:v>7.7900000000000205</c:v>
                      </c:pt>
                      <c:pt idx="310">
                        <c:v>6.6000000000000227</c:v>
                      </c:pt>
                      <c:pt idx="311">
                        <c:v>8.8499999999999943</c:v>
                      </c:pt>
                      <c:pt idx="312">
                        <c:v>2.8700000000000045</c:v>
                      </c:pt>
                      <c:pt idx="313">
                        <c:v>7.6099999999999852</c:v>
                      </c:pt>
                      <c:pt idx="314">
                        <c:v>16.689999999999998</c:v>
                      </c:pt>
                      <c:pt idx="315">
                        <c:v>16.28000000000003</c:v>
                      </c:pt>
                      <c:pt idx="316">
                        <c:v>29.970000000000027</c:v>
                      </c:pt>
                      <c:pt idx="317">
                        <c:v>29.050000000000011</c:v>
                      </c:pt>
                      <c:pt idx="318">
                        <c:v>30.519999999999982</c:v>
                      </c:pt>
                      <c:pt idx="319">
                        <c:v>17.399999999999977</c:v>
                      </c:pt>
                      <c:pt idx="320">
                        <c:v>20.900000000000006</c:v>
                      </c:pt>
                      <c:pt idx="321">
                        <c:v>19.620000000000005</c:v>
                      </c:pt>
                      <c:pt idx="322">
                        <c:v>16.029999999999973</c:v>
                      </c:pt>
                      <c:pt idx="323">
                        <c:v>-6.089999999999975</c:v>
                      </c:pt>
                      <c:pt idx="324">
                        <c:v>-12.199999999999989</c:v>
                      </c:pt>
                      <c:pt idx="325">
                        <c:v>-23.000000000000028</c:v>
                      </c:pt>
                      <c:pt idx="326">
                        <c:v>-30.610000000000014</c:v>
                      </c:pt>
                      <c:pt idx="327">
                        <c:v>-30.960000000000008</c:v>
                      </c:pt>
                      <c:pt idx="328">
                        <c:v>-29.28</c:v>
                      </c:pt>
                      <c:pt idx="329">
                        <c:v>-17.379999999999995</c:v>
                      </c:pt>
                      <c:pt idx="330">
                        <c:v>-21.02000000000001</c:v>
                      </c:pt>
                      <c:pt idx="331">
                        <c:v>-28.799999999999983</c:v>
                      </c:pt>
                      <c:pt idx="332">
                        <c:v>-26.639999999999986</c:v>
                      </c:pt>
                      <c:pt idx="333">
                        <c:v>-11.090000000000003</c:v>
                      </c:pt>
                      <c:pt idx="334">
                        <c:v>-13.310000000000002</c:v>
                      </c:pt>
                      <c:pt idx="335">
                        <c:v>-6.0000000000002274E-2</c:v>
                      </c:pt>
                      <c:pt idx="336">
                        <c:v>8.0099999999999909</c:v>
                      </c:pt>
                      <c:pt idx="337">
                        <c:v>5.7099999999999795</c:v>
                      </c:pt>
                      <c:pt idx="338">
                        <c:v>11.570000000000022</c:v>
                      </c:pt>
                      <c:pt idx="339">
                        <c:v>9.9300000000000068</c:v>
                      </c:pt>
                      <c:pt idx="340">
                        <c:v>10.710000000000008</c:v>
                      </c:pt>
                      <c:pt idx="341">
                        <c:v>2.0900000000000034</c:v>
                      </c:pt>
                      <c:pt idx="342">
                        <c:v>8.1399999999999864</c:v>
                      </c:pt>
                      <c:pt idx="343">
                        <c:v>9.8799999999999955</c:v>
                      </c:pt>
                      <c:pt idx="344">
                        <c:v>19.470000000000027</c:v>
                      </c:pt>
                      <c:pt idx="345">
                        <c:v>24.05000000000004</c:v>
                      </c:pt>
                      <c:pt idx="346">
                        <c:v>19.449999999999989</c:v>
                      </c:pt>
                      <c:pt idx="347">
                        <c:v>21.650000000000006</c:v>
                      </c:pt>
                      <c:pt idx="348">
                        <c:v>15.870000000000005</c:v>
                      </c:pt>
                      <c:pt idx="349">
                        <c:v>16.800000000000011</c:v>
                      </c:pt>
                      <c:pt idx="350">
                        <c:v>36.599999999999966</c:v>
                      </c:pt>
                      <c:pt idx="351">
                        <c:v>53.019999999999982</c:v>
                      </c:pt>
                      <c:pt idx="352">
                        <c:v>39.990000000000009</c:v>
                      </c:pt>
                      <c:pt idx="353">
                        <c:v>43.919999999999987</c:v>
                      </c:pt>
                      <c:pt idx="354">
                        <c:v>39.379999999999995</c:v>
                      </c:pt>
                      <c:pt idx="355">
                        <c:v>42.169999999999959</c:v>
                      </c:pt>
                      <c:pt idx="356">
                        <c:v>31.259999999999991</c:v>
                      </c:pt>
                      <c:pt idx="357">
                        <c:v>19.45999999999998</c:v>
                      </c:pt>
                      <c:pt idx="358">
                        <c:v>26.079999999999984</c:v>
                      </c:pt>
                      <c:pt idx="359">
                        <c:v>23.139999999999986</c:v>
                      </c:pt>
                      <c:pt idx="360">
                        <c:v>1.7300000000000182</c:v>
                      </c:pt>
                      <c:pt idx="361">
                        <c:v>1.8199999999999932</c:v>
                      </c:pt>
                      <c:pt idx="362">
                        <c:v>7.5099999999999909</c:v>
                      </c:pt>
                      <c:pt idx="363">
                        <c:v>6.9000000000000341</c:v>
                      </c:pt>
                      <c:pt idx="364">
                        <c:v>5.4899999999999523</c:v>
                      </c:pt>
                      <c:pt idx="365">
                        <c:v>1.4000000000000341</c:v>
                      </c:pt>
                      <c:pt idx="366">
                        <c:v>1.4600000000000364</c:v>
                      </c:pt>
                      <c:pt idx="367">
                        <c:v>11.79000000000002</c:v>
                      </c:pt>
                      <c:pt idx="368">
                        <c:v>10.069999999999993</c:v>
                      </c:pt>
                      <c:pt idx="369">
                        <c:v>21.389999999999986</c:v>
                      </c:pt>
                      <c:pt idx="370">
                        <c:v>18.639999999999986</c:v>
                      </c:pt>
                      <c:pt idx="371">
                        <c:v>5.5</c:v>
                      </c:pt>
                      <c:pt idx="372">
                        <c:v>-7.0500000000000114</c:v>
                      </c:pt>
                      <c:pt idx="373">
                        <c:v>2.75</c:v>
                      </c:pt>
                      <c:pt idx="374">
                        <c:v>-0.83999999999997499</c:v>
                      </c:pt>
                      <c:pt idx="375">
                        <c:v>7.4699999999999704</c:v>
                      </c:pt>
                      <c:pt idx="376">
                        <c:v>15.050000000000011</c:v>
                      </c:pt>
                      <c:pt idx="377">
                        <c:v>14.470000000000027</c:v>
                      </c:pt>
                      <c:pt idx="378">
                        <c:v>10.740000000000009</c:v>
                      </c:pt>
                      <c:pt idx="379">
                        <c:v>-6.9499999999999886</c:v>
                      </c:pt>
                      <c:pt idx="380">
                        <c:v>-1.8799999999999955</c:v>
                      </c:pt>
                      <c:pt idx="381">
                        <c:v>-4.9099999999999682</c:v>
                      </c:pt>
                      <c:pt idx="382">
                        <c:v>17.600000000000023</c:v>
                      </c:pt>
                      <c:pt idx="383">
                        <c:v>2.4799999999999613</c:v>
                      </c:pt>
                      <c:pt idx="384">
                        <c:v>3.160000000000025</c:v>
                      </c:pt>
                      <c:pt idx="385">
                        <c:v>-17.399999999999977</c:v>
                      </c:pt>
                      <c:pt idx="386">
                        <c:v>-15</c:v>
                      </c:pt>
                      <c:pt idx="387">
                        <c:v>-6.2700000000000387</c:v>
                      </c:pt>
                      <c:pt idx="388">
                        <c:v>0.32999999999998408</c:v>
                      </c:pt>
                      <c:pt idx="389">
                        <c:v>19.220000000000027</c:v>
                      </c:pt>
                      <c:pt idx="390">
                        <c:v>24</c:v>
                      </c:pt>
                      <c:pt idx="391">
                        <c:v>34.259999999999991</c:v>
                      </c:pt>
                      <c:pt idx="392">
                        <c:v>26.79000000000002</c:v>
                      </c:pt>
                      <c:pt idx="393">
                        <c:v>36.490000000000009</c:v>
                      </c:pt>
                      <c:pt idx="394">
                        <c:v>42.5</c:v>
                      </c:pt>
                      <c:pt idx="395">
                        <c:v>55.789999999999964</c:v>
                      </c:pt>
                      <c:pt idx="396">
                        <c:v>59.779999999999973</c:v>
                      </c:pt>
                      <c:pt idx="397">
                        <c:v>40.490000000000009</c:v>
                      </c:pt>
                      <c:pt idx="398">
                        <c:v>33.870000000000005</c:v>
                      </c:pt>
                      <c:pt idx="399">
                        <c:v>40.849999999999966</c:v>
                      </c:pt>
                      <c:pt idx="400">
                        <c:v>39.650000000000034</c:v>
                      </c:pt>
                      <c:pt idx="401">
                        <c:v>34.96999999999997</c:v>
                      </c:pt>
                      <c:pt idx="402">
                        <c:v>31.549999999999955</c:v>
                      </c:pt>
                      <c:pt idx="403">
                        <c:v>22.480000000000018</c:v>
                      </c:pt>
                      <c:pt idx="404">
                        <c:v>19.389999999999986</c:v>
                      </c:pt>
                      <c:pt idx="405">
                        <c:v>16.75</c:v>
                      </c:pt>
                      <c:pt idx="406">
                        <c:v>12.610000000000014</c:v>
                      </c:pt>
                      <c:pt idx="407">
                        <c:v>26.129999999999995</c:v>
                      </c:pt>
                      <c:pt idx="408">
                        <c:v>18.480000000000018</c:v>
                      </c:pt>
                      <c:pt idx="409">
                        <c:v>-13.579999999999984</c:v>
                      </c:pt>
                      <c:pt idx="410">
                        <c:v>-9.4200000000000159</c:v>
                      </c:pt>
                      <c:pt idx="411">
                        <c:v>-14.589999999999975</c:v>
                      </c:pt>
                      <c:pt idx="412">
                        <c:v>-9.7899999999999636</c:v>
                      </c:pt>
                      <c:pt idx="413">
                        <c:v>-17.180000000000007</c:v>
                      </c:pt>
                      <c:pt idx="414">
                        <c:v>-45.150000000000034</c:v>
                      </c:pt>
                      <c:pt idx="415">
                        <c:v>-67.569999999999993</c:v>
                      </c:pt>
                      <c:pt idx="416">
                        <c:v>-69.389999999999986</c:v>
                      </c:pt>
                      <c:pt idx="417">
                        <c:v>-67.399999999999977</c:v>
                      </c:pt>
                      <c:pt idx="418">
                        <c:v>-50.269999999999982</c:v>
                      </c:pt>
                      <c:pt idx="419">
                        <c:v>-32.850000000000023</c:v>
                      </c:pt>
                      <c:pt idx="420">
                        <c:v>-47.829999999999984</c:v>
                      </c:pt>
                      <c:pt idx="421">
                        <c:v>-32.970000000000027</c:v>
                      </c:pt>
                      <c:pt idx="422">
                        <c:v>-42.04000000000002</c:v>
                      </c:pt>
                      <c:pt idx="423">
                        <c:v>-24.379999999999995</c:v>
                      </c:pt>
                      <c:pt idx="424">
                        <c:v>-1.8299999999999841</c:v>
                      </c:pt>
                      <c:pt idx="425">
                        <c:v>21.090000000000032</c:v>
                      </c:pt>
                      <c:pt idx="426">
                        <c:v>15.17999999999995</c:v>
                      </c:pt>
                      <c:pt idx="427">
                        <c:v>26.46999999999997</c:v>
                      </c:pt>
                      <c:pt idx="428">
                        <c:v>12.379999999999995</c:v>
                      </c:pt>
                      <c:pt idx="429">
                        <c:v>14.330000000000041</c:v>
                      </c:pt>
                      <c:pt idx="430">
                        <c:v>11.049999999999955</c:v>
                      </c:pt>
                      <c:pt idx="431">
                        <c:v>7.2900000000000205</c:v>
                      </c:pt>
                      <c:pt idx="432">
                        <c:v>3.9000000000000341</c:v>
                      </c:pt>
                      <c:pt idx="433">
                        <c:v>-8.6700000000000159</c:v>
                      </c:pt>
                      <c:pt idx="434">
                        <c:v>0.62999999999999545</c:v>
                      </c:pt>
                      <c:pt idx="435">
                        <c:v>17.169999999999959</c:v>
                      </c:pt>
                      <c:pt idx="436">
                        <c:v>28.510000000000048</c:v>
                      </c:pt>
                      <c:pt idx="437">
                        <c:v>12.650000000000034</c:v>
                      </c:pt>
                      <c:pt idx="438">
                        <c:v>25.620000000000005</c:v>
                      </c:pt>
                      <c:pt idx="439">
                        <c:v>19.67999999999995</c:v>
                      </c:pt>
                      <c:pt idx="440">
                        <c:v>20.939999999999998</c:v>
                      </c:pt>
                      <c:pt idx="441">
                        <c:v>22.800000000000011</c:v>
                      </c:pt>
                      <c:pt idx="442">
                        <c:v>40.329999999999984</c:v>
                      </c:pt>
                      <c:pt idx="443">
                        <c:v>42.759999999999991</c:v>
                      </c:pt>
                      <c:pt idx="444">
                        <c:v>37.020000000000039</c:v>
                      </c:pt>
                      <c:pt idx="445">
                        <c:v>4.8300000000000409</c:v>
                      </c:pt>
                      <c:pt idx="446">
                        <c:v>-9.4500000000000455</c:v>
                      </c:pt>
                      <c:pt idx="447">
                        <c:v>-17.310000000000002</c:v>
                      </c:pt>
                      <c:pt idx="448">
                        <c:v>-23.870000000000005</c:v>
                      </c:pt>
                      <c:pt idx="449">
                        <c:v>-10.759999999999991</c:v>
                      </c:pt>
                      <c:pt idx="450">
                        <c:v>-2.4699999999999704</c:v>
                      </c:pt>
                      <c:pt idx="451">
                        <c:v>-9.8199999999999932</c:v>
                      </c:pt>
                      <c:pt idx="452">
                        <c:v>-18.139999999999986</c:v>
                      </c:pt>
                      <c:pt idx="453">
                        <c:v>-14.96999999999997</c:v>
                      </c:pt>
                      <c:pt idx="454">
                        <c:v>-9.7300000000000182</c:v>
                      </c:pt>
                      <c:pt idx="455">
                        <c:v>3.9799999999999613</c:v>
                      </c:pt>
                      <c:pt idx="456">
                        <c:v>7.9399999999999977</c:v>
                      </c:pt>
                      <c:pt idx="457">
                        <c:v>11.729999999999961</c:v>
                      </c:pt>
                      <c:pt idx="458">
                        <c:v>3.17999999999995</c:v>
                      </c:pt>
                      <c:pt idx="459">
                        <c:v>-2.1599999999999682</c:v>
                      </c:pt>
                      <c:pt idx="460">
                        <c:v>-9.5300000000000296</c:v>
                      </c:pt>
                      <c:pt idx="461">
                        <c:v>15.639999999999986</c:v>
                      </c:pt>
                      <c:pt idx="462">
                        <c:v>17.089999999999975</c:v>
                      </c:pt>
                      <c:pt idx="463">
                        <c:v>18.870000000000005</c:v>
                      </c:pt>
                      <c:pt idx="464">
                        <c:v>24.45999999999998</c:v>
                      </c:pt>
                      <c:pt idx="465">
                        <c:v>23.910000000000025</c:v>
                      </c:pt>
                      <c:pt idx="466">
                        <c:v>29.600000000000023</c:v>
                      </c:pt>
                      <c:pt idx="467">
                        <c:v>25.510000000000048</c:v>
                      </c:pt>
                      <c:pt idx="468">
                        <c:v>29.380000000000052</c:v>
                      </c:pt>
                      <c:pt idx="469">
                        <c:v>15.870000000000005</c:v>
                      </c:pt>
                      <c:pt idx="470">
                        <c:v>7.6899999999999977</c:v>
                      </c:pt>
                      <c:pt idx="471">
                        <c:v>-18.699999999999989</c:v>
                      </c:pt>
                      <c:pt idx="472">
                        <c:v>-17.5</c:v>
                      </c:pt>
                      <c:pt idx="473">
                        <c:v>-25.259999999999991</c:v>
                      </c:pt>
                      <c:pt idx="474">
                        <c:v>-38.039999999999964</c:v>
                      </c:pt>
                      <c:pt idx="475">
                        <c:v>-38.70999999999998</c:v>
                      </c:pt>
                      <c:pt idx="476">
                        <c:v>-43.470000000000027</c:v>
                      </c:pt>
                      <c:pt idx="477">
                        <c:v>-26.960000000000036</c:v>
                      </c:pt>
                      <c:pt idx="478">
                        <c:v>-18.900000000000034</c:v>
                      </c:pt>
                      <c:pt idx="479">
                        <c:v>-11.150000000000034</c:v>
                      </c:pt>
                      <c:pt idx="480">
                        <c:v>5.7900000000000205</c:v>
                      </c:pt>
                      <c:pt idx="481">
                        <c:v>-2.0500000000000114</c:v>
                      </c:pt>
                      <c:pt idx="482">
                        <c:v>10.339999999999975</c:v>
                      </c:pt>
                      <c:pt idx="483">
                        <c:v>13.629999999999995</c:v>
                      </c:pt>
                      <c:pt idx="484">
                        <c:v>16.079999999999984</c:v>
                      </c:pt>
                      <c:pt idx="485">
                        <c:v>14.46999999999997</c:v>
                      </c:pt>
                      <c:pt idx="486">
                        <c:v>9.07000000000005</c:v>
                      </c:pt>
                      <c:pt idx="487">
                        <c:v>7.6100000000000136</c:v>
                      </c:pt>
                      <c:pt idx="488">
                        <c:v>4.6399999999999864</c:v>
                      </c:pt>
                      <c:pt idx="489">
                        <c:v>-3.5199999999999818</c:v>
                      </c:pt>
                      <c:pt idx="490">
                        <c:v>-11.779999999999973</c:v>
                      </c:pt>
                      <c:pt idx="491">
                        <c:v>-5.9200000000000159</c:v>
                      </c:pt>
                      <c:pt idx="492">
                        <c:v>-18.25</c:v>
                      </c:pt>
                      <c:pt idx="493">
                        <c:v>-28.760000000000048</c:v>
                      </c:pt>
                      <c:pt idx="494">
                        <c:v>-29.509999999999991</c:v>
                      </c:pt>
                      <c:pt idx="495">
                        <c:v>-34.699999999999989</c:v>
                      </c:pt>
                      <c:pt idx="496">
                        <c:v>-30.520000000000039</c:v>
                      </c:pt>
                      <c:pt idx="497">
                        <c:v>-24.220000000000027</c:v>
                      </c:pt>
                      <c:pt idx="498">
                        <c:v>-38.569999999999993</c:v>
                      </c:pt>
                      <c:pt idx="499">
                        <c:v>-52.550000000000011</c:v>
                      </c:pt>
                      <c:pt idx="500">
                        <c:v>-39.010000000000048</c:v>
                      </c:pt>
                      <c:pt idx="501">
                        <c:v>-34.240000000000009</c:v>
                      </c:pt>
                      <c:pt idx="502">
                        <c:v>-31.289999999999964</c:v>
                      </c:pt>
                      <c:pt idx="503">
                        <c:v>-21.449999999999989</c:v>
                      </c:pt>
                      <c:pt idx="504">
                        <c:v>-23.180000000000007</c:v>
                      </c:pt>
                      <c:pt idx="505">
                        <c:v>-17.879999999999995</c:v>
                      </c:pt>
                      <c:pt idx="506">
                        <c:v>-4.6800000000000068</c:v>
                      </c:pt>
                      <c:pt idx="507">
                        <c:v>-22.829999999999984</c:v>
                      </c:pt>
                      <c:pt idx="508">
                        <c:v>-9.7799999999999727</c:v>
                      </c:pt>
                      <c:pt idx="509">
                        <c:v>13.240000000000009</c:v>
                      </c:pt>
                      <c:pt idx="510">
                        <c:v>8.9600000000000364</c:v>
                      </c:pt>
                      <c:pt idx="511">
                        <c:v>5.9600000000000364</c:v>
                      </c:pt>
                      <c:pt idx="512">
                        <c:v>11.759999999999991</c:v>
                      </c:pt>
                      <c:pt idx="513">
                        <c:v>8.2100000000000364</c:v>
                      </c:pt>
                      <c:pt idx="514">
                        <c:v>12.560000000000002</c:v>
                      </c:pt>
                      <c:pt idx="515">
                        <c:v>13.819999999999993</c:v>
                      </c:pt>
                      <c:pt idx="516">
                        <c:v>2.1500000000000341</c:v>
                      </c:pt>
                      <c:pt idx="517">
                        <c:v>-1.1599999999999682</c:v>
                      </c:pt>
                      <c:pt idx="518">
                        <c:v>-2.4499999999999886</c:v>
                      </c:pt>
                      <c:pt idx="519">
                        <c:v>-5.9700000000000273</c:v>
                      </c:pt>
                      <c:pt idx="520">
                        <c:v>-9.8500000000000227</c:v>
                      </c:pt>
                      <c:pt idx="521">
                        <c:v>-5.0400000000000205</c:v>
                      </c:pt>
                      <c:pt idx="522">
                        <c:v>-4.5500000000000114</c:v>
                      </c:pt>
                      <c:pt idx="523">
                        <c:v>-1.3600000000000136</c:v>
                      </c:pt>
                      <c:pt idx="524">
                        <c:v>-0.42000000000001592</c:v>
                      </c:pt>
                      <c:pt idx="525">
                        <c:v>12.100000000000023</c:v>
                      </c:pt>
                      <c:pt idx="526">
                        <c:v>23.479999999999961</c:v>
                      </c:pt>
                      <c:pt idx="527">
                        <c:v>31.489999999999952</c:v>
                      </c:pt>
                      <c:pt idx="528">
                        <c:v>29.039999999999964</c:v>
                      </c:pt>
                      <c:pt idx="529">
                        <c:v>36.920000000000016</c:v>
                      </c:pt>
                      <c:pt idx="530">
                        <c:v>33.670000000000016</c:v>
                      </c:pt>
                      <c:pt idx="531">
                        <c:v>27.400000000000034</c:v>
                      </c:pt>
                      <c:pt idx="532">
                        <c:v>15.720000000000027</c:v>
                      </c:pt>
                      <c:pt idx="533">
                        <c:v>20.420000000000016</c:v>
                      </c:pt>
                      <c:pt idx="534">
                        <c:v>10.069999999999993</c:v>
                      </c:pt>
                      <c:pt idx="535">
                        <c:v>-11.620000000000005</c:v>
                      </c:pt>
                      <c:pt idx="536">
                        <c:v>-29.389999999999986</c:v>
                      </c:pt>
                      <c:pt idx="537">
                        <c:v>-23.669999999999959</c:v>
                      </c:pt>
                      <c:pt idx="538">
                        <c:v>-26.539999999999964</c:v>
                      </c:pt>
                      <c:pt idx="539">
                        <c:v>-22.920000000000016</c:v>
                      </c:pt>
                      <c:pt idx="540">
                        <c:v>-21.620000000000005</c:v>
                      </c:pt>
                      <c:pt idx="541">
                        <c:v>-16.480000000000018</c:v>
                      </c:pt>
                      <c:pt idx="542">
                        <c:v>-12.400000000000034</c:v>
                      </c:pt>
                      <c:pt idx="543">
                        <c:v>4.75</c:v>
                      </c:pt>
                      <c:pt idx="544">
                        <c:v>8.4900000000000091</c:v>
                      </c:pt>
                      <c:pt idx="545">
                        <c:v>17.509999999999991</c:v>
                      </c:pt>
                      <c:pt idx="546">
                        <c:v>26.310000000000002</c:v>
                      </c:pt>
                      <c:pt idx="547">
                        <c:v>20.860000000000014</c:v>
                      </c:pt>
                      <c:pt idx="548">
                        <c:v>28.70999999999998</c:v>
                      </c:pt>
                      <c:pt idx="549">
                        <c:v>26.630000000000052</c:v>
                      </c:pt>
                      <c:pt idx="550">
                        <c:v>27.319999999999993</c:v>
                      </c:pt>
                      <c:pt idx="551">
                        <c:v>35.399999999999977</c:v>
                      </c:pt>
                      <c:pt idx="552">
                        <c:v>34.980000000000018</c:v>
                      </c:pt>
                      <c:pt idx="553">
                        <c:v>16.379999999999995</c:v>
                      </c:pt>
                      <c:pt idx="554">
                        <c:v>12.199999999999989</c:v>
                      </c:pt>
                      <c:pt idx="555">
                        <c:v>2.839999999999975</c:v>
                      </c:pt>
                      <c:pt idx="556">
                        <c:v>4.9000000000000341</c:v>
                      </c:pt>
                      <c:pt idx="557">
                        <c:v>13.309999999999945</c:v>
                      </c:pt>
                      <c:pt idx="558">
                        <c:v>5.7599999999999909</c:v>
                      </c:pt>
                      <c:pt idx="559">
                        <c:v>7.1499999999999773</c:v>
                      </c:pt>
                      <c:pt idx="560">
                        <c:v>4.6800000000000068</c:v>
                      </c:pt>
                      <c:pt idx="561">
                        <c:v>-6.2699999999999818</c:v>
                      </c:pt>
                      <c:pt idx="562">
                        <c:v>-18.430000000000007</c:v>
                      </c:pt>
                      <c:pt idx="563">
                        <c:v>-18.819999999999993</c:v>
                      </c:pt>
                      <c:pt idx="564">
                        <c:v>-0.88999999999998636</c:v>
                      </c:pt>
                      <c:pt idx="565">
                        <c:v>-22.409999999999968</c:v>
                      </c:pt>
                      <c:pt idx="566">
                        <c:v>-32.430000000000007</c:v>
                      </c:pt>
                      <c:pt idx="567">
                        <c:v>-33.799999999999955</c:v>
                      </c:pt>
                      <c:pt idx="568">
                        <c:v>-22.159999999999968</c:v>
                      </c:pt>
                      <c:pt idx="569">
                        <c:v>-32</c:v>
                      </c:pt>
                      <c:pt idx="570">
                        <c:v>-15.185000000000002</c:v>
                      </c:pt>
                      <c:pt idx="571">
                        <c:v>-8.2599999999999909</c:v>
                      </c:pt>
                      <c:pt idx="572">
                        <c:v>1.6399999999999864</c:v>
                      </c:pt>
                      <c:pt idx="573">
                        <c:v>-0.67000000000001592</c:v>
                      </c:pt>
                      <c:pt idx="574">
                        <c:v>1.1700000000000159</c:v>
                      </c:pt>
                      <c:pt idx="575">
                        <c:v>36.819999999999993</c:v>
                      </c:pt>
                      <c:pt idx="576">
                        <c:v>47</c:v>
                      </c:pt>
                      <c:pt idx="577">
                        <c:v>35.259999999999991</c:v>
                      </c:pt>
                      <c:pt idx="578">
                        <c:v>19.399999999999977</c:v>
                      </c:pt>
                      <c:pt idx="579">
                        <c:v>8.6200000000000045</c:v>
                      </c:pt>
                      <c:pt idx="580">
                        <c:v>1.0550000000000068</c:v>
                      </c:pt>
                      <c:pt idx="581">
                        <c:v>-2.1399999999999864</c:v>
                      </c:pt>
                      <c:pt idx="582">
                        <c:v>-6.5699999999999932</c:v>
                      </c:pt>
                      <c:pt idx="583">
                        <c:v>-1</c:v>
                      </c:pt>
                      <c:pt idx="584">
                        <c:v>-17.069999999999993</c:v>
                      </c:pt>
                      <c:pt idx="585">
                        <c:v>-24.879999999999995</c:v>
                      </c:pt>
                      <c:pt idx="586">
                        <c:v>-11.910000000000025</c:v>
                      </c:pt>
                      <c:pt idx="587">
                        <c:v>-9.1500000000000341</c:v>
                      </c:pt>
                      <c:pt idx="588">
                        <c:v>-16.430000000000007</c:v>
                      </c:pt>
                      <c:pt idx="589">
                        <c:v>-5.3299999999999841</c:v>
                      </c:pt>
                      <c:pt idx="590">
                        <c:v>-13.769999999999982</c:v>
                      </c:pt>
                      <c:pt idx="591">
                        <c:v>-19.79000000000002</c:v>
                      </c:pt>
                      <c:pt idx="592">
                        <c:v>-17.649999999999977</c:v>
                      </c:pt>
                      <c:pt idx="593">
                        <c:v>-15.770000000000039</c:v>
                      </c:pt>
                      <c:pt idx="594">
                        <c:v>-20</c:v>
                      </c:pt>
                      <c:pt idx="595">
                        <c:v>-25.629999999999995</c:v>
                      </c:pt>
                      <c:pt idx="596">
                        <c:v>-41.329999999999984</c:v>
                      </c:pt>
                      <c:pt idx="597">
                        <c:v>-62.659999999999968</c:v>
                      </c:pt>
                      <c:pt idx="598">
                        <c:v>-68.850000000000023</c:v>
                      </c:pt>
                      <c:pt idx="599">
                        <c:v>-59.470000000000027</c:v>
                      </c:pt>
                      <c:pt idx="600">
                        <c:v>-68.870000000000033</c:v>
                      </c:pt>
                      <c:pt idx="601">
                        <c:v>-46.03000000000003</c:v>
                      </c:pt>
                      <c:pt idx="602">
                        <c:v>-23.610000000000014</c:v>
                      </c:pt>
                      <c:pt idx="603">
                        <c:v>-10.809999999999945</c:v>
                      </c:pt>
                      <c:pt idx="604">
                        <c:v>-9.8000000000000114</c:v>
                      </c:pt>
                      <c:pt idx="605">
                        <c:v>-11.879999999999995</c:v>
                      </c:pt>
                      <c:pt idx="606">
                        <c:v>0.51999999999998181</c:v>
                      </c:pt>
                      <c:pt idx="607">
                        <c:v>21.75</c:v>
                      </c:pt>
                      <c:pt idx="608">
                        <c:v>36.300000000000011</c:v>
                      </c:pt>
                      <c:pt idx="609">
                        <c:v>34.20999999999998</c:v>
                      </c:pt>
                      <c:pt idx="610">
                        <c:v>38.72999999999999</c:v>
                      </c:pt>
                      <c:pt idx="611">
                        <c:v>20.160000000000025</c:v>
                      </c:pt>
                      <c:pt idx="612">
                        <c:v>6.410000000000025</c:v>
                      </c:pt>
                      <c:pt idx="613">
                        <c:v>-5.6400000000000432</c:v>
                      </c:pt>
                      <c:pt idx="614">
                        <c:v>-9.0600000000000023</c:v>
                      </c:pt>
                      <c:pt idx="615">
                        <c:v>-6.2900000000000205</c:v>
                      </c:pt>
                      <c:pt idx="616">
                        <c:v>-21.240000000000009</c:v>
                      </c:pt>
                      <c:pt idx="617">
                        <c:v>-20.240000000000009</c:v>
                      </c:pt>
                      <c:pt idx="618">
                        <c:v>-8.5999999999999659</c:v>
                      </c:pt>
                      <c:pt idx="619">
                        <c:v>-6.2649999999999864</c:v>
                      </c:pt>
                      <c:pt idx="620">
                        <c:v>2.6899999999999977</c:v>
                      </c:pt>
                      <c:pt idx="621">
                        <c:v>12.230000000000018</c:v>
                      </c:pt>
                      <c:pt idx="622">
                        <c:v>7.7999999999999545</c:v>
                      </c:pt>
                      <c:pt idx="623">
                        <c:v>-15.629999999999995</c:v>
                      </c:pt>
                      <c:pt idx="624">
                        <c:v>3.8499999999999659</c:v>
                      </c:pt>
                      <c:pt idx="625">
                        <c:v>19.399999999999977</c:v>
                      </c:pt>
                      <c:pt idx="626">
                        <c:v>18.510000000000048</c:v>
                      </c:pt>
                      <c:pt idx="627">
                        <c:v>26.160000000000025</c:v>
                      </c:pt>
                      <c:pt idx="628">
                        <c:v>19.539999999999964</c:v>
                      </c:pt>
                      <c:pt idx="629">
                        <c:v>6.9850000000000136</c:v>
                      </c:pt>
                      <c:pt idx="630">
                        <c:v>-1.92999999999995</c:v>
                      </c:pt>
                      <c:pt idx="631">
                        <c:v>-15.740000000000009</c:v>
                      </c:pt>
                      <c:pt idx="632">
                        <c:v>-14.669999999999959</c:v>
                      </c:pt>
                      <c:pt idx="633">
                        <c:v>9.0000000000031832E-2</c:v>
                      </c:pt>
                      <c:pt idx="634">
                        <c:v>-17.269999999999982</c:v>
                      </c:pt>
                      <c:pt idx="635">
                        <c:v>-18.279999999999973</c:v>
                      </c:pt>
                      <c:pt idx="636">
                        <c:v>-26.960000000000036</c:v>
                      </c:pt>
                      <c:pt idx="637">
                        <c:v>-27.78000000000003</c:v>
                      </c:pt>
                      <c:pt idx="638">
                        <c:v>-27.169999999999959</c:v>
                      </c:pt>
                      <c:pt idx="639">
                        <c:v>-22.20999999999998</c:v>
                      </c:pt>
                      <c:pt idx="640">
                        <c:v>-8.2100000000000364</c:v>
                      </c:pt>
                      <c:pt idx="641">
                        <c:v>7.5400000000000205</c:v>
                      </c:pt>
                      <c:pt idx="642">
                        <c:v>-1.75</c:v>
                      </c:pt>
                      <c:pt idx="643">
                        <c:v>7.2799999999999727</c:v>
                      </c:pt>
                      <c:pt idx="644">
                        <c:v>19.920000000000016</c:v>
                      </c:pt>
                      <c:pt idx="645">
                        <c:v>6.6399999999999864</c:v>
                      </c:pt>
                      <c:pt idx="646">
                        <c:v>44.490000000000009</c:v>
                      </c:pt>
                      <c:pt idx="647">
                        <c:v>37.019999999999982</c:v>
                      </c:pt>
                      <c:pt idx="648">
                        <c:v>39.81</c:v>
                      </c:pt>
                      <c:pt idx="649">
                        <c:v>53.25</c:v>
                      </c:pt>
                      <c:pt idx="650">
                        <c:v>59.009999999999991</c:v>
                      </c:pt>
                      <c:pt idx="651">
                        <c:v>53.059999999999945</c:v>
                      </c:pt>
                      <c:pt idx="652">
                        <c:v>72.990000000000009</c:v>
                      </c:pt>
                      <c:pt idx="653">
                        <c:v>66.350000000000023</c:v>
                      </c:pt>
                      <c:pt idx="654">
                        <c:v>74.089999999999975</c:v>
                      </c:pt>
                      <c:pt idx="655">
                        <c:v>61.420000000000016</c:v>
                      </c:pt>
                      <c:pt idx="656">
                        <c:v>42.720000000000027</c:v>
                      </c:pt>
                      <c:pt idx="657">
                        <c:v>31.420000000000016</c:v>
                      </c:pt>
                      <c:pt idx="658">
                        <c:v>15.96999999999997</c:v>
                      </c:pt>
                      <c:pt idx="659">
                        <c:v>0.90999999999996817</c:v>
                      </c:pt>
                      <c:pt idx="660">
                        <c:v>-0.76999999999998181</c:v>
                      </c:pt>
                      <c:pt idx="661">
                        <c:v>-0.27999999999997272</c:v>
                      </c:pt>
                      <c:pt idx="662">
                        <c:v>-7.7900000000000205</c:v>
                      </c:pt>
                      <c:pt idx="663">
                        <c:v>-15.220000000000027</c:v>
                      </c:pt>
                      <c:pt idx="664">
                        <c:v>-35.759999999999991</c:v>
                      </c:pt>
                      <c:pt idx="665">
                        <c:v>-41.69</c:v>
                      </c:pt>
                      <c:pt idx="666">
                        <c:v>-53.06</c:v>
                      </c:pt>
                      <c:pt idx="667">
                        <c:v>-38.610000000000014</c:v>
                      </c:pt>
                      <c:pt idx="668">
                        <c:v>-15.120000000000005</c:v>
                      </c:pt>
                      <c:pt idx="669">
                        <c:v>-10.539999999999964</c:v>
                      </c:pt>
                      <c:pt idx="670">
                        <c:v>-23.04000000000002</c:v>
                      </c:pt>
                      <c:pt idx="671">
                        <c:v>-27.79000000000002</c:v>
                      </c:pt>
                      <c:pt idx="672">
                        <c:v>-31.060000000000002</c:v>
                      </c:pt>
                      <c:pt idx="673">
                        <c:v>-32.849999999999966</c:v>
                      </c:pt>
                      <c:pt idx="674">
                        <c:v>-12.379999999999995</c:v>
                      </c:pt>
                      <c:pt idx="675">
                        <c:v>12.990000000000009</c:v>
                      </c:pt>
                      <c:pt idx="676">
                        <c:v>11.069999999999993</c:v>
                      </c:pt>
                      <c:pt idx="677">
                        <c:v>4.6800000000000068</c:v>
                      </c:pt>
                      <c:pt idx="678">
                        <c:v>-15.310000000000002</c:v>
                      </c:pt>
                      <c:pt idx="679">
                        <c:v>-25.04000000000002</c:v>
                      </c:pt>
                      <c:pt idx="680">
                        <c:v>-10.21999999999997</c:v>
                      </c:pt>
                      <c:pt idx="681">
                        <c:v>-10.060000000000002</c:v>
                      </c:pt>
                      <c:pt idx="682">
                        <c:v>-21.689999999999998</c:v>
                      </c:pt>
                      <c:pt idx="683">
                        <c:v>-19.930000000000007</c:v>
                      </c:pt>
                      <c:pt idx="684">
                        <c:v>-24.550000000000011</c:v>
                      </c:pt>
                      <c:pt idx="685">
                        <c:v>-23.010000000000048</c:v>
                      </c:pt>
                      <c:pt idx="686">
                        <c:v>29.310000000000002</c:v>
                      </c:pt>
                      <c:pt idx="687">
                        <c:v>34.590000000000032</c:v>
                      </c:pt>
                      <c:pt idx="688">
                        <c:v>38.79000000000002</c:v>
                      </c:pt>
                      <c:pt idx="689">
                        <c:v>82.139999999999986</c:v>
                      </c:pt>
                      <c:pt idx="690">
                        <c:v>61.599999999999966</c:v>
                      </c:pt>
                      <c:pt idx="691">
                        <c:v>45.800000000000011</c:v>
                      </c:pt>
                      <c:pt idx="692">
                        <c:v>58.31</c:v>
                      </c:pt>
                      <c:pt idx="693">
                        <c:v>66.240000000000009</c:v>
                      </c:pt>
                      <c:pt idx="694">
                        <c:v>49.5</c:v>
                      </c:pt>
                      <c:pt idx="695">
                        <c:v>37.850000000000023</c:v>
                      </c:pt>
                      <c:pt idx="696">
                        <c:v>-14.090000000000032</c:v>
                      </c:pt>
                      <c:pt idx="697">
                        <c:v>-42.670000000000016</c:v>
                      </c:pt>
                      <c:pt idx="698">
                        <c:v>-33.550000000000011</c:v>
                      </c:pt>
                      <c:pt idx="699">
                        <c:v>-57.670000000000016</c:v>
                      </c:pt>
                      <c:pt idx="700">
                        <c:v>-48.699999999999989</c:v>
                      </c:pt>
                      <c:pt idx="701">
                        <c:v>-32.349999999999966</c:v>
                      </c:pt>
                      <c:pt idx="702">
                        <c:v>-32.670000000000016</c:v>
                      </c:pt>
                      <c:pt idx="703">
                        <c:v>-37.140000000000043</c:v>
                      </c:pt>
                      <c:pt idx="704">
                        <c:v>-35.779999999999973</c:v>
                      </c:pt>
                      <c:pt idx="705">
                        <c:v>-33.680000000000007</c:v>
                      </c:pt>
                      <c:pt idx="706">
                        <c:v>-32.300000000000011</c:v>
                      </c:pt>
                      <c:pt idx="707">
                        <c:v>-3.839999999999975</c:v>
                      </c:pt>
                      <c:pt idx="708">
                        <c:v>-19.490000000000009</c:v>
                      </c:pt>
                      <c:pt idx="709">
                        <c:v>-41.159999999999968</c:v>
                      </c:pt>
                      <c:pt idx="710">
                        <c:v>-40.69</c:v>
                      </c:pt>
                      <c:pt idx="711">
                        <c:v>-56.860000000000014</c:v>
                      </c:pt>
                      <c:pt idx="712">
                        <c:v>-37.319999999999993</c:v>
                      </c:pt>
                      <c:pt idx="713">
                        <c:v>-39.829999999999984</c:v>
                      </c:pt>
                      <c:pt idx="714">
                        <c:v>-21.319999999999993</c:v>
                      </c:pt>
                      <c:pt idx="715">
                        <c:v>-15.550000000000011</c:v>
                      </c:pt>
                      <c:pt idx="716">
                        <c:v>-7.9499999999999886</c:v>
                      </c:pt>
                      <c:pt idx="717">
                        <c:v>-6.82000000000005</c:v>
                      </c:pt>
                      <c:pt idx="718">
                        <c:v>-3.9900000000000091</c:v>
                      </c:pt>
                      <c:pt idx="719">
                        <c:v>18.279999999999973</c:v>
                      </c:pt>
                      <c:pt idx="720">
                        <c:v>17.379999999999995</c:v>
                      </c:pt>
                      <c:pt idx="721">
                        <c:v>35.860000000000014</c:v>
                      </c:pt>
                      <c:pt idx="722">
                        <c:v>14.180000000000007</c:v>
                      </c:pt>
                      <c:pt idx="723">
                        <c:v>21.550000000000011</c:v>
                      </c:pt>
                      <c:pt idx="724">
                        <c:v>19.039999999999964</c:v>
                      </c:pt>
                      <c:pt idx="725">
                        <c:v>18.060000000000002</c:v>
                      </c:pt>
                      <c:pt idx="726">
                        <c:v>-30.430000000000007</c:v>
                      </c:pt>
                      <c:pt idx="727">
                        <c:v>15.860000000000014</c:v>
                      </c:pt>
                      <c:pt idx="728">
                        <c:v>16.060000000000002</c:v>
                      </c:pt>
                      <c:pt idx="729">
                        <c:v>-4.2199999999999704</c:v>
                      </c:pt>
                      <c:pt idx="730">
                        <c:v>-16.5</c:v>
                      </c:pt>
                      <c:pt idx="731">
                        <c:v>-37.150000000000034</c:v>
                      </c:pt>
                      <c:pt idx="732">
                        <c:v>-49.120000000000005</c:v>
                      </c:pt>
                      <c:pt idx="733">
                        <c:v>-38.19</c:v>
                      </c:pt>
                      <c:pt idx="734">
                        <c:v>-52.699999999999989</c:v>
                      </c:pt>
                      <c:pt idx="735">
                        <c:v>-55.289999999999992</c:v>
                      </c:pt>
                      <c:pt idx="736">
                        <c:v>-5.9900000000000091</c:v>
                      </c:pt>
                      <c:pt idx="737">
                        <c:v>-51.110000000000014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EDC3-4E74-892D-74AAFF884061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0"/>
          <c:tx>
            <c:v>Close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'tesla-stock-price (4)'!$A$5:$A$760</c:f>
              <c:numCache>
                <c:formatCode>General</c:formatCode>
                <c:ptCount val="756"/>
                <c:pt idx="0">
                  <c:v>42292</c:v>
                </c:pt>
                <c:pt idx="1">
                  <c:v>42293</c:v>
                </c:pt>
                <c:pt idx="2">
                  <c:v>42296</c:v>
                </c:pt>
                <c:pt idx="3">
                  <c:v>42297</c:v>
                </c:pt>
                <c:pt idx="4">
                  <c:v>42298</c:v>
                </c:pt>
                <c:pt idx="5">
                  <c:v>42299</c:v>
                </c:pt>
                <c:pt idx="6">
                  <c:v>42300</c:v>
                </c:pt>
                <c:pt idx="7">
                  <c:v>42303</c:v>
                </c:pt>
                <c:pt idx="8">
                  <c:v>42304</c:v>
                </c:pt>
                <c:pt idx="9">
                  <c:v>42305</c:v>
                </c:pt>
                <c:pt idx="10">
                  <c:v>42306</c:v>
                </c:pt>
                <c:pt idx="11">
                  <c:v>42307</c:v>
                </c:pt>
                <c:pt idx="12">
                  <c:v>42310</c:v>
                </c:pt>
                <c:pt idx="13">
                  <c:v>42311</c:v>
                </c:pt>
                <c:pt idx="14">
                  <c:v>42312</c:v>
                </c:pt>
                <c:pt idx="15">
                  <c:v>42313</c:v>
                </c:pt>
                <c:pt idx="16">
                  <c:v>42314</c:v>
                </c:pt>
                <c:pt idx="17">
                  <c:v>42317</c:v>
                </c:pt>
                <c:pt idx="18">
                  <c:v>42318</c:v>
                </c:pt>
                <c:pt idx="19">
                  <c:v>42319</c:v>
                </c:pt>
                <c:pt idx="20">
                  <c:v>42320</c:v>
                </c:pt>
                <c:pt idx="21">
                  <c:v>42321</c:v>
                </c:pt>
                <c:pt idx="22">
                  <c:v>42324</c:v>
                </c:pt>
                <c:pt idx="23">
                  <c:v>42325</c:v>
                </c:pt>
                <c:pt idx="24">
                  <c:v>42326</c:v>
                </c:pt>
                <c:pt idx="25">
                  <c:v>42327</c:v>
                </c:pt>
                <c:pt idx="26">
                  <c:v>42328</c:v>
                </c:pt>
                <c:pt idx="27">
                  <c:v>42331</c:v>
                </c:pt>
                <c:pt idx="28">
                  <c:v>42332</c:v>
                </c:pt>
                <c:pt idx="29">
                  <c:v>42333</c:v>
                </c:pt>
                <c:pt idx="30">
                  <c:v>42335</c:v>
                </c:pt>
                <c:pt idx="31">
                  <c:v>42338</c:v>
                </c:pt>
                <c:pt idx="32">
                  <c:v>42339</c:v>
                </c:pt>
                <c:pt idx="33">
                  <c:v>42340</c:v>
                </c:pt>
                <c:pt idx="34">
                  <c:v>42341</c:v>
                </c:pt>
                <c:pt idx="35">
                  <c:v>42342</c:v>
                </c:pt>
                <c:pt idx="36">
                  <c:v>42345</c:v>
                </c:pt>
                <c:pt idx="37">
                  <c:v>42346</c:v>
                </c:pt>
                <c:pt idx="38">
                  <c:v>42347</c:v>
                </c:pt>
                <c:pt idx="39">
                  <c:v>42348</c:v>
                </c:pt>
                <c:pt idx="40">
                  <c:v>42349</c:v>
                </c:pt>
                <c:pt idx="41">
                  <c:v>42352</c:v>
                </c:pt>
                <c:pt idx="42">
                  <c:v>42353</c:v>
                </c:pt>
                <c:pt idx="43">
                  <c:v>42354</c:v>
                </c:pt>
                <c:pt idx="44">
                  <c:v>42355</c:v>
                </c:pt>
                <c:pt idx="45">
                  <c:v>42356</c:v>
                </c:pt>
                <c:pt idx="46">
                  <c:v>42359</c:v>
                </c:pt>
                <c:pt idx="47">
                  <c:v>42360</c:v>
                </c:pt>
                <c:pt idx="48">
                  <c:v>42361</c:v>
                </c:pt>
                <c:pt idx="49">
                  <c:v>42362</c:v>
                </c:pt>
                <c:pt idx="50">
                  <c:v>42366</c:v>
                </c:pt>
                <c:pt idx="51">
                  <c:v>42367</c:v>
                </c:pt>
                <c:pt idx="52">
                  <c:v>42368</c:v>
                </c:pt>
                <c:pt idx="53">
                  <c:v>42369</c:v>
                </c:pt>
                <c:pt idx="54">
                  <c:v>42373</c:v>
                </c:pt>
                <c:pt idx="55">
                  <c:v>42374</c:v>
                </c:pt>
                <c:pt idx="56">
                  <c:v>42375</c:v>
                </c:pt>
                <c:pt idx="57">
                  <c:v>42376</c:v>
                </c:pt>
                <c:pt idx="58">
                  <c:v>42377</c:v>
                </c:pt>
                <c:pt idx="59">
                  <c:v>42380</c:v>
                </c:pt>
                <c:pt idx="60">
                  <c:v>42381</c:v>
                </c:pt>
                <c:pt idx="61">
                  <c:v>42382</c:v>
                </c:pt>
                <c:pt idx="62">
                  <c:v>42383</c:v>
                </c:pt>
                <c:pt idx="63">
                  <c:v>42384</c:v>
                </c:pt>
                <c:pt idx="64">
                  <c:v>42388</c:v>
                </c:pt>
                <c:pt idx="65">
                  <c:v>42389</c:v>
                </c:pt>
                <c:pt idx="66">
                  <c:v>42390</c:v>
                </c:pt>
                <c:pt idx="67">
                  <c:v>42391</c:v>
                </c:pt>
                <c:pt idx="68">
                  <c:v>42394</c:v>
                </c:pt>
                <c:pt idx="69">
                  <c:v>42395</c:v>
                </c:pt>
                <c:pt idx="70">
                  <c:v>42396</c:v>
                </c:pt>
                <c:pt idx="71">
                  <c:v>42397</c:v>
                </c:pt>
                <c:pt idx="72">
                  <c:v>42398</c:v>
                </c:pt>
                <c:pt idx="73">
                  <c:v>42401</c:v>
                </c:pt>
                <c:pt idx="74">
                  <c:v>42402</c:v>
                </c:pt>
                <c:pt idx="75">
                  <c:v>42403</c:v>
                </c:pt>
                <c:pt idx="76">
                  <c:v>42404</c:v>
                </c:pt>
                <c:pt idx="77">
                  <c:v>42405</c:v>
                </c:pt>
                <c:pt idx="78">
                  <c:v>42408</c:v>
                </c:pt>
                <c:pt idx="79">
                  <c:v>42409</c:v>
                </c:pt>
                <c:pt idx="80">
                  <c:v>42410</c:v>
                </c:pt>
                <c:pt idx="81">
                  <c:v>42411</c:v>
                </c:pt>
                <c:pt idx="82">
                  <c:v>42412</c:v>
                </c:pt>
                <c:pt idx="83">
                  <c:v>42416</c:v>
                </c:pt>
                <c:pt idx="84">
                  <c:v>42417</c:v>
                </c:pt>
                <c:pt idx="85">
                  <c:v>42418</c:v>
                </c:pt>
                <c:pt idx="86">
                  <c:v>42419</c:v>
                </c:pt>
                <c:pt idx="87">
                  <c:v>42422</c:v>
                </c:pt>
                <c:pt idx="88">
                  <c:v>42423</c:v>
                </c:pt>
                <c:pt idx="89">
                  <c:v>42424</c:v>
                </c:pt>
                <c:pt idx="90">
                  <c:v>42425</c:v>
                </c:pt>
                <c:pt idx="91">
                  <c:v>42426</c:v>
                </c:pt>
                <c:pt idx="92">
                  <c:v>42429</c:v>
                </c:pt>
                <c:pt idx="93">
                  <c:v>42430</c:v>
                </c:pt>
                <c:pt idx="94">
                  <c:v>42431</c:v>
                </c:pt>
                <c:pt idx="95">
                  <c:v>42432</c:v>
                </c:pt>
                <c:pt idx="96">
                  <c:v>42433</c:v>
                </c:pt>
                <c:pt idx="97">
                  <c:v>42436</c:v>
                </c:pt>
                <c:pt idx="98">
                  <c:v>42437</c:v>
                </c:pt>
                <c:pt idx="99">
                  <c:v>42438</c:v>
                </c:pt>
                <c:pt idx="100">
                  <c:v>42439</c:v>
                </c:pt>
                <c:pt idx="101">
                  <c:v>42440</c:v>
                </c:pt>
                <c:pt idx="102">
                  <c:v>42443</c:v>
                </c:pt>
                <c:pt idx="103">
                  <c:v>42444</c:v>
                </c:pt>
                <c:pt idx="104">
                  <c:v>42445</c:v>
                </c:pt>
                <c:pt idx="105">
                  <c:v>42446</c:v>
                </c:pt>
                <c:pt idx="106">
                  <c:v>42447</c:v>
                </c:pt>
                <c:pt idx="107">
                  <c:v>42450</c:v>
                </c:pt>
                <c:pt idx="108">
                  <c:v>42451</c:v>
                </c:pt>
                <c:pt idx="109">
                  <c:v>42452</c:v>
                </c:pt>
                <c:pt idx="110">
                  <c:v>42453</c:v>
                </c:pt>
                <c:pt idx="111">
                  <c:v>42457</c:v>
                </c:pt>
                <c:pt idx="112">
                  <c:v>42458</c:v>
                </c:pt>
                <c:pt idx="113">
                  <c:v>42459</c:v>
                </c:pt>
                <c:pt idx="114">
                  <c:v>42460</c:v>
                </c:pt>
                <c:pt idx="115">
                  <c:v>42461</c:v>
                </c:pt>
                <c:pt idx="116">
                  <c:v>42464</c:v>
                </c:pt>
                <c:pt idx="117">
                  <c:v>42465</c:v>
                </c:pt>
                <c:pt idx="118">
                  <c:v>42466</c:v>
                </c:pt>
                <c:pt idx="119">
                  <c:v>42467</c:v>
                </c:pt>
                <c:pt idx="120">
                  <c:v>42468</c:v>
                </c:pt>
                <c:pt idx="121">
                  <c:v>42471</c:v>
                </c:pt>
                <c:pt idx="122">
                  <c:v>42472</c:v>
                </c:pt>
                <c:pt idx="123">
                  <c:v>42473</c:v>
                </c:pt>
                <c:pt idx="124">
                  <c:v>42474</c:v>
                </c:pt>
                <c:pt idx="125">
                  <c:v>42475</c:v>
                </c:pt>
                <c:pt idx="126">
                  <c:v>42478</c:v>
                </c:pt>
                <c:pt idx="127">
                  <c:v>42479</c:v>
                </c:pt>
                <c:pt idx="128">
                  <c:v>42480</c:v>
                </c:pt>
                <c:pt idx="129">
                  <c:v>42481</c:v>
                </c:pt>
                <c:pt idx="130">
                  <c:v>42482</c:v>
                </c:pt>
                <c:pt idx="131">
                  <c:v>42485</c:v>
                </c:pt>
                <c:pt idx="132">
                  <c:v>42486</c:v>
                </c:pt>
                <c:pt idx="133">
                  <c:v>42487</c:v>
                </c:pt>
                <c:pt idx="134">
                  <c:v>42488</c:v>
                </c:pt>
                <c:pt idx="135">
                  <c:v>42489</c:v>
                </c:pt>
                <c:pt idx="136">
                  <c:v>42492</c:v>
                </c:pt>
                <c:pt idx="137">
                  <c:v>42493</c:v>
                </c:pt>
                <c:pt idx="138">
                  <c:v>42494</c:v>
                </c:pt>
                <c:pt idx="139">
                  <c:v>42495</c:v>
                </c:pt>
                <c:pt idx="140">
                  <c:v>42496</c:v>
                </c:pt>
                <c:pt idx="141">
                  <c:v>42499</c:v>
                </c:pt>
                <c:pt idx="142">
                  <c:v>42500</c:v>
                </c:pt>
                <c:pt idx="143">
                  <c:v>42501</c:v>
                </c:pt>
                <c:pt idx="144">
                  <c:v>42502</c:v>
                </c:pt>
                <c:pt idx="145">
                  <c:v>42503</c:v>
                </c:pt>
                <c:pt idx="146">
                  <c:v>42506</c:v>
                </c:pt>
                <c:pt idx="147">
                  <c:v>42507</c:v>
                </c:pt>
                <c:pt idx="148">
                  <c:v>42508</c:v>
                </c:pt>
                <c:pt idx="149">
                  <c:v>42509</c:v>
                </c:pt>
                <c:pt idx="150">
                  <c:v>42510</c:v>
                </c:pt>
                <c:pt idx="151">
                  <c:v>42513</c:v>
                </c:pt>
                <c:pt idx="152">
                  <c:v>42514</c:v>
                </c:pt>
                <c:pt idx="153">
                  <c:v>42515</c:v>
                </c:pt>
                <c:pt idx="154">
                  <c:v>42516</c:v>
                </c:pt>
                <c:pt idx="155">
                  <c:v>42517</c:v>
                </c:pt>
                <c:pt idx="156">
                  <c:v>42521</c:v>
                </c:pt>
                <c:pt idx="157">
                  <c:v>42522</c:v>
                </c:pt>
                <c:pt idx="158">
                  <c:v>42523</c:v>
                </c:pt>
                <c:pt idx="159">
                  <c:v>42524</c:v>
                </c:pt>
                <c:pt idx="160">
                  <c:v>42527</c:v>
                </c:pt>
                <c:pt idx="161">
                  <c:v>42528</c:v>
                </c:pt>
                <c:pt idx="162">
                  <c:v>42529</c:v>
                </c:pt>
                <c:pt idx="163">
                  <c:v>42530</c:v>
                </c:pt>
                <c:pt idx="164">
                  <c:v>42531</c:v>
                </c:pt>
                <c:pt idx="165">
                  <c:v>42534</c:v>
                </c:pt>
                <c:pt idx="166">
                  <c:v>42535</c:v>
                </c:pt>
                <c:pt idx="167">
                  <c:v>42536</c:v>
                </c:pt>
                <c:pt idx="168">
                  <c:v>42537</c:v>
                </c:pt>
                <c:pt idx="169">
                  <c:v>42538</c:v>
                </c:pt>
                <c:pt idx="170">
                  <c:v>42541</c:v>
                </c:pt>
                <c:pt idx="171">
                  <c:v>42542</c:v>
                </c:pt>
                <c:pt idx="172">
                  <c:v>42543</c:v>
                </c:pt>
                <c:pt idx="173">
                  <c:v>42544</c:v>
                </c:pt>
                <c:pt idx="174">
                  <c:v>42545</c:v>
                </c:pt>
                <c:pt idx="175">
                  <c:v>42548</c:v>
                </c:pt>
                <c:pt idx="176">
                  <c:v>42549</c:v>
                </c:pt>
                <c:pt idx="177">
                  <c:v>42550</c:v>
                </c:pt>
                <c:pt idx="178">
                  <c:v>42551</c:v>
                </c:pt>
                <c:pt idx="179">
                  <c:v>42552</c:v>
                </c:pt>
                <c:pt idx="180">
                  <c:v>42556</c:v>
                </c:pt>
                <c:pt idx="181">
                  <c:v>42557</c:v>
                </c:pt>
                <c:pt idx="182">
                  <c:v>42558</c:v>
                </c:pt>
                <c:pt idx="183">
                  <c:v>42559</c:v>
                </c:pt>
                <c:pt idx="184">
                  <c:v>42562</c:v>
                </c:pt>
                <c:pt idx="185">
                  <c:v>42563</c:v>
                </c:pt>
                <c:pt idx="186">
                  <c:v>42564</c:v>
                </c:pt>
                <c:pt idx="187">
                  <c:v>42565</c:v>
                </c:pt>
                <c:pt idx="188">
                  <c:v>42566</c:v>
                </c:pt>
                <c:pt idx="189">
                  <c:v>42569</c:v>
                </c:pt>
                <c:pt idx="190">
                  <c:v>42570</c:v>
                </c:pt>
                <c:pt idx="191">
                  <c:v>42571</c:v>
                </c:pt>
                <c:pt idx="192">
                  <c:v>42572</c:v>
                </c:pt>
                <c:pt idx="193">
                  <c:v>42573</c:v>
                </c:pt>
                <c:pt idx="194">
                  <c:v>42576</c:v>
                </c:pt>
                <c:pt idx="195">
                  <c:v>42577</c:v>
                </c:pt>
                <c:pt idx="196">
                  <c:v>42578</c:v>
                </c:pt>
                <c:pt idx="197">
                  <c:v>42579</c:v>
                </c:pt>
                <c:pt idx="198">
                  <c:v>42580</c:v>
                </c:pt>
                <c:pt idx="199">
                  <c:v>42583</c:v>
                </c:pt>
                <c:pt idx="200">
                  <c:v>42584</c:v>
                </c:pt>
                <c:pt idx="201">
                  <c:v>42585</c:v>
                </c:pt>
                <c:pt idx="202">
                  <c:v>42586</c:v>
                </c:pt>
                <c:pt idx="203">
                  <c:v>42587</c:v>
                </c:pt>
                <c:pt idx="204">
                  <c:v>42590</c:v>
                </c:pt>
                <c:pt idx="205">
                  <c:v>42591</c:v>
                </c:pt>
                <c:pt idx="206">
                  <c:v>42592</c:v>
                </c:pt>
                <c:pt idx="207">
                  <c:v>42593</c:v>
                </c:pt>
                <c:pt idx="208">
                  <c:v>42594</c:v>
                </c:pt>
                <c:pt idx="209">
                  <c:v>42597</c:v>
                </c:pt>
                <c:pt idx="210">
                  <c:v>42598</c:v>
                </c:pt>
                <c:pt idx="211">
                  <c:v>42599</c:v>
                </c:pt>
                <c:pt idx="212">
                  <c:v>42600</c:v>
                </c:pt>
                <c:pt idx="213">
                  <c:v>42601</c:v>
                </c:pt>
                <c:pt idx="214">
                  <c:v>42604</c:v>
                </c:pt>
                <c:pt idx="215">
                  <c:v>42605</c:v>
                </c:pt>
                <c:pt idx="216">
                  <c:v>42606</c:v>
                </c:pt>
                <c:pt idx="217">
                  <c:v>42607</c:v>
                </c:pt>
                <c:pt idx="218">
                  <c:v>42608</c:v>
                </c:pt>
                <c:pt idx="219">
                  <c:v>42611</c:v>
                </c:pt>
                <c:pt idx="220">
                  <c:v>42612</c:v>
                </c:pt>
                <c:pt idx="221">
                  <c:v>42613</c:v>
                </c:pt>
                <c:pt idx="222">
                  <c:v>42614</c:v>
                </c:pt>
                <c:pt idx="223">
                  <c:v>42615</c:v>
                </c:pt>
                <c:pt idx="224">
                  <c:v>42619</c:v>
                </c:pt>
                <c:pt idx="225">
                  <c:v>42620</c:v>
                </c:pt>
                <c:pt idx="226">
                  <c:v>42621</c:v>
                </c:pt>
                <c:pt idx="227">
                  <c:v>42622</c:v>
                </c:pt>
                <c:pt idx="228">
                  <c:v>42625</c:v>
                </c:pt>
                <c:pt idx="229">
                  <c:v>42626</c:v>
                </c:pt>
                <c:pt idx="230">
                  <c:v>42627</c:v>
                </c:pt>
                <c:pt idx="231">
                  <c:v>42628</c:v>
                </c:pt>
                <c:pt idx="232">
                  <c:v>42629</c:v>
                </c:pt>
                <c:pt idx="233">
                  <c:v>42632</c:v>
                </c:pt>
                <c:pt idx="234">
                  <c:v>42633</c:v>
                </c:pt>
                <c:pt idx="235">
                  <c:v>42634</c:v>
                </c:pt>
                <c:pt idx="236">
                  <c:v>42635</c:v>
                </c:pt>
                <c:pt idx="237">
                  <c:v>42636</c:v>
                </c:pt>
                <c:pt idx="238">
                  <c:v>42639</c:v>
                </c:pt>
                <c:pt idx="239">
                  <c:v>42640</c:v>
                </c:pt>
                <c:pt idx="240">
                  <c:v>42641</c:v>
                </c:pt>
                <c:pt idx="241">
                  <c:v>42642</c:v>
                </c:pt>
                <c:pt idx="242">
                  <c:v>42643</c:v>
                </c:pt>
                <c:pt idx="243">
                  <c:v>42646</c:v>
                </c:pt>
                <c:pt idx="244">
                  <c:v>42647</c:v>
                </c:pt>
                <c:pt idx="245">
                  <c:v>42648</c:v>
                </c:pt>
                <c:pt idx="246">
                  <c:v>42649</c:v>
                </c:pt>
                <c:pt idx="247">
                  <c:v>42650</c:v>
                </c:pt>
                <c:pt idx="248">
                  <c:v>42653</c:v>
                </c:pt>
                <c:pt idx="249">
                  <c:v>42654</c:v>
                </c:pt>
                <c:pt idx="250">
                  <c:v>42655</c:v>
                </c:pt>
                <c:pt idx="251">
                  <c:v>42656</c:v>
                </c:pt>
                <c:pt idx="252">
                  <c:v>42657</c:v>
                </c:pt>
                <c:pt idx="253">
                  <c:v>42660</c:v>
                </c:pt>
                <c:pt idx="254">
                  <c:v>42661</c:v>
                </c:pt>
                <c:pt idx="255">
                  <c:v>42662</c:v>
                </c:pt>
                <c:pt idx="256">
                  <c:v>42663</c:v>
                </c:pt>
                <c:pt idx="257">
                  <c:v>42664</c:v>
                </c:pt>
                <c:pt idx="258">
                  <c:v>42667</c:v>
                </c:pt>
                <c:pt idx="259">
                  <c:v>42668</c:v>
                </c:pt>
                <c:pt idx="260">
                  <c:v>42669</c:v>
                </c:pt>
                <c:pt idx="261">
                  <c:v>42670</c:v>
                </c:pt>
                <c:pt idx="262">
                  <c:v>42671</c:v>
                </c:pt>
                <c:pt idx="263">
                  <c:v>42674</c:v>
                </c:pt>
                <c:pt idx="264">
                  <c:v>42675</c:v>
                </c:pt>
                <c:pt idx="265">
                  <c:v>42676</c:v>
                </c:pt>
                <c:pt idx="266">
                  <c:v>42677</c:v>
                </c:pt>
                <c:pt idx="267">
                  <c:v>42678</c:v>
                </c:pt>
                <c:pt idx="268">
                  <c:v>42681</c:v>
                </c:pt>
                <c:pt idx="269">
                  <c:v>42682</c:v>
                </c:pt>
                <c:pt idx="270">
                  <c:v>42683</c:v>
                </c:pt>
                <c:pt idx="271">
                  <c:v>42684</c:v>
                </c:pt>
                <c:pt idx="272">
                  <c:v>42685</c:v>
                </c:pt>
                <c:pt idx="273">
                  <c:v>42688</c:v>
                </c:pt>
                <c:pt idx="274">
                  <c:v>42689</c:v>
                </c:pt>
                <c:pt idx="275">
                  <c:v>42690</c:v>
                </c:pt>
                <c:pt idx="276">
                  <c:v>42691</c:v>
                </c:pt>
                <c:pt idx="277">
                  <c:v>42692</c:v>
                </c:pt>
                <c:pt idx="278">
                  <c:v>42695</c:v>
                </c:pt>
                <c:pt idx="279">
                  <c:v>42696</c:v>
                </c:pt>
                <c:pt idx="280">
                  <c:v>42697</c:v>
                </c:pt>
                <c:pt idx="281">
                  <c:v>42699</c:v>
                </c:pt>
                <c:pt idx="282">
                  <c:v>42702</c:v>
                </c:pt>
                <c:pt idx="283">
                  <c:v>42703</c:v>
                </c:pt>
                <c:pt idx="284">
                  <c:v>42704</c:v>
                </c:pt>
                <c:pt idx="285">
                  <c:v>42705</c:v>
                </c:pt>
                <c:pt idx="286">
                  <c:v>42706</c:v>
                </c:pt>
                <c:pt idx="287">
                  <c:v>42709</c:v>
                </c:pt>
                <c:pt idx="288">
                  <c:v>42710</c:v>
                </c:pt>
                <c:pt idx="289">
                  <c:v>42711</c:v>
                </c:pt>
                <c:pt idx="290">
                  <c:v>42712</c:v>
                </c:pt>
                <c:pt idx="291">
                  <c:v>42713</c:v>
                </c:pt>
                <c:pt idx="292">
                  <c:v>42716</c:v>
                </c:pt>
                <c:pt idx="293">
                  <c:v>42717</c:v>
                </c:pt>
                <c:pt idx="294">
                  <c:v>42718</c:v>
                </c:pt>
                <c:pt idx="295">
                  <c:v>42719</c:v>
                </c:pt>
                <c:pt idx="296">
                  <c:v>42720</c:v>
                </c:pt>
                <c:pt idx="297">
                  <c:v>42723</c:v>
                </c:pt>
                <c:pt idx="298">
                  <c:v>42724</c:v>
                </c:pt>
                <c:pt idx="299">
                  <c:v>42725</c:v>
                </c:pt>
                <c:pt idx="300">
                  <c:v>42726</c:v>
                </c:pt>
                <c:pt idx="301">
                  <c:v>42727</c:v>
                </c:pt>
                <c:pt idx="302">
                  <c:v>42731</c:v>
                </c:pt>
                <c:pt idx="303">
                  <c:v>42732</c:v>
                </c:pt>
                <c:pt idx="304">
                  <c:v>42733</c:v>
                </c:pt>
                <c:pt idx="305">
                  <c:v>42734</c:v>
                </c:pt>
                <c:pt idx="306">
                  <c:v>42738</c:v>
                </c:pt>
                <c:pt idx="307">
                  <c:v>42739</c:v>
                </c:pt>
                <c:pt idx="308">
                  <c:v>42740</c:v>
                </c:pt>
                <c:pt idx="309">
                  <c:v>42741</c:v>
                </c:pt>
                <c:pt idx="310">
                  <c:v>42744</c:v>
                </c:pt>
                <c:pt idx="311">
                  <c:v>42745</c:v>
                </c:pt>
                <c:pt idx="312">
                  <c:v>42746</c:v>
                </c:pt>
                <c:pt idx="313">
                  <c:v>42747</c:v>
                </c:pt>
                <c:pt idx="314">
                  <c:v>42748</c:v>
                </c:pt>
                <c:pt idx="315">
                  <c:v>42752</c:v>
                </c:pt>
                <c:pt idx="316">
                  <c:v>42753</c:v>
                </c:pt>
                <c:pt idx="317">
                  <c:v>42754</c:v>
                </c:pt>
                <c:pt idx="318">
                  <c:v>42755</c:v>
                </c:pt>
                <c:pt idx="319">
                  <c:v>42758</c:v>
                </c:pt>
                <c:pt idx="320">
                  <c:v>42759</c:v>
                </c:pt>
                <c:pt idx="321">
                  <c:v>42760</c:v>
                </c:pt>
                <c:pt idx="322">
                  <c:v>42761</c:v>
                </c:pt>
                <c:pt idx="323">
                  <c:v>42762</c:v>
                </c:pt>
                <c:pt idx="324">
                  <c:v>42765</c:v>
                </c:pt>
                <c:pt idx="325">
                  <c:v>42766</c:v>
                </c:pt>
                <c:pt idx="326">
                  <c:v>42767</c:v>
                </c:pt>
                <c:pt idx="327">
                  <c:v>42768</c:v>
                </c:pt>
                <c:pt idx="328">
                  <c:v>42769</c:v>
                </c:pt>
                <c:pt idx="329">
                  <c:v>42772</c:v>
                </c:pt>
                <c:pt idx="330">
                  <c:v>42773</c:v>
                </c:pt>
                <c:pt idx="331">
                  <c:v>42774</c:v>
                </c:pt>
                <c:pt idx="332">
                  <c:v>42775</c:v>
                </c:pt>
                <c:pt idx="333">
                  <c:v>42776</c:v>
                </c:pt>
                <c:pt idx="334">
                  <c:v>42779</c:v>
                </c:pt>
                <c:pt idx="335">
                  <c:v>42780</c:v>
                </c:pt>
                <c:pt idx="336">
                  <c:v>42781</c:v>
                </c:pt>
                <c:pt idx="337">
                  <c:v>42782</c:v>
                </c:pt>
                <c:pt idx="338">
                  <c:v>42783</c:v>
                </c:pt>
                <c:pt idx="339">
                  <c:v>42787</c:v>
                </c:pt>
                <c:pt idx="340">
                  <c:v>42788</c:v>
                </c:pt>
                <c:pt idx="341">
                  <c:v>42789</c:v>
                </c:pt>
                <c:pt idx="342">
                  <c:v>42790</c:v>
                </c:pt>
                <c:pt idx="343">
                  <c:v>42793</c:v>
                </c:pt>
                <c:pt idx="344">
                  <c:v>42794</c:v>
                </c:pt>
                <c:pt idx="345">
                  <c:v>42795</c:v>
                </c:pt>
                <c:pt idx="346">
                  <c:v>42796</c:v>
                </c:pt>
                <c:pt idx="347">
                  <c:v>42797</c:v>
                </c:pt>
                <c:pt idx="348">
                  <c:v>42800</c:v>
                </c:pt>
                <c:pt idx="349">
                  <c:v>42801</c:v>
                </c:pt>
                <c:pt idx="350">
                  <c:v>42802</c:v>
                </c:pt>
                <c:pt idx="351">
                  <c:v>42803</c:v>
                </c:pt>
                <c:pt idx="352">
                  <c:v>42804</c:v>
                </c:pt>
                <c:pt idx="353">
                  <c:v>42807</c:v>
                </c:pt>
                <c:pt idx="354">
                  <c:v>42808</c:v>
                </c:pt>
                <c:pt idx="355">
                  <c:v>42809</c:v>
                </c:pt>
                <c:pt idx="356">
                  <c:v>42810</c:v>
                </c:pt>
                <c:pt idx="357">
                  <c:v>42811</c:v>
                </c:pt>
                <c:pt idx="358">
                  <c:v>42814</c:v>
                </c:pt>
                <c:pt idx="359">
                  <c:v>42815</c:v>
                </c:pt>
                <c:pt idx="360">
                  <c:v>42816</c:v>
                </c:pt>
                <c:pt idx="361">
                  <c:v>42817</c:v>
                </c:pt>
                <c:pt idx="362">
                  <c:v>42818</c:v>
                </c:pt>
                <c:pt idx="363">
                  <c:v>42821</c:v>
                </c:pt>
                <c:pt idx="364">
                  <c:v>42822</c:v>
                </c:pt>
                <c:pt idx="365">
                  <c:v>42823</c:v>
                </c:pt>
                <c:pt idx="366">
                  <c:v>42824</c:v>
                </c:pt>
                <c:pt idx="367">
                  <c:v>42825</c:v>
                </c:pt>
                <c:pt idx="368">
                  <c:v>42828</c:v>
                </c:pt>
                <c:pt idx="369">
                  <c:v>42829</c:v>
                </c:pt>
                <c:pt idx="370">
                  <c:v>42830</c:v>
                </c:pt>
                <c:pt idx="371">
                  <c:v>42831</c:v>
                </c:pt>
                <c:pt idx="372">
                  <c:v>42832</c:v>
                </c:pt>
                <c:pt idx="373">
                  <c:v>42835</c:v>
                </c:pt>
                <c:pt idx="374">
                  <c:v>42836</c:v>
                </c:pt>
                <c:pt idx="375">
                  <c:v>42837</c:v>
                </c:pt>
                <c:pt idx="376">
                  <c:v>42838</c:v>
                </c:pt>
                <c:pt idx="377">
                  <c:v>42842</c:v>
                </c:pt>
                <c:pt idx="378">
                  <c:v>42843</c:v>
                </c:pt>
                <c:pt idx="379">
                  <c:v>42844</c:v>
                </c:pt>
                <c:pt idx="380">
                  <c:v>42845</c:v>
                </c:pt>
                <c:pt idx="381">
                  <c:v>42846</c:v>
                </c:pt>
                <c:pt idx="382">
                  <c:v>42849</c:v>
                </c:pt>
                <c:pt idx="383">
                  <c:v>42850</c:v>
                </c:pt>
                <c:pt idx="384">
                  <c:v>42851</c:v>
                </c:pt>
                <c:pt idx="385">
                  <c:v>42852</c:v>
                </c:pt>
                <c:pt idx="386">
                  <c:v>42853</c:v>
                </c:pt>
                <c:pt idx="387">
                  <c:v>42856</c:v>
                </c:pt>
                <c:pt idx="388">
                  <c:v>42857</c:v>
                </c:pt>
                <c:pt idx="389">
                  <c:v>42858</c:v>
                </c:pt>
                <c:pt idx="390">
                  <c:v>42859</c:v>
                </c:pt>
                <c:pt idx="391">
                  <c:v>42860</c:v>
                </c:pt>
                <c:pt idx="392">
                  <c:v>42863</c:v>
                </c:pt>
                <c:pt idx="393">
                  <c:v>42864</c:v>
                </c:pt>
                <c:pt idx="394">
                  <c:v>42865</c:v>
                </c:pt>
                <c:pt idx="395">
                  <c:v>42866</c:v>
                </c:pt>
                <c:pt idx="396">
                  <c:v>42867</c:v>
                </c:pt>
                <c:pt idx="397">
                  <c:v>42870</c:v>
                </c:pt>
                <c:pt idx="398">
                  <c:v>42871</c:v>
                </c:pt>
                <c:pt idx="399">
                  <c:v>42872</c:v>
                </c:pt>
                <c:pt idx="400">
                  <c:v>42873</c:v>
                </c:pt>
                <c:pt idx="401">
                  <c:v>42874</c:v>
                </c:pt>
                <c:pt idx="402">
                  <c:v>42877</c:v>
                </c:pt>
                <c:pt idx="403">
                  <c:v>42878</c:v>
                </c:pt>
                <c:pt idx="404">
                  <c:v>42879</c:v>
                </c:pt>
                <c:pt idx="405">
                  <c:v>42880</c:v>
                </c:pt>
                <c:pt idx="406">
                  <c:v>42881</c:v>
                </c:pt>
                <c:pt idx="407">
                  <c:v>42885</c:v>
                </c:pt>
                <c:pt idx="408">
                  <c:v>42886</c:v>
                </c:pt>
                <c:pt idx="409">
                  <c:v>42887</c:v>
                </c:pt>
                <c:pt idx="410">
                  <c:v>42888</c:v>
                </c:pt>
                <c:pt idx="411">
                  <c:v>42891</c:v>
                </c:pt>
                <c:pt idx="412">
                  <c:v>42892</c:v>
                </c:pt>
                <c:pt idx="413">
                  <c:v>42893</c:v>
                </c:pt>
                <c:pt idx="414">
                  <c:v>42894</c:v>
                </c:pt>
                <c:pt idx="415">
                  <c:v>42895</c:v>
                </c:pt>
                <c:pt idx="416">
                  <c:v>42898</c:v>
                </c:pt>
                <c:pt idx="417">
                  <c:v>42899</c:v>
                </c:pt>
                <c:pt idx="418">
                  <c:v>42900</c:v>
                </c:pt>
                <c:pt idx="419">
                  <c:v>42901</c:v>
                </c:pt>
                <c:pt idx="420">
                  <c:v>42902</c:v>
                </c:pt>
                <c:pt idx="421">
                  <c:v>42905</c:v>
                </c:pt>
                <c:pt idx="422">
                  <c:v>42906</c:v>
                </c:pt>
                <c:pt idx="423">
                  <c:v>42907</c:v>
                </c:pt>
                <c:pt idx="424">
                  <c:v>42908</c:v>
                </c:pt>
                <c:pt idx="425">
                  <c:v>42909</c:v>
                </c:pt>
                <c:pt idx="426">
                  <c:v>42912</c:v>
                </c:pt>
                <c:pt idx="427">
                  <c:v>42913</c:v>
                </c:pt>
                <c:pt idx="428">
                  <c:v>42914</c:v>
                </c:pt>
                <c:pt idx="429">
                  <c:v>42915</c:v>
                </c:pt>
                <c:pt idx="430">
                  <c:v>42916</c:v>
                </c:pt>
                <c:pt idx="431">
                  <c:v>42919</c:v>
                </c:pt>
                <c:pt idx="432">
                  <c:v>42921</c:v>
                </c:pt>
                <c:pt idx="433">
                  <c:v>42922</c:v>
                </c:pt>
                <c:pt idx="434">
                  <c:v>42923</c:v>
                </c:pt>
                <c:pt idx="435">
                  <c:v>42926</c:v>
                </c:pt>
                <c:pt idx="436">
                  <c:v>42927</c:v>
                </c:pt>
                <c:pt idx="437">
                  <c:v>42928</c:v>
                </c:pt>
                <c:pt idx="438">
                  <c:v>42929</c:v>
                </c:pt>
                <c:pt idx="439">
                  <c:v>42930</c:v>
                </c:pt>
                <c:pt idx="440">
                  <c:v>42933</c:v>
                </c:pt>
                <c:pt idx="441">
                  <c:v>42934</c:v>
                </c:pt>
                <c:pt idx="442">
                  <c:v>42935</c:v>
                </c:pt>
                <c:pt idx="443">
                  <c:v>42936</c:v>
                </c:pt>
                <c:pt idx="444">
                  <c:v>42937</c:v>
                </c:pt>
                <c:pt idx="445">
                  <c:v>42940</c:v>
                </c:pt>
                <c:pt idx="446">
                  <c:v>42941</c:v>
                </c:pt>
                <c:pt idx="447">
                  <c:v>42942</c:v>
                </c:pt>
                <c:pt idx="448">
                  <c:v>42943</c:v>
                </c:pt>
                <c:pt idx="449">
                  <c:v>42944</c:v>
                </c:pt>
                <c:pt idx="450">
                  <c:v>42947</c:v>
                </c:pt>
                <c:pt idx="451">
                  <c:v>42948</c:v>
                </c:pt>
                <c:pt idx="452">
                  <c:v>42949</c:v>
                </c:pt>
                <c:pt idx="453">
                  <c:v>42950</c:v>
                </c:pt>
                <c:pt idx="454">
                  <c:v>42951</c:v>
                </c:pt>
                <c:pt idx="455">
                  <c:v>42954</c:v>
                </c:pt>
                <c:pt idx="456">
                  <c:v>42955</c:v>
                </c:pt>
                <c:pt idx="457">
                  <c:v>42956</c:v>
                </c:pt>
                <c:pt idx="458">
                  <c:v>42957</c:v>
                </c:pt>
                <c:pt idx="459">
                  <c:v>42958</c:v>
                </c:pt>
                <c:pt idx="460">
                  <c:v>42961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42965</c:v>
                </c:pt>
                <c:pt idx="465">
                  <c:v>42968</c:v>
                </c:pt>
                <c:pt idx="466">
                  <c:v>42969</c:v>
                </c:pt>
                <c:pt idx="467">
                  <c:v>42970</c:v>
                </c:pt>
                <c:pt idx="468">
                  <c:v>42971</c:v>
                </c:pt>
                <c:pt idx="469">
                  <c:v>42972</c:v>
                </c:pt>
                <c:pt idx="470">
                  <c:v>42975</c:v>
                </c:pt>
                <c:pt idx="471">
                  <c:v>42976</c:v>
                </c:pt>
                <c:pt idx="472">
                  <c:v>42977</c:v>
                </c:pt>
                <c:pt idx="473">
                  <c:v>42978</c:v>
                </c:pt>
                <c:pt idx="474">
                  <c:v>42979</c:v>
                </c:pt>
                <c:pt idx="475">
                  <c:v>42983</c:v>
                </c:pt>
                <c:pt idx="476">
                  <c:v>42984</c:v>
                </c:pt>
                <c:pt idx="477">
                  <c:v>42985</c:v>
                </c:pt>
                <c:pt idx="478">
                  <c:v>42986</c:v>
                </c:pt>
                <c:pt idx="479">
                  <c:v>42989</c:v>
                </c:pt>
                <c:pt idx="480">
                  <c:v>42990</c:v>
                </c:pt>
                <c:pt idx="481">
                  <c:v>42991</c:v>
                </c:pt>
                <c:pt idx="482">
                  <c:v>42992</c:v>
                </c:pt>
                <c:pt idx="483">
                  <c:v>42993</c:v>
                </c:pt>
                <c:pt idx="484">
                  <c:v>42996</c:v>
                </c:pt>
                <c:pt idx="485">
                  <c:v>42997</c:v>
                </c:pt>
                <c:pt idx="486">
                  <c:v>42998</c:v>
                </c:pt>
                <c:pt idx="487">
                  <c:v>42999</c:v>
                </c:pt>
                <c:pt idx="488">
                  <c:v>43000</c:v>
                </c:pt>
                <c:pt idx="489">
                  <c:v>43003</c:v>
                </c:pt>
                <c:pt idx="490">
                  <c:v>43004</c:v>
                </c:pt>
                <c:pt idx="491">
                  <c:v>43005</c:v>
                </c:pt>
                <c:pt idx="492">
                  <c:v>43006</c:v>
                </c:pt>
                <c:pt idx="493">
                  <c:v>43007</c:v>
                </c:pt>
                <c:pt idx="494">
                  <c:v>43010</c:v>
                </c:pt>
                <c:pt idx="495">
                  <c:v>43011</c:v>
                </c:pt>
                <c:pt idx="496">
                  <c:v>43012</c:v>
                </c:pt>
                <c:pt idx="497">
                  <c:v>43013</c:v>
                </c:pt>
                <c:pt idx="498">
                  <c:v>43014</c:v>
                </c:pt>
                <c:pt idx="499">
                  <c:v>43017</c:v>
                </c:pt>
                <c:pt idx="500">
                  <c:v>43018</c:v>
                </c:pt>
                <c:pt idx="501">
                  <c:v>43019</c:v>
                </c:pt>
                <c:pt idx="502">
                  <c:v>43020</c:v>
                </c:pt>
                <c:pt idx="503">
                  <c:v>43021</c:v>
                </c:pt>
                <c:pt idx="504">
                  <c:v>43024</c:v>
                </c:pt>
                <c:pt idx="505">
                  <c:v>43025</c:v>
                </c:pt>
                <c:pt idx="506">
                  <c:v>43026</c:v>
                </c:pt>
                <c:pt idx="507">
                  <c:v>43027</c:v>
                </c:pt>
                <c:pt idx="508">
                  <c:v>43028</c:v>
                </c:pt>
                <c:pt idx="509">
                  <c:v>43031</c:v>
                </c:pt>
                <c:pt idx="510">
                  <c:v>43032</c:v>
                </c:pt>
                <c:pt idx="511">
                  <c:v>43033</c:v>
                </c:pt>
                <c:pt idx="512">
                  <c:v>43034</c:v>
                </c:pt>
                <c:pt idx="513">
                  <c:v>43035</c:v>
                </c:pt>
                <c:pt idx="514">
                  <c:v>43038</c:v>
                </c:pt>
                <c:pt idx="515">
                  <c:v>43039</c:v>
                </c:pt>
                <c:pt idx="516">
                  <c:v>43040</c:v>
                </c:pt>
                <c:pt idx="517">
                  <c:v>43041</c:v>
                </c:pt>
                <c:pt idx="518">
                  <c:v>43042</c:v>
                </c:pt>
                <c:pt idx="519">
                  <c:v>43045</c:v>
                </c:pt>
                <c:pt idx="520">
                  <c:v>43046</c:v>
                </c:pt>
                <c:pt idx="521">
                  <c:v>43047</c:v>
                </c:pt>
                <c:pt idx="522">
                  <c:v>43048</c:v>
                </c:pt>
                <c:pt idx="523">
                  <c:v>43049</c:v>
                </c:pt>
                <c:pt idx="524">
                  <c:v>43052</c:v>
                </c:pt>
                <c:pt idx="525">
                  <c:v>43053</c:v>
                </c:pt>
                <c:pt idx="526">
                  <c:v>43054</c:v>
                </c:pt>
                <c:pt idx="527">
                  <c:v>43055</c:v>
                </c:pt>
                <c:pt idx="528">
                  <c:v>43056</c:v>
                </c:pt>
                <c:pt idx="529">
                  <c:v>43059</c:v>
                </c:pt>
                <c:pt idx="530">
                  <c:v>43060</c:v>
                </c:pt>
                <c:pt idx="531">
                  <c:v>43061</c:v>
                </c:pt>
                <c:pt idx="532">
                  <c:v>43063</c:v>
                </c:pt>
                <c:pt idx="533">
                  <c:v>43066</c:v>
                </c:pt>
                <c:pt idx="534">
                  <c:v>43067</c:v>
                </c:pt>
                <c:pt idx="535">
                  <c:v>43068</c:v>
                </c:pt>
                <c:pt idx="536">
                  <c:v>43069</c:v>
                </c:pt>
                <c:pt idx="537">
                  <c:v>43070</c:v>
                </c:pt>
                <c:pt idx="538">
                  <c:v>43073</c:v>
                </c:pt>
                <c:pt idx="539">
                  <c:v>43074</c:v>
                </c:pt>
                <c:pt idx="540">
                  <c:v>43075</c:v>
                </c:pt>
                <c:pt idx="541">
                  <c:v>43076</c:v>
                </c:pt>
                <c:pt idx="542">
                  <c:v>43077</c:v>
                </c:pt>
                <c:pt idx="543">
                  <c:v>43080</c:v>
                </c:pt>
                <c:pt idx="544">
                  <c:v>43081</c:v>
                </c:pt>
                <c:pt idx="545">
                  <c:v>43082</c:v>
                </c:pt>
                <c:pt idx="546">
                  <c:v>43083</c:v>
                </c:pt>
                <c:pt idx="547">
                  <c:v>43084</c:v>
                </c:pt>
                <c:pt idx="548">
                  <c:v>43087</c:v>
                </c:pt>
                <c:pt idx="549">
                  <c:v>43088</c:v>
                </c:pt>
                <c:pt idx="550">
                  <c:v>43089</c:v>
                </c:pt>
                <c:pt idx="551">
                  <c:v>43090</c:v>
                </c:pt>
                <c:pt idx="552">
                  <c:v>43091</c:v>
                </c:pt>
                <c:pt idx="553">
                  <c:v>43095</c:v>
                </c:pt>
                <c:pt idx="554">
                  <c:v>43096</c:v>
                </c:pt>
                <c:pt idx="555">
                  <c:v>43097</c:v>
                </c:pt>
                <c:pt idx="556">
                  <c:v>43098</c:v>
                </c:pt>
                <c:pt idx="557">
                  <c:v>43102</c:v>
                </c:pt>
                <c:pt idx="558">
                  <c:v>43103</c:v>
                </c:pt>
                <c:pt idx="559">
                  <c:v>43104</c:v>
                </c:pt>
                <c:pt idx="560">
                  <c:v>43105</c:v>
                </c:pt>
                <c:pt idx="561">
                  <c:v>43108</c:v>
                </c:pt>
                <c:pt idx="562">
                  <c:v>43109</c:v>
                </c:pt>
                <c:pt idx="563">
                  <c:v>43110</c:v>
                </c:pt>
                <c:pt idx="564">
                  <c:v>43111</c:v>
                </c:pt>
                <c:pt idx="565">
                  <c:v>43112</c:v>
                </c:pt>
                <c:pt idx="566">
                  <c:v>43116</c:v>
                </c:pt>
                <c:pt idx="567">
                  <c:v>43117</c:v>
                </c:pt>
                <c:pt idx="568">
                  <c:v>43118</c:v>
                </c:pt>
                <c:pt idx="569">
                  <c:v>43119</c:v>
                </c:pt>
                <c:pt idx="570">
                  <c:v>43122</c:v>
                </c:pt>
                <c:pt idx="571">
                  <c:v>43123</c:v>
                </c:pt>
                <c:pt idx="572">
                  <c:v>43124</c:v>
                </c:pt>
                <c:pt idx="573">
                  <c:v>43125</c:v>
                </c:pt>
                <c:pt idx="574">
                  <c:v>43126</c:v>
                </c:pt>
                <c:pt idx="575">
                  <c:v>43129</c:v>
                </c:pt>
                <c:pt idx="576">
                  <c:v>43130</c:v>
                </c:pt>
                <c:pt idx="577">
                  <c:v>43131</c:v>
                </c:pt>
                <c:pt idx="578">
                  <c:v>43132</c:v>
                </c:pt>
                <c:pt idx="579">
                  <c:v>43133</c:v>
                </c:pt>
                <c:pt idx="580">
                  <c:v>43136</c:v>
                </c:pt>
                <c:pt idx="581">
                  <c:v>43137</c:v>
                </c:pt>
                <c:pt idx="582">
                  <c:v>43138</c:v>
                </c:pt>
                <c:pt idx="583">
                  <c:v>43139</c:v>
                </c:pt>
                <c:pt idx="584">
                  <c:v>43140</c:v>
                </c:pt>
                <c:pt idx="585">
                  <c:v>43143</c:v>
                </c:pt>
                <c:pt idx="586">
                  <c:v>43144</c:v>
                </c:pt>
                <c:pt idx="587">
                  <c:v>43145</c:v>
                </c:pt>
                <c:pt idx="588">
                  <c:v>43146</c:v>
                </c:pt>
                <c:pt idx="589">
                  <c:v>43147</c:v>
                </c:pt>
                <c:pt idx="590">
                  <c:v>43151</c:v>
                </c:pt>
                <c:pt idx="591">
                  <c:v>43152</c:v>
                </c:pt>
                <c:pt idx="592">
                  <c:v>43153</c:v>
                </c:pt>
                <c:pt idx="593">
                  <c:v>43154</c:v>
                </c:pt>
                <c:pt idx="594">
                  <c:v>43157</c:v>
                </c:pt>
                <c:pt idx="595">
                  <c:v>43158</c:v>
                </c:pt>
                <c:pt idx="596">
                  <c:v>43159</c:v>
                </c:pt>
                <c:pt idx="597">
                  <c:v>43160</c:v>
                </c:pt>
                <c:pt idx="598">
                  <c:v>43161</c:v>
                </c:pt>
                <c:pt idx="599">
                  <c:v>43164</c:v>
                </c:pt>
                <c:pt idx="600">
                  <c:v>43165</c:v>
                </c:pt>
                <c:pt idx="601">
                  <c:v>43166</c:v>
                </c:pt>
                <c:pt idx="602">
                  <c:v>43167</c:v>
                </c:pt>
                <c:pt idx="603">
                  <c:v>43168</c:v>
                </c:pt>
                <c:pt idx="604">
                  <c:v>43171</c:v>
                </c:pt>
                <c:pt idx="605">
                  <c:v>43172</c:v>
                </c:pt>
                <c:pt idx="606">
                  <c:v>43173</c:v>
                </c:pt>
                <c:pt idx="607">
                  <c:v>43174</c:v>
                </c:pt>
                <c:pt idx="608">
                  <c:v>43175</c:v>
                </c:pt>
                <c:pt idx="609">
                  <c:v>43178</c:v>
                </c:pt>
                <c:pt idx="610">
                  <c:v>43179</c:v>
                </c:pt>
                <c:pt idx="611">
                  <c:v>43180</c:v>
                </c:pt>
                <c:pt idx="612">
                  <c:v>43181</c:v>
                </c:pt>
                <c:pt idx="613">
                  <c:v>43182</c:v>
                </c:pt>
                <c:pt idx="614">
                  <c:v>43185</c:v>
                </c:pt>
                <c:pt idx="615">
                  <c:v>43186</c:v>
                </c:pt>
                <c:pt idx="616">
                  <c:v>43187</c:v>
                </c:pt>
                <c:pt idx="617">
                  <c:v>43188</c:v>
                </c:pt>
                <c:pt idx="618">
                  <c:v>43192</c:v>
                </c:pt>
                <c:pt idx="619">
                  <c:v>43193</c:v>
                </c:pt>
                <c:pt idx="620">
                  <c:v>43194</c:v>
                </c:pt>
                <c:pt idx="621">
                  <c:v>43195</c:v>
                </c:pt>
                <c:pt idx="622">
                  <c:v>43196</c:v>
                </c:pt>
                <c:pt idx="623">
                  <c:v>43199</c:v>
                </c:pt>
                <c:pt idx="624">
                  <c:v>43200</c:v>
                </c:pt>
                <c:pt idx="625">
                  <c:v>43201</c:v>
                </c:pt>
                <c:pt idx="626">
                  <c:v>43202</c:v>
                </c:pt>
                <c:pt idx="627">
                  <c:v>43203</c:v>
                </c:pt>
                <c:pt idx="628">
                  <c:v>43206</c:v>
                </c:pt>
                <c:pt idx="629">
                  <c:v>43207</c:v>
                </c:pt>
                <c:pt idx="630">
                  <c:v>43208</c:v>
                </c:pt>
                <c:pt idx="631">
                  <c:v>43209</c:v>
                </c:pt>
                <c:pt idx="632">
                  <c:v>43210</c:v>
                </c:pt>
                <c:pt idx="633">
                  <c:v>43213</c:v>
                </c:pt>
                <c:pt idx="634">
                  <c:v>43214</c:v>
                </c:pt>
                <c:pt idx="635">
                  <c:v>43215</c:v>
                </c:pt>
                <c:pt idx="636">
                  <c:v>43216</c:v>
                </c:pt>
                <c:pt idx="637">
                  <c:v>43217</c:v>
                </c:pt>
                <c:pt idx="638">
                  <c:v>43220</c:v>
                </c:pt>
                <c:pt idx="639">
                  <c:v>43221</c:v>
                </c:pt>
                <c:pt idx="640">
                  <c:v>43222</c:v>
                </c:pt>
                <c:pt idx="641">
                  <c:v>43223</c:v>
                </c:pt>
                <c:pt idx="642">
                  <c:v>43224</c:v>
                </c:pt>
                <c:pt idx="643">
                  <c:v>43227</c:v>
                </c:pt>
                <c:pt idx="644">
                  <c:v>43228</c:v>
                </c:pt>
                <c:pt idx="645">
                  <c:v>43229</c:v>
                </c:pt>
                <c:pt idx="646">
                  <c:v>43230</c:v>
                </c:pt>
                <c:pt idx="647">
                  <c:v>43231</c:v>
                </c:pt>
                <c:pt idx="648">
                  <c:v>43234</c:v>
                </c:pt>
                <c:pt idx="649">
                  <c:v>43235</c:v>
                </c:pt>
                <c:pt idx="650">
                  <c:v>43236</c:v>
                </c:pt>
                <c:pt idx="651">
                  <c:v>43237</c:v>
                </c:pt>
                <c:pt idx="652">
                  <c:v>43238</c:v>
                </c:pt>
                <c:pt idx="653">
                  <c:v>43241</c:v>
                </c:pt>
                <c:pt idx="654">
                  <c:v>43242</c:v>
                </c:pt>
                <c:pt idx="655">
                  <c:v>43243</c:v>
                </c:pt>
                <c:pt idx="656">
                  <c:v>43244</c:v>
                </c:pt>
                <c:pt idx="657">
                  <c:v>43245</c:v>
                </c:pt>
                <c:pt idx="658">
                  <c:v>43249</c:v>
                </c:pt>
                <c:pt idx="659">
                  <c:v>43250</c:v>
                </c:pt>
                <c:pt idx="660">
                  <c:v>43251</c:v>
                </c:pt>
                <c:pt idx="661">
                  <c:v>43252</c:v>
                </c:pt>
                <c:pt idx="662">
                  <c:v>43255</c:v>
                </c:pt>
                <c:pt idx="663">
                  <c:v>43256</c:v>
                </c:pt>
                <c:pt idx="664">
                  <c:v>43257</c:v>
                </c:pt>
                <c:pt idx="665">
                  <c:v>43258</c:v>
                </c:pt>
                <c:pt idx="666">
                  <c:v>43259</c:v>
                </c:pt>
                <c:pt idx="667">
                  <c:v>43262</c:v>
                </c:pt>
                <c:pt idx="668">
                  <c:v>43263</c:v>
                </c:pt>
                <c:pt idx="669">
                  <c:v>43264</c:v>
                </c:pt>
                <c:pt idx="670">
                  <c:v>43265</c:v>
                </c:pt>
                <c:pt idx="671">
                  <c:v>43266</c:v>
                </c:pt>
                <c:pt idx="672">
                  <c:v>43269</c:v>
                </c:pt>
                <c:pt idx="673">
                  <c:v>43270</c:v>
                </c:pt>
                <c:pt idx="674">
                  <c:v>43271</c:v>
                </c:pt>
                <c:pt idx="675">
                  <c:v>43272</c:v>
                </c:pt>
                <c:pt idx="676">
                  <c:v>43273</c:v>
                </c:pt>
                <c:pt idx="677">
                  <c:v>43276</c:v>
                </c:pt>
                <c:pt idx="678">
                  <c:v>43277</c:v>
                </c:pt>
                <c:pt idx="679">
                  <c:v>43278</c:v>
                </c:pt>
                <c:pt idx="680">
                  <c:v>43279</c:v>
                </c:pt>
                <c:pt idx="681">
                  <c:v>43280</c:v>
                </c:pt>
                <c:pt idx="682">
                  <c:v>43283</c:v>
                </c:pt>
                <c:pt idx="683">
                  <c:v>43284</c:v>
                </c:pt>
                <c:pt idx="684">
                  <c:v>43286</c:v>
                </c:pt>
                <c:pt idx="685">
                  <c:v>43287</c:v>
                </c:pt>
                <c:pt idx="686">
                  <c:v>43290</c:v>
                </c:pt>
                <c:pt idx="687">
                  <c:v>43291</c:v>
                </c:pt>
                <c:pt idx="688">
                  <c:v>43292</c:v>
                </c:pt>
                <c:pt idx="689">
                  <c:v>43293</c:v>
                </c:pt>
                <c:pt idx="690">
                  <c:v>43294</c:v>
                </c:pt>
                <c:pt idx="691">
                  <c:v>43297</c:v>
                </c:pt>
                <c:pt idx="692">
                  <c:v>43298</c:v>
                </c:pt>
                <c:pt idx="693">
                  <c:v>43299</c:v>
                </c:pt>
                <c:pt idx="694">
                  <c:v>43300</c:v>
                </c:pt>
                <c:pt idx="695">
                  <c:v>43301</c:v>
                </c:pt>
                <c:pt idx="696">
                  <c:v>43304</c:v>
                </c:pt>
                <c:pt idx="697">
                  <c:v>43305</c:v>
                </c:pt>
                <c:pt idx="698">
                  <c:v>43306</c:v>
                </c:pt>
                <c:pt idx="699">
                  <c:v>43307</c:v>
                </c:pt>
                <c:pt idx="700">
                  <c:v>43308</c:v>
                </c:pt>
                <c:pt idx="701">
                  <c:v>43311</c:v>
                </c:pt>
                <c:pt idx="702">
                  <c:v>43312</c:v>
                </c:pt>
                <c:pt idx="703">
                  <c:v>43313</c:v>
                </c:pt>
                <c:pt idx="704">
                  <c:v>43314</c:v>
                </c:pt>
                <c:pt idx="705">
                  <c:v>43315</c:v>
                </c:pt>
                <c:pt idx="706">
                  <c:v>43318</c:v>
                </c:pt>
                <c:pt idx="707">
                  <c:v>43319</c:v>
                </c:pt>
                <c:pt idx="708">
                  <c:v>43320</c:v>
                </c:pt>
                <c:pt idx="709">
                  <c:v>43321</c:v>
                </c:pt>
                <c:pt idx="710">
                  <c:v>43322</c:v>
                </c:pt>
                <c:pt idx="711">
                  <c:v>43325</c:v>
                </c:pt>
                <c:pt idx="712">
                  <c:v>43326</c:v>
                </c:pt>
                <c:pt idx="713">
                  <c:v>43327</c:v>
                </c:pt>
                <c:pt idx="714">
                  <c:v>43328</c:v>
                </c:pt>
                <c:pt idx="715">
                  <c:v>43329</c:v>
                </c:pt>
                <c:pt idx="716">
                  <c:v>43332</c:v>
                </c:pt>
                <c:pt idx="717">
                  <c:v>43333</c:v>
                </c:pt>
                <c:pt idx="718">
                  <c:v>43334</c:v>
                </c:pt>
                <c:pt idx="719">
                  <c:v>43335</c:v>
                </c:pt>
                <c:pt idx="720">
                  <c:v>43336</c:v>
                </c:pt>
                <c:pt idx="721">
                  <c:v>43339</c:v>
                </c:pt>
                <c:pt idx="722">
                  <c:v>43340</c:v>
                </c:pt>
                <c:pt idx="723">
                  <c:v>43341</c:v>
                </c:pt>
                <c:pt idx="724">
                  <c:v>43342</c:v>
                </c:pt>
                <c:pt idx="725">
                  <c:v>43343</c:v>
                </c:pt>
                <c:pt idx="726">
                  <c:v>43347</c:v>
                </c:pt>
                <c:pt idx="727">
                  <c:v>43348</c:v>
                </c:pt>
                <c:pt idx="728">
                  <c:v>43349</c:v>
                </c:pt>
                <c:pt idx="729">
                  <c:v>43350</c:v>
                </c:pt>
                <c:pt idx="730">
                  <c:v>43353</c:v>
                </c:pt>
                <c:pt idx="731">
                  <c:v>43354</c:v>
                </c:pt>
                <c:pt idx="732">
                  <c:v>43355</c:v>
                </c:pt>
                <c:pt idx="733">
                  <c:v>43356</c:v>
                </c:pt>
                <c:pt idx="734">
                  <c:v>43357</c:v>
                </c:pt>
                <c:pt idx="735">
                  <c:v>43360</c:v>
                </c:pt>
                <c:pt idx="736">
                  <c:v>43361</c:v>
                </c:pt>
                <c:pt idx="737">
                  <c:v>43362</c:v>
                </c:pt>
                <c:pt idx="738">
                  <c:v>43363</c:v>
                </c:pt>
                <c:pt idx="739">
                  <c:v>43364</c:v>
                </c:pt>
                <c:pt idx="740">
                  <c:v>43367</c:v>
                </c:pt>
                <c:pt idx="741">
                  <c:v>43368</c:v>
                </c:pt>
                <c:pt idx="742">
                  <c:v>43369</c:v>
                </c:pt>
                <c:pt idx="743">
                  <c:v>43370</c:v>
                </c:pt>
                <c:pt idx="744">
                  <c:v>43371</c:v>
                </c:pt>
                <c:pt idx="745">
                  <c:v>43374</c:v>
                </c:pt>
                <c:pt idx="746">
                  <c:v>43375</c:v>
                </c:pt>
                <c:pt idx="747">
                  <c:v>43376</c:v>
                </c:pt>
                <c:pt idx="748">
                  <c:v>43377</c:v>
                </c:pt>
                <c:pt idx="749">
                  <c:v>43378</c:v>
                </c:pt>
                <c:pt idx="750">
                  <c:v>43381</c:v>
                </c:pt>
                <c:pt idx="751">
                  <c:v>43382</c:v>
                </c:pt>
                <c:pt idx="752">
                  <c:v>43383</c:v>
                </c:pt>
                <c:pt idx="753">
                  <c:v>43384</c:v>
                </c:pt>
                <c:pt idx="754">
                  <c:v>43385</c:v>
                </c:pt>
                <c:pt idx="755">
                  <c:v>43388</c:v>
                </c:pt>
              </c:numCache>
            </c:numRef>
          </c:xVal>
          <c:yVal>
            <c:numRef>
              <c:f>'tesla-stock-price (4)'!$B$5:$B$760</c:f>
              <c:numCache>
                <c:formatCode>General</c:formatCode>
                <c:ptCount val="756"/>
                <c:pt idx="0">
                  <c:v>221.31</c:v>
                </c:pt>
                <c:pt idx="1">
                  <c:v>227.01</c:v>
                </c:pt>
                <c:pt idx="2">
                  <c:v>228.1</c:v>
                </c:pt>
                <c:pt idx="3">
                  <c:v>213.03</c:v>
                </c:pt>
                <c:pt idx="4">
                  <c:v>210.09</c:v>
                </c:pt>
                <c:pt idx="5">
                  <c:v>211.72</c:v>
                </c:pt>
                <c:pt idx="6">
                  <c:v>209.09</c:v>
                </c:pt>
                <c:pt idx="7">
                  <c:v>215.26</c:v>
                </c:pt>
                <c:pt idx="8">
                  <c:v>210.35</c:v>
                </c:pt>
                <c:pt idx="9">
                  <c:v>212.96</c:v>
                </c:pt>
                <c:pt idx="10">
                  <c:v>211.63</c:v>
                </c:pt>
                <c:pt idx="11">
                  <c:v>206.93</c:v>
                </c:pt>
                <c:pt idx="12">
                  <c:v>213.79</c:v>
                </c:pt>
                <c:pt idx="13">
                  <c:v>208.35</c:v>
                </c:pt>
                <c:pt idx="14">
                  <c:v>231.63</c:v>
                </c:pt>
                <c:pt idx="15">
                  <c:v>231.77</c:v>
                </c:pt>
                <c:pt idx="16">
                  <c:v>232.36</c:v>
                </c:pt>
                <c:pt idx="17">
                  <c:v>225.33</c:v>
                </c:pt>
                <c:pt idx="18">
                  <c:v>216.5</c:v>
                </c:pt>
                <c:pt idx="19">
                  <c:v>219.08</c:v>
                </c:pt>
                <c:pt idx="20">
                  <c:v>212.94</c:v>
                </c:pt>
                <c:pt idx="21">
                  <c:v>207.19</c:v>
                </c:pt>
                <c:pt idx="22">
                  <c:v>214.31</c:v>
                </c:pt>
                <c:pt idx="23">
                  <c:v>214</c:v>
                </c:pt>
                <c:pt idx="24">
                  <c:v>221.07</c:v>
                </c:pt>
                <c:pt idx="25">
                  <c:v>221.8</c:v>
                </c:pt>
                <c:pt idx="26">
                  <c:v>220.01</c:v>
                </c:pt>
                <c:pt idx="27">
                  <c:v>217.75</c:v>
                </c:pt>
                <c:pt idx="28">
                  <c:v>218.25</c:v>
                </c:pt>
                <c:pt idx="29">
                  <c:v>229.64</c:v>
                </c:pt>
                <c:pt idx="30">
                  <c:v>231.61</c:v>
                </c:pt>
                <c:pt idx="31">
                  <c:v>230.26</c:v>
                </c:pt>
                <c:pt idx="32">
                  <c:v>237.19</c:v>
                </c:pt>
                <c:pt idx="33">
                  <c:v>231.99</c:v>
                </c:pt>
                <c:pt idx="34">
                  <c:v>232.71</c:v>
                </c:pt>
                <c:pt idx="35">
                  <c:v>230.38</c:v>
                </c:pt>
                <c:pt idx="36">
                  <c:v>231.13</c:v>
                </c:pt>
                <c:pt idx="37">
                  <c:v>226.72</c:v>
                </c:pt>
                <c:pt idx="38">
                  <c:v>224.52</c:v>
                </c:pt>
                <c:pt idx="39">
                  <c:v>227.07</c:v>
                </c:pt>
                <c:pt idx="40">
                  <c:v>217.02</c:v>
                </c:pt>
                <c:pt idx="41">
                  <c:v>218.58</c:v>
                </c:pt>
                <c:pt idx="42">
                  <c:v>221.09</c:v>
                </c:pt>
                <c:pt idx="43">
                  <c:v>234.51</c:v>
                </c:pt>
                <c:pt idx="44">
                  <c:v>233.39</c:v>
                </c:pt>
                <c:pt idx="45">
                  <c:v>230.46</c:v>
                </c:pt>
                <c:pt idx="46">
                  <c:v>232.56</c:v>
                </c:pt>
                <c:pt idx="47">
                  <c:v>229.95</c:v>
                </c:pt>
                <c:pt idx="48">
                  <c:v>229.7</c:v>
                </c:pt>
                <c:pt idx="49">
                  <c:v>230.57</c:v>
                </c:pt>
                <c:pt idx="50">
                  <c:v>228.95</c:v>
                </c:pt>
                <c:pt idx="51">
                  <c:v>237.19</c:v>
                </c:pt>
                <c:pt idx="52">
                  <c:v>238.09</c:v>
                </c:pt>
                <c:pt idx="53">
                  <c:v>240.01</c:v>
                </c:pt>
                <c:pt idx="54">
                  <c:v>223.41</c:v>
                </c:pt>
                <c:pt idx="55">
                  <c:v>223.43</c:v>
                </c:pt>
                <c:pt idx="56">
                  <c:v>219.04</c:v>
                </c:pt>
                <c:pt idx="57">
                  <c:v>215.65</c:v>
                </c:pt>
                <c:pt idx="58">
                  <c:v>211</c:v>
                </c:pt>
                <c:pt idx="59">
                  <c:v>207.85</c:v>
                </c:pt>
                <c:pt idx="60">
                  <c:v>209.97</c:v>
                </c:pt>
                <c:pt idx="61">
                  <c:v>200.31</c:v>
                </c:pt>
                <c:pt idx="62">
                  <c:v>206.18</c:v>
                </c:pt>
                <c:pt idx="63">
                  <c:v>204.99</c:v>
                </c:pt>
                <c:pt idx="64">
                  <c:v>204.72</c:v>
                </c:pt>
                <c:pt idx="65">
                  <c:v>198.7</c:v>
                </c:pt>
                <c:pt idx="66">
                  <c:v>199.97</c:v>
                </c:pt>
                <c:pt idx="67">
                  <c:v>202.55</c:v>
                </c:pt>
                <c:pt idx="68">
                  <c:v>196.38</c:v>
                </c:pt>
                <c:pt idx="69">
                  <c:v>193.56</c:v>
                </c:pt>
                <c:pt idx="70">
                  <c:v>188.07</c:v>
                </c:pt>
                <c:pt idx="71">
                  <c:v>189.7</c:v>
                </c:pt>
                <c:pt idx="72">
                  <c:v>191.2</c:v>
                </c:pt>
                <c:pt idx="73">
                  <c:v>196.94</c:v>
                </c:pt>
                <c:pt idx="74">
                  <c:v>182.78</c:v>
                </c:pt>
                <c:pt idx="75">
                  <c:v>173.48</c:v>
                </c:pt>
                <c:pt idx="76">
                  <c:v>175.33</c:v>
                </c:pt>
                <c:pt idx="77">
                  <c:v>162.6</c:v>
                </c:pt>
                <c:pt idx="78">
                  <c:v>147.99</c:v>
                </c:pt>
                <c:pt idx="79">
                  <c:v>148.25</c:v>
                </c:pt>
                <c:pt idx="80">
                  <c:v>143.66999999999999</c:v>
                </c:pt>
                <c:pt idx="81">
                  <c:v>150.47</c:v>
                </c:pt>
                <c:pt idx="82">
                  <c:v>151.04</c:v>
                </c:pt>
                <c:pt idx="83">
                  <c:v>155.16999999999999</c:v>
                </c:pt>
                <c:pt idx="84">
                  <c:v>168.68</c:v>
                </c:pt>
                <c:pt idx="85">
                  <c:v>166.77</c:v>
                </c:pt>
                <c:pt idx="86">
                  <c:v>166.58</c:v>
                </c:pt>
                <c:pt idx="87">
                  <c:v>177.74</c:v>
                </c:pt>
                <c:pt idx="88">
                  <c:v>177.21</c:v>
                </c:pt>
                <c:pt idx="89">
                  <c:v>179</c:v>
                </c:pt>
                <c:pt idx="90">
                  <c:v>187.43</c:v>
                </c:pt>
                <c:pt idx="91">
                  <c:v>190.34</c:v>
                </c:pt>
                <c:pt idx="92">
                  <c:v>191.93</c:v>
                </c:pt>
                <c:pt idx="93">
                  <c:v>186.35</c:v>
                </c:pt>
                <c:pt idx="94">
                  <c:v>188.34</c:v>
                </c:pt>
                <c:pt idx="95">
                  <c:v>195.74</c:v>
                </c:pt>
                <c:pt idx="96">
                  <c:v>201.04</c:v>
                </c:pt>
                <c:pt idx="97">
                  <c:v>205.29</c:v>
                </c:pt>
                <c:pt idx="98">
                  <c:v>202.6</c:v>
                </c:pt>
                <c:pt idx="99">
                  <c:v>208.72</c:v>
                </c:pt>
                <c:pt idx="100">
                  <c:v>205.18</c:v>
                </c:pt>
                <c:pt idx="101">
                  <c:v>207.5</c:v>
                </c:pt>
                <c:pt idx="102">
                  <c:v>215.15</c:v>
                </c:pt>
                <c:pt idx="103">
                  <c:v>218.34</c:v>
                </c:pt>
                <c:pt idx="104">
                  <c:v>221.93</c:v>
                </c:pt>
                <c:pt idx="105">
                  <c:v>226.38</c:v>
                </c:pt>
                <c:pt idx="106">
                  <c:v>232.74</c:v>
                </c:pt>
                <c:pt idx="107">
                  <c:v>238.32</c:v>
                </c:pt>
                <c:pt idx="108">
                  <c:v>234.24</c:v>
                </c:pt>
                <c:pt idx="109">
                  <c:v>222.58</c:v>
                </c:pt>
                <c:pt idx="110">
                  <c:v>227.75</c:v>
                </c:pt>
                <c:pt idx="111">
                  <c:v>230.26</c:v>
                </c:pt>
                <c:pt idx="112">
                  <c:v>230.13</c:v>
                </c:pt>
                <c:pt idx="113">
                  <c:v>226.89</c:v>
                </c:pt>
                <c:pt idx="114">
                  <c:v>229.77</c:v>
                </c:pt>
                <c:pt idx="115">
                  <c:v>237.59</c:v>
                </c:pt>
                <c:pt idx="116">
                  <c:v>246.99</c:v>
                </c:pt>
                <c:pt idx="117">
                  <c:v>255.47</c:v>
                </c:pt>
                <c:pt idx="118">
                  <c:v>265.42</c:v>
                </c:pt>
                <c:pt idx="119">
                  <c:v>257.2</c:v>
                </c:pt>
                <c:pt idx="120">
                  <c:v>250.07</c:v>
                </c:pt>
                <c:pt idx="121">
                  <c:v>249.92</c:v>
                </c:pt>
                <c:pt idx="122">
                  <c:v>247.82</c:v>
                </c:pt>
                <c:pt idx="123">
                  <c:v>254.53</c:v>
                </c:pt>
                <c:pt idx="124">
                  <c:v>251.86</c:v>
                </c:pt>
                <c:pt idx="125">
                  <c:v>254.51</c:v>
                </c:pt>
                <c:pt idx="126">
                  <c:v>253.88</c:v>
                </c:pt>
                <c:pt idx="127">
                  <c:v>247.37</c:v>
                </c:pt>
                <c:pt idx="128">
                  <c:v>249.97</c:v>
                </c:pt>
                <c:pt idx="129">
                  <c:v>248.29</c:v>
                </c:pt>
                <c:pt idx="130">
                  <c:v>253.75</c:v>
                </c:pt>
                <c:pt idx="131">
                  <c:v>251.82</c:v>
                </c:pt>
                <c:pt idx="132">
                  <c:v>253.74</c:v>
                </c:pt>
                <c:pt idx="133">
                  <c:v>251.47</c:v>
                </c:pt>
                <c:pt idx="134">
                  <c:v>247.71</c:v>
                </c:pt>
                <c:pt idx="135">
                  <c:v>240.76</c:v>
                </c:pt>
                <c:pt idx="136">
                  <c:v>241.8</c:v>
                </c:pt>
                <c:pt idx="137">
                  <c:v>232.32</c:v>
                </c:pt>
                <c:pt idx="138">
                  <c:v>222.56</c:v>
                </c:pt>
                <c:pt idx="139">
                  <c:v>211.53</c:v>
                </c:pt>
                <c:pt idx="140">
                  <c:v>214.93</c:v>
                </c:pt>
                <c:pt idx="141">
                  <c:v>208.92</c:v>
                </c:pt>
                <c:pt idx="142">
                  <c:v>208.69</c:v>
                </c:pt>
                <c:pt idx="143">
                  <c:v>208.96</c:v>
                </c:pt>
                <c:pt idx="144">
                  <c:v>207.28</c:v>
                </c:pt>
                <c:pt idx="145">
                  <c:v>207.61</c:v>
                </c:pt>
                <c:pt idx="146">
                  <c:v>208.29</c:v>
                </c:pt>
                <c:pt idx="147">
                  <c:v>204.66</c:v>
                </c:pt>
                <c:pt idx="148">
                  <c:v>211.17</c:v>
                </c:pt>
                <c:pt idx="149">
                  <c:v>215.21</c:v>
                </c:pt>
                <c:pt idx="150">
                  <c:v>220.28</c:v>
                </c:pt>
                <c:pt idx="151">
                  <c:v>216.22</c:v>
                </c:pt>
                <c:pt idx="152">
                  <c:v>217.91</c:v>
                </c:pt>
                <c:pt idx="153">
                  <c:v>219.58</c:v>
                </c:pt>
                <c:pt idx="154">
                  <c:v>225.12</c:v>
                </c:pt>
                <c:pt idx="155">
                  <c:v>223.04</c:v>
                </c:pt>
                <c:pt idx="156">
                  <c:v>223.23</c:v>
                </c:pt>
                <c:pt idx="157">
                  <c:v>219.56</c:v>
                </c:pt>
                <c:pt idx="158">
                  <c:v>218.96</c:v>
                </c:pt>
                <c:pt idx="159">
                  <c:v>218.99</c:v>
                </c:pt>
                <c:pt idx="160">
                  <c:v>220.68</c:v>
                </c:pt>
                <c:pt idx="161">
                  <c:v>232.34</c:v>
                </c:pt>
                <c:pt idx="162">
                  <c:v>235.52</c:v>
                </c:pt>
                <c:pt idx="163">
                  <c:v>229.36</c:v>
                </c:pt>
                <c:pt idx="164">
                  <c:v>218.79</c:v>
                </c:pt>
                <c:pt idx="165">
                  <c:v>217.87</c:v>
                </c:pt>
                <c:pt idx="166">
                  <c:v>214.96</c:v>
                </c:pt>
                <c:pt idx="167">
                  <c:v>217.7</c:v>
                </c:pt>
                <c:pt idx="168">
                  <c:v>217.93</c:v>
                </c:pt>
                <c:pt idx="169">
                  <c:v>215.47</c:v>
                </c:pt>
                <c:pt idx="170">
                  <c:v>219.7</c:v>
                </c:pt>
                <c:pt idx="171">
                  <c:v>219.61</c:v>
                </c:pt>
                <c:pt idx="172">
                  <c:v>196.66</c:v>
                </c:pt>
                <c:pt idx="173">
                  <c:v>196.4</c:v>
                </c:pt>
                <c:pt idx="174">
                  <c:v>193.15</c:v>
                </c:pt>
                <c:pt idx="175">
                  <c:v>198.55</c:v>
                </c:pt>
                <c:pt idx="176">
                  <c:v>201.79</c:v>
                </c:pt>
                <c:pt idx="177">
                  <c:v>210.19</c:v>
                </c:pt>
                <c:pt idx="178">
                  <c:v>212.28</c:v>
                </c:pt>
                <c:pt idx="179">
                  <c:v>216.5</c:v>
                </c:pt>
                <c:pt idx="180">
                  <c:v>213.98</c:v>
                </c:pt>
                <c:pt idx="181">
                  <c:v>214.44</c:v>
                </c:pt>
                <c:pt idx="182">
                  <c:v>215.94</c:v>
                </c:pt>
                <c:pt idx="183">
                  <c:v>216.78</c:v>
                </c:pt>
                <c:pt idx="184">
                  <c:v>224.78</c:v>
                </c:pt>
                <c:pt idx="185">
                  <c:v>224.65</c:v>
                </c:pt>
                <c:pt idx="186">
                  <c:v>222.53</c:v>
                </c:pt>
                <c:pt idx="187">
                  <c:v>221.53</c:v>
                </c:pt>
                <c:pt idx="188">
                  <c:v>220.4</c:v>
                </c:pt>
                <c:pt idx="189">
                  <c:v>226.25</c:v>
                </c:pt>
                <c:pt idx="190">
                  <c:v>225.26</c:v>
                </c:pt>
                <c:pt idx="191">
                  <c:v>228.36</c:v>
                </c:pt>
                <c:pt idx="192">
                  <c:v>220.5</c:v>
                </c:pt>
                <c:pt idx="193">
                  <c:v>222.27</c:v>
                </c:pt>
                <c:pt idx="194">
                  <c:v>230.01</c:v>
                </c:pt>
                <c:pt idx="195">
                  <c:v>229.51</c:v>
                </c:pt>
                <c:pt idx="196">
                  <c:v>228.49</c:v>
                </c:pt>
                <c:pt idx="197">
                  <c:v>230.61</c:v>
                </c:pt>
                <c:pt idx="198">
                  <c:v>234.79</c:v>
                </c:pt>
                <c:pt idx="199">
                  <c:v>230.01</c:v>
                </c:pt>
                <c:pt idx="200">
                  <c:v>227.2</c:v>
                </c:pt>
                <c:pt idx="201">
                  <c:v>225.79</c:v>
                </c:pt>
                <c:pt idx="202">
                  <c:v>230.61</c:v>
                </c:pt>
                <c:pt idx="203">
                  <c:v>230.03</c:v>
                </c:pt>
                <c:pt idx="204">
                  <c:v>226.16</c:v>
                </c:pt>
                <c:pt idx="205">
                  <c:v>229.08</c:v>
                </c:pt>
                <c:pt idx="206">
                  <c:v>225.65</c:v>
                </c:pt>
                <c:pt idx="207">
                  <c:v>224.91</c:v>
                </c:pt>
                <c:pt idx="208">
                  <c:v>225.61</c:v>
                </c:pt>
                <c:pt idx="209">
                  <c:v>225.59</c:v>
                </c:pt>
                <c:pt idx="210">
                  <c:v>223.61</c:v>
                </c:pt>
                <c:pt idx="211">
                  <c:v>223.24</c:v>
                </c:pt>
                <c:pt idx="212">
                  <c:v>223.51</c:v>
                </c:pt>
                <c:pt idx="213">
                  <c:v>225</c:v>
                </c:pt>
                <c:pt idx="214">
                  <c:v>222.93</c:v>
                </c:pt>
                <c:pt idx="215">
                  <c:v>224.84</c:v>
                </c:pt>
                <c:pt idx="216">
                  <c:v>222.62</c:v>
                </c:pt>
                <c:pt idx="217">
                  <c:v>220.96</c:v>
                </c:pt>
                <c:pt idx="218">
                  <c:v>219.99</c:v>
                </c:pt>
                <c:pt idx="219">
                  <c:v>215.2</c:v>
                </c:pt>
                <c:pt idx="220">
                  <c:v>211.34</c:v>
                </c:pt>
                <c:pt idx="221">
                  <c:v>212.01</c:v>
                </c:pt>
                <c:pt idx="222">
                  <c:v>200.77</c:v>
                </c:pt>
                <c:pt idx="223">
                  <c:v>197.78</c:v>
                </c:pt>
                <c:pt idx="224">
                  <c:v>202.83</c:v>
                </c:pt>
                <c:pt idx="225">
                  <c:v>201.71</c:v>
                </c:pt>
                <c:pt idx="226">
                  <c:v>197.36</c:v>
                </c:pt>
                <c:pt idx="227">
                  <c:v>194.47</c:v>
                </c:pt>
                <c:pt idx="228">
                  <c:v>198.3</c:v>
                </c:pt>
                <c:pt idx="229">
                  <c:v>196.05</c:v>
                </c:pt>
                <c:pt idx="230">
                  <c:v>196.41</c:v>
                </c:pt>
                <c:pt idx="231">
                  <c:v>200.42</c:v>
                </c:pt>
                <c:pt idx="232">
                  <c:v>205.4</c:v>
                </c:pt>
                <c:pt idx="233">
                  <c:v>206.34</c:v>
                </c:pt>
                <c:pt idx="234">
                  <c:v>204.64</c:v>
                </c:pt>
                <c:pt idx="235">
                  <c:v>205.22</c:v>
                </c:pt>
                <c:pt idx="236">
                  <c:v>206.43</c:v>
                </c:pt>
                <c:pt idx="237">
                  <c:v>207.45</c:v>
                </c:pt>
                <c:pt idx="238">
                  <c:v>208.99</c:v>
                </c:pt>
                <c:pt idx="239">
                  <c:v>205.81</c:v>
                </c:pt>
                <c:pt idx="240">
                  <c:v>206.27</c:v>
                </c:pt>
                <c:pt idx="241">
                  <c:v>200.7</c:v>
                </c:pt>
                <c:pt idx="242">
                  <c:v>204.03</c:v>
                </c:pt>
                <c:pt idx="243">
                  <c:v>213.7</c:v>
                </c:pt>
                <c:pt idx="244">
                  <c:v>211.41</c:v>
                </c:pt>
                <c:pt idx="245">
                  <c:v>208.46</c:v>
                </c:pt>
                <c:pt idx="246">
                  <c:v>201</c:v>
                </c:pt>
                <c:pt idx="247">
                  <c:v>196.61</c:v>
                </c:pt>
                <c:pt idx="248">
                  <c:v>200.95</c:v>
                </c:pt>
                <c:pt idx="249">
                  <c:v>200.1</c:v>
                </c:pt>
                <c:pt idx="250">
                  <c:v>201.51</c:v>
                </c:pt>
                <c:pt idx="251">
                  <c:v>200.24</c:v>
                </c:pt>
                <c:pt idx="252">
                  <c:v>196.51</c:v>
                </c:pt>
                <c:pt idx="253">
                  <c:v>193.96</c:v>
                </c:pt>
                <c:pt idx="254">
                  <c:v>199.1</c:v>
                </c:pt>
                <c:pt idx="255">
                  <c:v>203.56</c:v>
                </c:pt>
                <c:pt idx="256">
                  <c:v>199.1</c:v>
                </c:pt>
                <c:pt idx="257">
                  <c:v>200.09</c:v>
                </c:pt>
                <c:pt idx="258">
                  <c:v>202.76</c:v>
                </c:pt>
                <c:pt idx="259">
                  <c:v>202.34</c:v>
                </c:pt>
                <c:pt idx="260">
                  <c:v>202.24</c:v>
                </c:pt>
                <c:pt idx="261">
                  <c:v>204.01</c:v>
                </c:pt>
                <c:pt idx="262">
                  <c:v>199.97</c:v>
                </c:pt>
                <c:pt idx="263">
                  <c:v>197.73</c:v>
                </c:pt>
                <c:pt idx="264">
                  <c:v>190.79</c:v>
                </c:pt>
                <c:pt idx="265">
                  <c:v>188.02</c:v>
                </c:pt>
                <c:pt idx="266">
                  <c:v>187.42</c:v>
                </c:pt>
                <c:pt idx="267">
                  <c:v>190.56</c:v>
                </c:pt>
                <c:pt idx="268">
                  <c:v>193.21</c:v>
                </c:pt>
                <c:pt idx="269">
                  <c:v>194.94</c:v>
                </c:pt>
                <c:pt idx="270">
                  <c:v>190.06</c:v>
                </c:pt>
                <c:pt idx="271">
                  <c:v>185.35</c:v>
                </c:pt>
                <c:pt idx="272">
                  <c:v>188.56</c:v>
                </c:pt>
                <c:pt idx="273">
                  <c:v>181.45</c:v>
                </c:pt>
                <c:pt idx="274">
                  <c:v>183.77</c:v>
                </c:pt>
                <c:pt idx="275">
                  <c:v>183.93</c:v>
                </c:pt>
                <c:pt idx="276">
                  <c:v>188.66</c:v>
                </c:pt>
                <c:pt idx="277">
                  <c:v>185.02</c:v>
                </c:pt>
                <c:pt idx="278">
                  <c:v>184.52</c:v>
                </c:pt>
                <c:pt idx="279">
                  <c:v>191.17</c:v>
                </c:pt>
                <c:pt idx="280">
                  <c:v>193.14</c:v>
                </c:pt>
                <c:pt idx="281">
                  <c:v>196.65</c:v>
                </c:pt>
                <c:pt idx="282">
                  <c:v>196.12</c:v>
                </c:pt>
                <c:pt idx="283">
                  <c:v>189.57</c:v>
                </c:pt>
                <c:pt idx="284">
                  <c:v>189.4</c:v>
                </c:pt>
                <c:pt idx="285">
                  <c:v>181.88</c:v>
                </c:pt>
                <c:pt idx="286">
                  <c:v>181.47</c:v>
                </c:pt>
                <c:pt idx="287">
                  <c:v>186.8</c:v>
                </c:pt>
                <c:pt idx="288">
                  <c:v>185.85</c:v>
                </c:pt>
                <c:pt idx="289">
                  <c:v>193.15</c:v>
                </c:pt>
                <c:pt idx="290">
                  <c:v>192.29</c:v>
                </c:pt>
                <c:pt idx="291">
                  <c:v>192.18</c:v>
                </c:pt>
                <c:pt idx="292">
                  <c:v>192.43</c:v>
                </c:pt>
                <c:pt idx="293">
                  <c:v>198.15</c:v>
                </c:pt>
                <c:pt idx="294">
                  <c:v>198.69</c:v>
                </c:pt>
                <c:pt idx="295">
                  <c:v>197.58</c:v>
                </c:pt>
                <c:pt idx="296">
                  <c:v>202.49</c:v>
                </c:pt>
                <c:pt idx="297">
                  <c:v>202.73</c:v>
                </c:pt>
                <c:pt idx="298">
                  <c:v>208.79</c:v>
                </c:pt>
                <c:pt idx="299">
                  <c:v>207.7</c:v>
                </c:pt>
                <c:pt idx="300">
                  <c:v>208.45</c:v>
                </c:pt>
                <c:pt idx="301">
                  <c:v>213.34</c:v>
                </c:pt>
                <c:pt idx="302">
                  <c:v>219.53</c:v>
                </c:pt>
                <c:pt idx="303">
                  <c:v>219.74</c:v>
                </c:pt>
                <c:pt idx="304">
                  <c:v>214.68</c:v>
                </c:pt>
                <c:pt idx="305">
                  <c:v>213.69</c:v>
                </c:pt>
                <c:pt idx="306">
                  <c:v>216.99</c:v>
                </c:pt>
                <c:pt idx="307">
                  <c:v>226.99</c:v>
                </c:pt>
                <c:pt idx="308">
                  <c:v>226.75</c:v>
                </c:pt>
                <c:pt idx="309">
                  <c:v>229.01</c:v>
                </c:pt>
                <c:pt idx="310">
                  <c:v>231.28</c:v>
                </c:pt>
                <c:pt idx="311">
                  <c:v>229.87</c:v>
                </c:pt>
                <c:pt idx="312">
                  <c:v>229.73</c:v>
                </c:pt>
                <c:pt idx="313">
                  <c:v>229.59</c:v>
                </c:pt>
                <c:pt idx="314">
                  <c:v>237.75</c:v>
                </c:pt>
                <c:pt idx="315">
                  <c:v>235.58</c:v>
                </c:pt>
                <c:pt idx="316">
                  <c:v>238.36</c:v>
                </c:pt>
                <c:pt idx="317">
                  <c:v>243.76</c:v>
                </c:pt>
                <c:pt idx="318">
                  <c:v>244.73</c:v>
                </c:pt>
                <c:pt idx="319">
                  <c:v>248.92</c:v>
                </c:pt>
                <c:pt idx="320">
                  <c:v>254.61</c:v>
                </c:pt>
                <c:pt idx="321">
                  <c:v>254.47</c:v>
                </c:pt>
                <c:pt idx="322">
                  <c:v>252.51</c:v>
                </c:pt>
                <c:pt idx="323">
                  <c:v>252.95</c:v>
                </c:pt>
                <c:pt idx="324">
                  <c:v>250.63</c:v>
                </c:pt>
                <c:pt idx="325">
                  <c:v>251.93</c:v>
                </c:pt>
                <c:pt idx="326">
                  <c:v>249.24</c:v>
                </c:pt>
                <c:pt idx="327">
                  <c:v>251.55</c:v>
                </c:pt>
                <c:pt idx="328">
                  <c:v>251.33</c:v>
                </c:pt>
                <c:pt idx="329">
                  <c:v>257.77</c:v>
                </c:pt>
                <c:pt idx="330">
                  <c:v>257.48</c:v>
                </c:pt>
                <c:pt idx="331">
                  <c:v>262.08</c:v>
                </c:pt>
                <c:pt idx="332">
                  <c:v>269.2</c:v>
                </c:pt>
                <c:pt idx="333">
                  <c:v>269.23</c:v>
                </c:pt>
                <c:pt idx="334">
                  <c:v>280.60000000000002</c:v>
                </c:pt>
                <c:pt idx="335">
                  <c:v>280.98</c:v>
                </c:pt>
                <c:pt idx="336">
                  <c:v>279.76</c:v>
                </c:pt>
                <c:pt idx="337">
                  <c:v>268.95</c:v>
                </c:pt>
                <c:pt idx="338">
                  <c:v>272.23</c:v>
                </c:pt>
                <c:pt idx="339">
                  <c:v>277.39</c:v>
                </c:pt>
                <c:pt idx="340">
                  <c:v>273.51</c:v>
                </c:pt>
                <c:pt idx="341">
                  <c:v>255.99</c:v>
                </c:pt>
                <c:pt idx="342">
                  <c:v>257</c:v>
                </c:pt>
                <c:pt idx="343">
                  <c:v>246.23</c:v>
                </c:pt>
                <c:pt idx="344">
                  <c:v>249.99</c:v>
                </c:pt>
                <c:pt idx="345">
                  <c:v>250.02</c:v>
                </c:pt>
                <c:pt idx="346">
                  <c:v>250.48</c:v>
                </c:pt>
                <c:pt idx="347">
                  <c:v>251.57</c:v>
                </c:pt>
                <c:pt idx="348">
                  <c:v>251.21</c:v>
                </c:pt>
                <c:pt idx="349">
                  <c:v>248.59</c:v>
                </c:pt>
                <c:pt idx="350">
                  <c:v>246.87</c:v>
                </c:pt>
                <c:pt idx="351">
                  <c:v>244.9</c:v>
                </c:pt>
                <c:pt idx="352">
                  <c:v>243.69</c:v>
                </c:pt>
                <c:pt idx="353">
                  <c:v>246.17</c:v>
                </c:pt>
                <c:pt idx="354">
                  <c:v>258</c:v>
                </c:pt>
                <c:pt idx="355">
                  <c:v>255.73</c:v>
                </c:pt>
                <c:pt idx="356">
                  <c:v>262.05</c:v>
                </c:pt>
                <c:pt idx="357">
                  <c:v>261.5</c:v>
                </c:pt>
                <c:pt idx="358">
                  <c:v>261.92</c:v>
                </c:pt>
                <c:pt idx="359">
                  <c:v>250.68</c:v>
                </c:pt>
                <c:pt idx="360">
                  <c:v>255.01</c:v>
                </c:pt>
                <c:pt idx="361">
                  <c:v>254.78</c:v>
                </c:pt>
                <c:pt idx="362">
                  <c:v>263.16000000000003</c:v>
                </c:pt>
                <c:pt idx="363">
                  <c:v>270.22000000000003</c:v>
                </c:pt>
                <c:pt idx="364">
                  <c:v>277.45</c:v>
                </c:pt>
                <c:pt idx="365">
                  <c:v>277.38</c:v>
                </c:pt>
                <c:pt idx="366">
                  <c:v>277.92</c:v>
                </c:pt>
                <c:pt idx="367">
                  <c:v>278.3</c:v>
                </c:pt>
                <c:pt idx="368">
                  <c:v>298.52</c:v>
                </c:pt>
                <c:pt idx="369">
                  <c:v>303.7</c:v>
                </c:pt>
                <c:pt idx="370">
                  <c:v>295</c:v>
                </c:pt>
                <c:pt idx="371">
                  <c:v>298.7</c:v>
                </c:pt>
                <c:pt idx="372">
                  <c:v>302.54000000000002</c:v>
                </c:pt>
                <c:pt idx="373">
                  <c:v>312.39</c:v>
                </c:pt>
                <c:pt idx="374">
                  <c:v>308.70999999999998</c:v>
                </c:pt>
                <c:pt idx="375">
                  <c:v>296.83999999999997</c:v>
                </c:pt>
                <c:pt idx="376">
                  <c:v>304</c:v>
                </c:pt>
                <c:pt idx="377">
                  <c:v>301.44</c:v>
                </c:pt>
                <c:pt idx="378">
                  <c:v>300.25</c:v>
                </c:pt>
                <c:pt idx="379">
                  <c:v>305.52</c:v>
                </c:pt>
                <c:pt idx="380">
                  <c:v>302.51</c:v>
                </c:pt>
                <c:pt idx="381">
                  <c:v>305.60000000000002</c:v>
                </c:pt>
                <c:pt idx="382">
                  <c:v>308.02999999999997</c:v>
                </c:pt>
                <c:pt idx="383">
                  <c:v>313.79000000000002</c:v>
                </c:pt>
                <c:pt idx="384">
                  <c:v>310.17</c:v>
                </c:pt>
                <c:pt idx="385">
                  <c:v>308.63</c:v>
                </c:pt>
                <c:pt idx="386">
                  <c:v>314.07</c:v>
                </c:pt>
                <c:pt idx="387">
                  <c:v>322.83</c:v>
                </c:pt>
                <c:pt idx="388">
                  <c:v>318.89</c:v>
                </c:pt>
                <c:pt idx="389">
                  <c:v>311.02</c:v>
                </c:pt>
                <c:pt idx="390">
                  <c:v>295.45999999999998</c:v>
                </c:pt>
                <c:pt idx="391">
                  <c:v>308.35000000000002</c:v>
                </c:pt>
                <c:pt idx="392">
                  <c:v>307.19</c:v>
                </c:pt>
                <c:pt idx="393">
                  <c:v>321.26</c:v>
                </c:pt>
                <c:pt idx="394">
                  <c:v>325.22000000000003</c:v>
                </c:pt>
                <c:pt idx="395">
                  <c:v>323.10000000000002</c:v>
                </c:pt>
                <c:pt idx="396">
                  <c:v>324.81</c:v>
                </c:pt>
                <c:pt idx="397">
                  <c:v>315.88</c:v>
                </c:pt>
                <c:pt idx="398">
                  <c:v>317.01</c:v>
                </c:pt>
                <c:pt idx="399">
                  <c:v>306.11</c:v>
                </c:pt>
                <c:pt idx="400">
                  <c:v>313.06</c:v>
                </c:pt>
                <c:pt idx="401">
                  <c:v>310.83</c:v>
                </c:pt>
                <c:pt idx="402">
                  <c:v>310.35000000000002</c:v>
                </c:pt>
                <c:pt idx="403">
                  <c:v>303.86</c:v>
                </c:pt>
                <c:pt idx="404">
                  <c:v>310.22000000000003</c:v>
                </c:pt>
                <c:pt idx="405">
                  <c:v>316.83</c:v>
                </c:pt>
                <c:pt idx="406">
                  <c:v>325.14</c:v>
                </c:pt>
                <c:pt idx="407">
                  <c:v>335.1</c:v>
                </c:pt>
                <c:pt idx="408">
                  <c:v>341.01</c:v>
                </c:pt>
                <c:pt idx="409">
                  <c:v>340.37</c:v>
                </c:pt>
                <c:pt idx="410">
                  <c:v>339.85</c:v>
                </c:pt>
                <c:pt idx="411">
                  <c:v>347.32</c:v>
                </c:pt>
                <c:pt idx="412">
                  <c:v>352.85</c:v>
                </c:pt>
                <c:pt idx="413">
                  <c:v>359.65</c:v>
                </c:pt>
                <c:pt idx="414">
                  <c:v>370</c:v>
                </c:pt>
                <c:pt idx="415">
                  <c:v>357.32</c:v>
                </c:pt>
                <c:pt idx="416">
                  <c:v>359.01</c:v>
                </c:pt>
                <c:pt idx="417">
                  <c:v>375.95</c:v>
                </c:pt>
                <c:pt idx="418">
                  <c:v>380.66</c:v>
                </c:pt>
                <c:pt idx="419">
                  <c:v>375.34</c:v>
                </c:pt>
                <c:pt idx="420">
                  <c:v>371.4</c:v>
                </c:pt>
                <c:pt idx="421">
                  <c:v>369.8</c:v>
                </c:pt>
                <c:pt idx="422">
                  <c:v>372.24</c:v>
                </c:pt>
                <c:pt idx="423">
                  <c:v>376.4</c:v>
                </c:pt>
                <c:pt idx="424">
                  <c:v>382.61</c:v>
                </c:pt>
                <c:pt idx="425">
                  <c:v>383.45</c:v>
                </c:pt>
                <c:pt idx="426">
                  <c:v>377.49</c:v>
                </c:pt>
                <c:pt idx="427">
                  <c:v>362.37</c:v>
                </c:pt>
                <c:pt idx="428">
                  <c:v>371.24</c:v>
                </c:pt>
                <c:pt idx="429">
                  <c:v>360.75</c:v>
                </c:pt>
                <c:pt idx="430">
                  <c:v>361.61</c:v>
                </c:pt>
                <c:pt idx="431">
                  <c:v>352.62</c:v>
                </c:pt>
                <c:pt idx="432">
                  <c:v>327.08999999999997</c:v>
                </c:pt>
                <c:pt idx="433">
                  <c:v>308.83</c:v>
                </c:pt>
                <c:pt idx="434">
                  <c:v>313.22000000000003</c:v>
                </c:pt>
                <c:pt idx="435">
                  <c:v>316.05</c:v>
                </c:pt>
                <c:pt idx="436">
                  <c:v>327.22000000000003</c:v>
                </c:pt>
                <c:pt idx="437">
                  <c:v>329.52</c:v>
                </c:pt>
                <c:pt idx="438">
                  <c:v>323.41000000000003</c:v>
                </c:pt>
                <c:pt idx="439">
                  <c:v>327.78</c:v>
                </c:pt>
                <c:pt idx="440">
                  <c:v>319.57</c:v>
                </c:pt>
                <c:pt idx="441">
                  <c:v>328.24</c:v>
                </c:pt>
                <c:pt idx="442">
                  <c:v>325.26</c:v>
                </c:pt>
                <c:pt idx="443">
                  <c:v>329.92</c:v>
                </c:pt>
                <c:pt idx="444">
                  <c:v>328.4</c:v>
                </c:pt>
                <c:pt idx="445">
                  <c:v>342.52</c:v>
                </c:pt>
                <c:pt idx="446">
                  <c:v>339.6</c:v>
                </c:pt>
                <c:pt idx="447">
                  <c:v>343.85</c:v>
                </c:pt>
                <c:pt idx="448">
                  <c:v>334.46</c:v>
                </c:pt>
                <c:pt idx="449">
                  <c:v>335.07</c:v>
                </c:pt>
                <c:pt idx="450">
                  <c:v>323.47000000000003</c:v>
                </c:pt>
                <c:pt idx="451">
                  <c:v>319.57</c:v>
                </c:pt>
                <c:pt idx="452">
                  <c:v>325.89</c:v>
                </c:pt>
                <c:pt idx="453">
                  <c:v>347.09</c:v>
                </c:pt>
                <c:pt idx="454">
                  <c:v>356.91</c:v>
                </c:pt>
                <c:pt idx="455">
                  <c:v>355.17</c:v>
                </c:pt>
                <c:pt idx="456">
                  <c:v>365.22</c:v>
                </c:pt>
                <c:pt idx="457">
                  <c:v>363.53</c:v>
                </c:pt>
                <c:pt idx="458">
                  <c:v>355.4</c:v>
                </c:pt>
                <c:pt idx="459">
                  <c:v>357.87</c:v>
                </c:pt>
                <c:pt idx="460">
                  <c:v>363.8</c:v>
                </c:pt>
                <c:pt idx="461">
                  <c:v>362.33</c:v>
                </c:pt>
                <c:pt idx="462">
                  <c:v>362.91</c:v>
                </c:pt>
                <c:pt idx="463">
                  <c:v>351.92</c:v>
                </c:pt>
                <c:pt idx="464">
                  <c:v>347.46</c:v>
                </c:pt>
                <c:pt idx="465">
                  <c:v>337.86</c:v>
                </c:pt>
                <c:pt idx="466">
                  <c:v>341.35</c:v>
                </c:pt>
                <c:pt idx="467">
                  <c:v>352.77</c:v>
                </c:pt>
                <c:pt idx="468">
                  <c:v>352.93</c:v>
                </c:pt>
                <c:pt idx="469">
                  <c:v>348.05</c:v>
                </c:pt>
                <c:pt idx="470">
                  <c:v>345.66</c:v>
                </c:pt>
                <c:pt idx="471">
                  <c:v>347.36</c:v>
                </c:pt>
                <c:pt idx="472">
                  <c:v>353.18</c:v>
                </c:pt>
                <c:pt idx="473">
                  <c:v>355.9</c:v>
                </c:pt>
                <c:pt idx="474">
                  <c:v>355.4</c:v>
                </c:pt>
                <c:pt idx="475">
                  <c:v>349.59</c:v>
                </c:pt>
                <c:pt idx="476">
                  <c:v>344.53</c:v>
                </c:pt>
                <c:pt idx="477">
                  <c:v>350.61</c:v>
                </c:pt>
                <c:pt idx="478">
                  <c:v>343.4</c:v>
                </c:pt>
                <c:pt idx="479">
                  <c:v>363.69</c:v>
                </c:pt>
                <c:pt idx="480">
                  <c:v>362.75</c:v>
                </c:pt>
                <c:pt idx="481">
                  <c:v>366.23</c:v>
                </c:pt>
                <c:pt idx="482">
                  <c:v>377.64</c:v>
                </c:pt>
                <c:pt idx="483">
                  <c:v>379.81</c:v>
                </c:pt>
                <c:pt idx="484">
                  <c:v>385</c:v>
                </c:pt>
                <c:pt idx="485">
                  <c:v>375.1</c:v>
                </c:pt>
                <c:pt idx="486">
                  <c:v>373.91</c:v>
                </c:pt>
                <c:pt idx="487">
                  <c:v>366.48</c:v>
                </c:pt>
                <c:pt idx="488">
                  <c:v>351.09</c:v>
                </c:pt>
                <c:pt idx="489">
                  <c:v>344.99</c:v>
                </c:pt>
                <c:pt idx="490">
                  <c:v>345.25</c:v>
                </c:pt>
                <c:pt idx="491">
                  <c:v>340.97</c:v>
                </c:pt>
                <c:pt idx="492">
                  <c:v>339.6</c:v>
                </c:pt>
                <c:pt idx="493">
                  <c:v>341.1</c:v>
                </c:pt>
                <c:pt idx="494">
                  <c:v>341.53</c:v>
                </c:pt>
                <c:pt idx="495">
                  <c:v>348.14</c:v>
                </c:pt>
                <c:pt idx="496">
                  <c:v>355.01</c:v>
                </c:pt>
                <c:pt idx="497">
                  <c:v>355.33</c:v>
                </c:pt>
                <c:pt idx="498">
                  <c:v>356.88</c:v>
                </c:pt>
                <c:pt idx="499">
                  <c:v>342.94</c:v>
                </c:pt>
                <c:pt idx="500">
                  <c:v>355.59</c:v>
                </c:pt>
                <c:pt idx="501">
                  <c:v>354.6</c:v>
                </c:pt>
                <c:pt idx="502">
                  <c:v>355.68</c:v>
                </c:pt>
                <c:pt idx="503">
                  <c:v>355.57</c:v>
                </c:pt>
                <c:pt idx="504">
                  <c:v>350.6</c:v>
                </c:pt>
                <c:pt idx="505">
                  <c:v>355.75</c:v>
                </c:pt>
                <c:pt idx="506">
                  <c:v>359.65</c:v>
                </c:pt>
                <c:pt idx="507">
                  <c:v>351.81</c:v>
                </c:pt>
                <c:pt idx="508">
                  <c:v>345.1</c:v>
                </c:pt>
                <c:pt idx="509">
                  <c:v>337.02</c:v>
                </c:pt>
                <c:pt idx="510">
                  <c:v>337.34</c:v>
                </c:pt>
                <c:pt idx="511">
                  <c:v>325.83999999999997</c:v>
                </c:pt>
                <c:pt idx="512">
                  <c:v>326.17</c:v>
                </c:pt>
                <c:pt idx="513">
                  <c:v>320.87</c:v>
                </c:pt>
                <c:pt idx="514">
                  <c:v>320.08</c:v>
                </c:pt>
                <c:pt idx="515">
                  <c:v>331.53</c:v>
                </c:pt>
                <c:pt idx="516">
                  <c:v>321.08</c:v>
                </c:pt>
                <c:pt idx="517">
                  <c:v>299.26</c:v>
                </c:pt>
                <c:pt idx="518">
                  <c:v>306.08999999999997</c:v>
                </c:pt>
                <c:pt idx="519">
                  <c:v>302.77999999999997</c:v>
                </c:pt>
                <c:pt idx="520">
                  <c:v>306.05</c:v>
                </c:pt>
                <c:pt idx="521">
                  <c:v>304.39</c:v>
                </c:pt>
                <c:pt idx="522">
                  <c:v>302.99</c:v>
                </c:pt>
                <c:pt idx="523">
                  <c:v>302.99</c:v>
                </c:pt>
                <c:pt idx="524">
                  <c:v>315.39999999999998</c:v>
                </c:pt>
                <c:pt idx="525">
                  <c:v>308.7</c:v>
                </c:pt>
                <c:pt idx="526">
                  <c:v>311.3</c:v>
                </c:pt>
                <c:pt idx="527">
                  <c:v>312.5</c:v>
                </c:pt>
                <c:pt idx="528">
                  <c:v>315.05</c:v>
                </c:pt>
                <c:pt idx="529">
                  <c:v>308.74</c:v>
                </c:pt>
                <c:pt idx="530">
                  <c:v>317.81</c:v>
                </c:pt>
                <c:pt idx="531">
                  <c:v>312.60000000000002</c:v>
                </c:pt>
                <c:pt idx="532">
                  <c:v>315.55</c:v>
                </c:pt>
                <c:pt idx="533">
                  <c:v>316.81</c:v>
                </c:pt>
                <c:pt idx="534">
                  <c:v>317.55</c:v>
                </c:pt>
                <c:pt idx="535">
                  <c:v>307.54000000000002</c:v>
                </c:pt>
                <c:pt idx="536">
                  <c:v>308.85000000000002</c:v>
                </c:pt>
                <c:pt idx="537">
                  <c:v>306.52999999999997</c:v>
                </c:pt>
                <c:pt idx="538">
                  <c:v>305.2</c:v>
                </c:pt>
                <c:pt idx="539">
                  <c:v>303.7</c:v>
                </c:pt>
                <c:pt idx="540">
                  <c:v>313.26</c:v>
                </c:pt>
                <c:pt idx="541">
                  <c:v>311.24</c:v>
                </c:pt>
                <c:pt idx="542">
                  <c:v>315.13</c:v>
                </c:pt>
                <c:pt idx="543">
                  <c:v>328.91</c:v>
                </c:pt>
                <c:pt idx="544">
                  <c:v>341.03</c:v>
                </c:pt>
                <c:pt idx="545">
                  <c:v>339.03</c:v>
                </c:pt>
                <c:pt idx="546">
                  <c:v>337.89</c:v>
                </c:pt>
                <c:pt idx="547">
                  <c:v>343.45</c:v>
                </c:pt>
                <c:pt idx="548">
                  <c:v>338.87</c:v>
                </c:pt>
                <c:pt idx="549">
                  <c:v>331.1</c:v>
                </c:pt>
                <c:pt idx="550">
                  <c:v>328.98</c:v>
                </c:pt>
                <c:pt idx="551">
                  <c:v>331.66</c:v>
                </c:pt>
                <c:pt idx="552">
                  <c:v>325.2</c:v>
                </c:pt>
                <c:pt idx="553">
                  <c:v>317.29000000000002</c:v>
                </c:pt>
                <c:pt idx="554">
                  <c:v>311.64</c:v>
                </c:pt>
                <c:pt idx="555">
                  <c:v>315.36</c:v>
                </c:pt>
                <c:pt idx="556">
                  <c:v>311.35000000000002</c:v>
                </c:pt>
                <c:pt idx="557">
                  <c:v>320.52999999999997</c:v>
                </c:pt>
                <c:pt idx="558">
                  <c:v>317.25</c:v>
                </c:pt>
                <c:pt idx="559">
                  <c:v>314.62</c:v>
                </c:pt>
                <c:pt idx="560">
                  <c:v>316.58</c:v>
                </c:pt>
                <c:pt idx="561">
                  <c:v>336.41</c:v>
                </c:pt>
                <c:pt idx="562">
                  <c:v>333.69</c:v>
                </c:pt>
                <c:pt idx="563">
                  <c:v>334.8</c:v>
                </c:pt>
                <c:pt idx="564">
                  <c:v>337.95</c:v>
                </c:pt>
                <c:pt idx="565">
                  <c:v>336.22</c:v>
                </c:pt>
                <c:pt idx="566">
                  <c:v>340.06</c:v>
                </c:pt>
                <c:pt idx="567">
                  <c:v>347.16</c:v>
                </c:pt>
                <c:pt idx="568">
                  <c:v>344.57</c:v>
                </c:pt>
                <c:pt idx="569">
                  <c:v>350.02</c:v>
                </c:pt>
                <c:pt idx="570">
                  <c:v>351.56</c:v>
                </c:pt>
                <c:pt idx="571">
                  <c:v>352.79</c:v>
                </c:pt>
                <c:pt idx="572">
                  <c:v>345.89</c:v>
                </c:pt>
                <c:pt idx="573">
                  <c:v>337.64</c:v>
                </c:pt>
                <c:pt idx="574">
                  <c:v>342.85</c:v>
                </c:pt>
                <c:pt idx="575">
                  <c:v>349.53</c:v>
                </c:pt>
                <c:pt idx="576">
                  <c:v>345.82</c:v>
                </c:pt>
                <c:pt idx="577">
                  <c:v>354.31</c:v>
                </c:pt>
                <c:pt idx="578">
                  <c:v>349.25</c:v>
                </c:pt>
                <c:pt idx="579">
                  <c:v>343.75</c:v>
                </c:pt>
                <c:pt idx="580">
                  <c:v>333.13</c:v>
                </c:pt>
                <c:pt idx="581">
                  <c:v>333.97</c:v>
                </c:pt>
                <c:pt idx="582">
                  <c:v>345</c:v>
                </c:pt>
                <c:pt idx="583">
                  <c:v>315.23</c:v>
                </c:pt>
                <c:pt idx="584">
                  <c:v>310.42</c:v>
                </c:pt>
                <c:pt idx="585">
                  <c:v>315.73</c:v>
                </c:pt>
                <c:pt idx="586">
                  <c:v>323.66000000000003</c:v>
                </c:pt>
                <c:pt idx="587">
                  <c:v>322.31</c:v>
                </c:pt>
                <c:pt idx="588">
                  <c:v>334.065</c:v>
                </c:pt>
                <c:pt idx="589">
                  <c:v>335.49</c:v>
                </c:pt>
                <c:pt idx="590">
                  <c:v>334.77</c:v>
                </c:pt>
                <c:pt idx="591">
                  <c:v>333.3</c:v>
                </c:pt>
                <c:pt idx="592">
                  <c:v>346.17</c:v>
                </c:pt>
                <c:pt idx="593">
                  <c:v>352.05</c:v>
                </c:pt>
                <c:pt idx="594">
                  <c:v>357.42</c:v>
                </c:pt>
                <c:pt idx="595">
                  <c:v>350.99</c:v>
                </c:pt>
                <c:pt idx="596">
                  <c:v>343.06</c:v>
                </c:pt>
                <c:pt idx="597">
                  <c:v>330.93</c:v>
                </c:pt>
                <c:pt idx="598">
                  <c:v>335.12</c:v>
                </c:pt>
                <c:pt idx="599">
                  <c:v>333.35</c:v>
                </c:pt>
                <c:pt idx="600">
                  <c:v>328.2</c:v>
                </c:pt>
                <c:pt idx="601">
                  <c:v>332.3</c:v>
                </c:pt>
                <c:pt idx="602">
                  <c:v>329.1</c:v>
                </c:pt>
                <c:pt idx="603">
                  <c:v>327.17</c:v>
                </c:pt>
                <c:pt idx="604">
                  <c:v>345.51</c:v>
                </c:pt>
                <c:pt idx="605">
                  <c:v>341.84</c:v>
                </c:pt>
                <c:pt idx="606">
                  <c:v>326.63</c:v>
                </c:pt>
                <c:pt idx="607">
                  <c:v>325.60000000000002</c:v>
                </c:pt>
                <c:pt idx="608">
                  <c:v>321.35000000000002</c:v>
                </c:pt>
                <c:pt idx="609">
                  <c:v>313.56</c:v>
                </c:pt>
                <c:pt idx="610">
                  <c:v>310.55</c:v>
                </c:pt>
                <c:pt idx="611">
                  <c:v>316.52999999999997</c:v>
                </c:pt>
                <c:pt idx="612">
                  <c:v>309.10000000000002</c:v>
                </c:pt>
                <c:pt idx="613">
                  <c:v>301.54000000000002</c:v>
                </c:pt>
                <c:pt idx="614">
                  <c:v>304.18</c:v>
                </c:pt>
                <c:pt idx="615">
                  <c:v>279.18</c:v>
                </c:pt>
                <c:pt idx="616">
                  <c:v>257.77999999999997</c:v>
                </c:pt>
                <c:pt idx="617">
                  <c:v>266.13</c:v>
                </c:pt>
                <c:pt idx="618">
                  <c:v>252.48</c:v>
                </c:pt>
                <c:pt idx="619">
                  <c:v>267.52999999999997</c:v>
                </c:pt>
                <c:pt idx="620">
                  <c:v>286.94</c:v>
                </c:pt>
                <c:pt idx="621">
                  <c:v>305.72000000000003</c:v>
                </c:pt>
                <c:pt idx="622">
                  <c:v>299.3</c:v>
                </c:pt>
                <c:pt idx="623">
                  <c:v>289.66000000000003</c:v>
                </c:pt>
                <c:pt idx="624">
                  <c:v>304.7</c:v>
                </c:pt>
                <c:pt idx="625">
                  <c:v>300.93</c:v>
                </c:pt>
                <c:pt idx="626">
                  <c:v>294.08</c:v>
                </c:pt>
                <c:pt idx="627">
                  <c:v>300.33999999999997</c:v>
                </c:pt>
                <c:pt idx="628">
                  <c:v>291.20999999999998</c:v>
                </c:pt>
                <c:pt idx="629">
                  <c:v>287.69</c:v>
                </c:pt>
                <c:pt idx="630">
                  <c:v>293.35000000000002</c:v>
                </c:pt>
                <c:pt idx="631">
                  <c:v>300.08</c:v>
                </c:pt>
                <c:pt idx="632">
                  <c:v>290.24</c:v>
                </c:pt>
                <c:pt idx="633">
                  <c:v>283.37</c:v>
                </c:pt>
                <c:pt idx="634">
                  <c:v>283.45999999999998</c:v>
                </c:pt>
                <c:pt idx="635">
                  <c:v>280.69</c:v>
                </c:pt>
                <c:pt idx="636">
                  <c:v>285.48</c:v>
                </c:pt>
                <c:pt idx="637">
                  <c:v>294.07499999999999</c:v>
                </c:pt>
                <c:pt idx="638">
                  <c:v>293.89999999999998</c:v>
                </c:pt>
                <c:pt idx="639">
                  <c:v>299.92</c:v>
                </c:pt>
                <c:pt idx="640">
                  <c:v>301.14999999999998</c:v>
                </c:pt>
                <c:pt idx="641">
                  <c:v>284.45</c:v>
                </c:pt>
                <c:pt idx="642">
                  <c:v>294.08999999999997</c:v>
                </c:pt>
                <c:pt idx="643">
                  <c:v>302.77</c:v>
                </c:pt>
                <c:pt idx="644">
                  <c:v>301.97000000000003</c:v>
                </c:pt>
                <c:pt idx="645">
                  <c:v>306.85000000000002</c:v>
                </c:pt>
                <c:pt idx="646">
                  <c:v>305.02</c:v>
                </c:pt>
                <c:pt idx="647">
                  <c:v>301.06</c:v>
                </c:pt>
                <c:pt idx="648">
                  <c:v>291.97000000000003</c:v>
                </c:pt>
                <c:pt idx="649">
                  <c:v>284.18</c:v>
                </c:pt>
                <c:pt idx="650">
                  <c:v>286.48</c:v>
                </c:pt>
                <c:pt idx="651">
                  <c:v>284.54000000000002</c:v>
                </c:pt>
                <c:pt idx="652">
                  <c:v>276.82</c:v>
                </c:pt>
                <c:pt idx="653">
                  <c:v>284.49</c:v>
                </c:pt>
                <c:pt idx="654">
                  <c:v>275.01</c:v>
                </c:pt>
                <c:pt idx="655">
                  <c:v>279.07</c:v>
                </c:pt>
                <c:pt idx="656">
                  <c:v>277.85000000000002</c:v>
                </c:pt>
                <c:pt idx="657">
                  <c:v>278.85000000000002</c:v>
                </c:pt>
                <c:pt idx="658">
                  <c:v>283.76</c:v>
                </c:pt>
                <c:pt idx="659">
                  <c:v>291.72000000000003</c:v>
                </c:pt>
                <c:pt idx="660">
                  <c:v>284.73</c:v>
                </c:pt>
                <c:pt idx="661">
                  <c:v>291.82</c:v>
                </c:pt>
                <c:pt idx="662">
                  <c:v>296.74</c:v>
                </c:pt>
                <c:pt idx="663">
                  <c:v>291.13</c:v>
                </c:pt>
                <c:pt idx="664">
                  <c:v>319.5</c:v>
                </c:pt>
                <c:pt idx="665">
                  <c:v>316.08999999999997</c:v>
                </c:pt>
                <c:pt idx="666">
                  <c:v>317.66000000000003</c:v>
                </c:pt>
                <c:pt idx="667">
                  <c:v>332.1</c:v>
                </c:pt>
                <c:pt idx="668">
                  <c:v>342.77</c:v>
                </c:pt>
                <c:pt idx="669">
                  <c:v>344.78</c:v>
                </c:pt>
                <c:pt idx="670">
                  <c:v>357.72</c:v>
                </c:pt>
                <c:pt idx="671">
                  <c:v>358.17</c:v>
                </c:pt>
                <c:pt idx="672">
                  <c:v>370.83</c:v>
                </c:pt>
                <c:pt idx="673">
                  <c:v>352.55</c:v>
                </c:pt>
                <c:pt idx="674">
                  <c:v>362.22</c:v>
                </c:pt>
                <c:pt idx="675">
                  <c:v>347.51</c:v>
                </c:pt>
                <c:pt idx="676">
                  <c:v>333.63</c:v>
                </c:pt>
                <c:pt idx="677">
                  <c:v>333.01</c:v>
                </c:pt>
                <c:pt idx="678">
                  <c:v>342</c:v>
                </c:pt>
                <c:pt idx="679">
                  <c:v>344.5</c:v>
                </c:pt>
                <c:pt idx="680">
                  <c:v>349.93</c:v>
                </c:pt>
                <c:pt idx="681">
                  <c:v>342.95</c:v>
                </c:pt>
                <c:pt idx="682">
                  <c:v>335.07</c:v>
                </c:pt>
                <c:pt idx="683">
                  <c:v>310.86</c:v>
                </c:pt>
                <c:pt idx="684">
                  <c:v>309.16000000000003</c:v>
                </c:pt>
                <c:pt idx="685">
                  <c:v>308.89999999999998</c:v>
                </c:pt>
                <c:pt idx="686">
                  <c:v>318.51</c:v>
                </c:pt>
                <c:pt idx="687">
                  <c:v>322.47000000000003</c:v>
                </c:pt>
                <c:pt idx="688">
                  <c:v>318.95999999999998</c:v>
                </c:pt>
                <c:pt idx="689">
                  <c:v>316.70999999999998</c:v>
                </c:pt>
                <c:pt idx="690">
                  <c:v>318.87</c:v>
                </c:pt>
                <c:pt idx="691">
                  <c:v>310.10000000000002</c:v>
                </c:pt>
                <c:pt idx="692">
                  <c:v>322.69</c:v>
                </c:pt>
                <c:pt idx="693">
                  <c:v>323.85000000000002</c:v>
                </c:pt>
                <c:pt idx="694">
                  <c:v>320.23</c:v>
                </c:pt>
                <c:pt idx="695">
                  <c:v>313.58</c:v>
                </c:pt>
                <c:pt idx="696">
                  <c:v>303.2</c:v>
                </c:pt>
                <c:pt idx="697">
                  <c:v>297.43</c:v>
                </c:pt>
                <c:pt idx="698">
                  <c:v>308.74</c:v>
                </c:pt>
                <c:pt idx="699">
                  <c:v>306.64999999999998</c:v>
                </c:pt>
                <c:pt idx="700">
                  <c:v>297.18</c:v>
                </c:pt>
                <c:pt idx="701">
                  <c:v>290.17</c:v>
                </c:pt>
                <c:pt idx="702">
                  <c:v>298.14</c:v>
                </c:pt>
                <c:pt idx="703">
                  <c:v>300.83999999999997</c:v>
                </c:pt>
                <c:pt idx="704">
                  <c:v>349.54</c:v>
                </c:pt>
                <c:pt idx="705">
                  <c:v>348.17</c:v>
                </c:pt>
                <c:pt idx="706">
                  <c:v>341.99</c:v>
                </c:pt>
                <c:pt idx="707">
                  <c:v>379.57</c:v>
                </c:pt>
                <c:pt idx="708">
                  <c:v>370.34</c:v>
                </c:pt>
                <c:pt idx="709">
                  <c:v>352.45</c:v>
                </c:pt>
                <c:pt idx="710">
                  <c:v>355.49</c:v>
                </c:pt>
                <c:pt idx="711">
                  <c:v>356.41</c:v>
                </c:pt>
                <c:pt idx="712">
                  <c:v>347.64</c:v>
                </c:pt>
                <c:pt idx="713">
                  <c:v>338.69</c:v>
                </c:pt>
                <c:pt idx="714">
                  <c:v>335.45</c:v>
                </c:pt>
                <c:pt idx="715">
                  <c:v>305.5</c:v>
                </c:pt>
                <c:pt idx="716">
                  <c:v>308.44</c:v>
                </c:pt>
                <c:pt idx="717">
                  <c:v>321.89999999999998</c:v>
                </c:pt>
                <c:pt idx="718">
                  <c:v>321.64</c:v>
                </c:pt>
                <c:pt idx="719">
                  <c:v>320.10000000000002</c:v>
                </c:pt>
                <c:pt idx="720">
                  <c:v>322.82</c:v>
                </c:pt>
                <c:pt idx="721">
                  <c:v>319.27</c:v>
                </c:pt>
                <c:pt idx="722">
                  <c:v>311.86</c:v>
                </c:pt>
                <c:pt idx="723">
                  <c:v>305.01</c:v>
                </c:pt>
                <c:pt idx="724">
                  <c:v>303.14999999999998</c:v>
                </c:pt>
                <c:pt idx="725">
                  <c:v>301.66000000000003</c:v>
                </c:pt>
                <c:pt idx="726">
                  <c:v>288.95</c:v>
                </c:pt>
                <c:pt idx="727">
                  <c:v>280.74</c:v>
                </c:pt>
                <c:pt idx="728">
                  <c:v>280.95</c:v>
                </c:pt>
                <c:pt idx="729">
                  <c:v>263.24</c:v>
                </c:pt>
                <c:pt idx="730">
                  <c:v>285.5</c:v>
                </c:pt>
                <c:pt idx="731">
                  <c:v>279.44</c:v>
                </c:pt>
                <c:pt idx="732">
                  <c:v>290.54000000000002</c:v>
                </c:pt>
                <c:pt idx="733">
                  <c:v>289.45999999999998</c:v>
                </c:pt>
                <c:pt idx="734">
                  <c:v>295.2</c:v>
                </c:pt>
                <c:pt idx="735">
                  <c:v>294.83999999999997</c:v>
                </c:pt>
                <c:pt idx="736">
                  <c:v>284.95999999999998</c:v>
                </c:pt>
                <c:pt idx="737">
                  <c:v>299.02</c:v>
                </c:pt>
                <c:pt idx="738">
                  <c:v>298.33</c:v>
                </c:pt>
                <c:pt idx="739">
                  <c:v>299.10000000000002</c:v>
                </c:pt>
                <c:pt idx="740">
                  <c:v>299.68</c:v>
                </c:pt>
                <c:pt idx="741">
                  <c:v>300.99</c:v>
                </c:pt>
                <c:pt idx="742">
                  <c:v>309.58</c:v>
                </c:pt>
                <c:pt idx="743">
                  <c:v>307.52</c:v>
                </c:pt>
                <c:pt idx="744">
                  <c:v>264.77</c:v>
                </c:pt>
                <c:pt idx="745">
                  <c:v>310.7</c:v>
                </c:pt>
                <c:pt idx="746">
                  <c:v>301.02</c:v>
                </c:pt>
                <c:pt idx="747">
                  <c:v>294.8</c:v>
                </c:pt>
                <c:pt idx="748">
                  <c:v>281.83</c:v>
                </c:pt>
                <c:pt idx="749">
                  <c:v>261.95</c:v>
                </c:pt>
                <c:pt idx="750">
                  <c:v>250.56</c:v>
                </c:pt>
                <c:pt idx="751">
                  <c:v>262.8</c:v>
                </c:pt>
                <c:pt idx="752">
                  <c:v>256.88</c:v>
                </c:pt>
                <c:pt idx="753">
                  <c:v>252.23</c:v>
                </c:pt>
                <c:pt idx="754">
                  <c:v>258.77999999999997</c:v>
                </c:pt>
                <c:pt idx="755">
                  <c:v>259.58999999999997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C3-4E74-892D-74AAFF884061}"/>
            </c:ext>
          </c:extLst>
        </c:ser>
        <c:ser>
          <c:idx val="3"/>
          <c:order val="3"/>
          <c:tx>
            <c:v>C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'tesla-stock-price (4)'!$A$23:$A$760</c:f>
              <c:numCache>
                <c:formatCode>General</c:formatCode>
                <c:ptCount val="738"/>
                <c:pt idx="0">
                  <c:v>42318</c:v>
                </c:pt>
                <c:pt idx="1">
                  <c:v>42319</c:v>
                </c:pt>
                <c:pt idx="2">
                  <c:v>42320</c:v>
                </c:pt>
                <c:pt idx="3">
                  <c:v>42321</c:v>
                </c:pt>
                <c:pt idx="4">
                  <c:v>42324</c:v>
                </c:pt>
                <c:pt idx="5">
                  <c:v>42325</c:v>
                </c:pt>
                <c:pt idx="6">
                  <c:v>42326</c:v>
                </c:pt>
                <c:pt idx="7">
                  <c:v>42327</c:v>
                </c:pt>
                <c:pt idx="8">
                  <c:v>42328</c:v>
                </c:pt>
                <c:pt idx="9">
                  <c:v>42331</c:v>
                </c:pt>
                <c:pt idx="10">
                  <c:v>42332</c:v>
                </c:pt>
                <c:pt idx="11">
                  <c:v>42333</c:v>
                </c:pt>
                <c:pt idx="12">
                  <c:v>42335</c:v>
                </c:pt>
                <c:pt idx="13">
                  <c:v>42338</c:v>
                </c:pt>
                <c:pt idx="14">
                  <c:v>42339</c:v>
                </c:pt>
                <c:pt idx="15">
                  <c:v>42340</c:v>
                </c:pt>
                <c:pt idx="16">
                  <c:v>42341</c:v>
                </c:pt>
                <c:pt idx="17">
                  <c:v>42342</c:v>
                </c:pt>
                <c:pt idx="18">
                  <c:v>42345</c:v>
                </c:pt>
                <c:pt idx="19">
                  <c:v>42346</c:v>
                </c:pt>
                <c:pt idx="20">
                  <c:v>42347</c:v>
                </c:pt>
                <c:pt idx="21">
                  <c:v>42348</c:v>
                </c:pt>
                <c:pt idx="22">
                  <c:v>42349</c:v>
                </c:pt>
                <c:pt idx="23">
                  <c:v>42352</c:v>
                </c:pt>
                <c:pt idx="24">
                  <c:v>42353</c:v>
                </c:pt>
                <c:pt idx="25">
                  <c:v>42354</c:v>
                </c:pt>
                <c:pt idx="26">
                  <c:v>42355</c:v>
                </c:pt>
                <c:pt idx="27">
                  <c:v>42356</c:v>
                </c:pt>
                <c:pt idx="28">
                  <c:v>42359</c:v>
                </c:pt>
                <c:pt idx="29">
                  <c:v>42360</c:v>
                </c:pt>
                <c:pt idx="30">
                  <c:v>42361</c:v>
                </c:pt>
                <c:pt idx="31">
                  <c:v>42362</c:v>
                </c:pt>
                <c:pt idx="32">
                  <c:v>42366</c:v>
                </c:pt>
                <c:pt idx="33">
                  <c:v>42367</c:v>
                </c:pt>
                <c:pt idx="34">
                  <c:v>42368</c:v>
                </c:pt>
                <c:pt idx="35">
                  <c:v>42369</c:v>
                </c:pt>
                <c:pt idx="36">
                  <c:v>42373</c:v>
                </c:pt>
                <c:pt idx="37">
                  <c:v>42374</c:v>
                </c:pt>
                <c:pt idx="38">
                  <c:v>42375</c:v>
                </c:pt>
                <c:pt idx="39">
                  <c:v>42376</c:v>
                </c:pt>
                <c:pt idx="40">
                  <c:v>42377</c:v>
                </c:pt>
                <c:pt idx="41">
                  <c:v>42380</c:v>
                </c:pt>
                <c:pt idx="42">
                  <c:v>42381</c:v>
                </c:pt>
                <c:pt idx="43">
                  <c:v>42382</c:v>
                </c:pt>
                <c:pt idx="44">
                  <c:v>42383</c:v>
                </c:pt>
                <c:pt idx="45">
                  <c:v>42384</c:v>
                </c:pt>
                <c:pt idx="46">
                  <c:v>42388</c:v>
                </c:pt>
                <c:pt idx="47">
                  <c:v>42389</c:v>
                </c:pt>
                <c:pt idx="48">
                  <c:v>42390</c:v>
                </c:pt>
                <c:pt idx="49">
                  <c:v>42391</c:v>
                </c:pt>
                <c:pt idx="50">
                  <c:v>42394</c:v>
                </c:pt>
                <c:pt idx="51">
                  <c:v>42395</c:v>
                </c:pt>
                <c:pt idx="52">
                  <c:v>42396</c:v>
                </c:pt>
                <c:pt idx="53">
                  <c:v>42397</c:v>
                </c:pt>
                <c:pt idx="54">
                  <c:v>42398</c:v>
                </c:pt>
                <c:pt idx="55">
                  <c:v>42401</c:v>
                </c:pt>
                <c:pt idx="56">
                  <c:v>42402</c:v>
                </c:pt>
                <c:pt idx="57">
                  <c:v>42403</c:v>
                </c:pt>
                <c:pt idx="58">
                  <c:v>42404</c:v>
                </c:pt>
                <c:pt idx="59">
                  <c:v>42405</c:v>
                </c:pt>
                <c:pt idx="60">
                  <c:v>42408</c:v>
                </c:pt>
                <c:pt idx="61">
                  <c:v>42409</c:v>
                </c:pt>
                <c:pt idx="62">
                  <c:v>42410</c:v>
                </c:pt>
                <c:pt idx="63">
                  <c:v>42411</c:v>
                </c:pt>
                <c:pt idx="64">
                  <c:v>42412</c:v>
                </c:pt>
                <c:pt idx="65">
                  <c:v>42416</c:v>
                </c:pt>
                <c:pt idx="66">
                  <c:v>42417</c:v>
                </c:pt>
                <c:pt idx="67">
                  <c:v>42418</c:v>
                </c:pt>
                <c:pt idx="68">
                  <c:v>42419</c:v>
                </c:pt>
                <c:pt idx="69">
                  <c:v>42422</c:v>
                </c:pt>
                <c:pt idx="70">
                  <c:v>42423</c:v>
                </c:pt>
                <c:pt idx="71">
                  <c:v>42424</c:v>
                </c:pt>
                <c:pt idx="72">
                  <c:v>42425</c:v>
                </c:pt>
                <c:pt idx="73">
                  <c:v>42426</c:v>
                </c:pt>
                <c:pt idx="74">
                  <c:v>42429</c:v>
                </c:pt>
                <c:pt idx="75">
                  <c:v>42430</c:v>
                </c:pt>
                <c:pt idx="76">
                  <c:v>42431</c:v>
                </c:pt>
                <c:pt idx="77">
                  <c:v>42432</c:v>
                </c:pt>
                <c:pt idx="78">
                  <c:v>42433</c:v>
                </c:pt>
                <c:pt idx="79">
                  <c:v>42436</c:v>
                </c:pt>
                <c:pt idx="80">
                  <c:v>42437</c:v>
                </c:pt>
                <c:pt idx="81">
                  <c:v>42438</c:v>
                </c:pt>
                <c:pt idx="82">
                  <c:v>42439</c:v>
                </c:pt>
                <c:pt idx="83">
                  <c:v>42440</c:v>
                </c:pt>
                <c:pt idx="84">
                  <c:v>42443</c:v>
                </c:pt>
                <c:pt idx="85">
                  <c:v>42444</c:v>
                </c:pt>
                <c:pt idx="86">
                  <c:v>42445</c:v>
                </c:pt>
                <c:pt idx="87">
                  <c:v>42446</c:v>
                </c:pt>
                <c:pt idx="88">
                  <c:v>42447</c:v>
                </c:pt>
                <c:pt idx="89">
                  <c:v>42450</c:v>
                </c:pt>
                <c:pt idx="90">
                  <c:v>42451</c:v>
                </c:pt>
                <c:pt idx="91">
                  <c:v>42452</c:v>
                </c:pt>
                <c:pt idx="92">
                  <c:v>42453</c:v>
                </c:pt>
                <c:pt idx="93">
                  <c:v>42457</c:v>
                </c:pt>
                <c:pt idx="94">
                  <c:v>42458</c:v>
                </c:pt>
                <c:pt idx="95">
                  <c:v>42459</c:v>
                </c:pt>
                <c:pt idx="96">
                  <c:v>42460</c:v>
                </c:pt>
                <c:pt idx="97">
                  <c:v>42461</c:v>
                </c:pt>
                <c:pt idx="98">
                  <c:v>42464</c:v>
                </c:pt>
                <c:pt idx="99">
                  <c:v>42465</c:v>
                </c:pt>
                <c:pt idx="100">
                  <c:v>42466</c:v>
                </c:pt>
                <c:pt idx="101">
                  <c:v>42467</c:v>
                </c:pt>
                <c:pt idx="102">
                  <c:v>42468</c:v>
                </c:pt>
                <c:pt idx="103">
                  <c:v>42471</c:v>
                </c:pt>
                <c:pt idx="104">
                  <c:v>42472</c:v>
                </c:pt>
                <c:pt idx="105">
                  <c:v>42473</c:v>
                </c:pt>
                <c:pt idx="106">
                  <c:v>42474</c:v>
                </c:pt>
                <c:pt idx="107">
                  <c:v>42475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42485</c:v>
                </c:pt>
                <c:pt idx="114">
                  <c:v>42486</c:v>
                </c:pt>
                <c:pt idx="115">
                  <c:v>42487</c:v>
                </c:pt>
                <c:pt idx="116">
                  <c:v>42488</c:v>
                </c:pt>
                <c:pt idx="117">
                  <c:v>42489</c:v>
                </c:pt>
                <c:pt idx="118">
                  <c:v>42492</c:v>
                </c:pt>
                <c:pt idx="119">
                  <c:v>42493</c:v>
                </c:pt>
                <c:pt idx="120">
                  <c:v>42494</c:v>
                </c:pt>
                <c:pt idx="121">
                  <c:v>42495</c:v>
                </c:pt>
                <c:pt idx="122">
                  <c:v>42496</c:v>
                </c:pt>
                <c:pt idx="123">
                  <c:v>42499</c:v>
                </c:pt>
                <c:pt idx="124">
                  <c:v>42500</c:v>
                </c:pt>
                <c:pt idx="125">
                  <c:v>42501</c:v>
                </c:pt>
                <c:pt idx="126">
                  <c:v>42502</c:v>
                </c:pt>
                <c:pt idx="127">
                  <c:v>42503</c:v>
                </c:pt>
                <c:pt idx="128">
                  <c:v>42506</c:v>
                </c:pt>
                <c:pt idx="129">
                  <c:v>42507</c:v>
                </c:pt>
                <c:pt idx="130">
                  <c:v>42508</c:v>
                </c:pt>
                <c:pt idx="131">
                  <c:v>42509</c:v>
                </c:pt>
                <c:pt idx="132">
                  <c:v>42510</c:v>
                </c:pt>
                <c:pt idx="133">
                  <c:v>42513</c:v>
                </c:pt>
                <c:pt idx="134">
                  <c:v>42514</c:v>
                </c:pt>
                <c:pt idx="135">
                  <c:v>42515</c:v>
                </c:pt>
                <c:pt idx="136">
                  <c:v>42516</c:v>
                </c:pt>
                <c:pt idx="137">
                  <c:v>42517</c:v>
                </c:pt>
                <c:pt idx="138">
                  <c:v>42521</c:v>
                </c:pt>
                <c:pt idx="139">
                  <c:v>42522</c:v>
                </c:pt>
                <c:pt idx="140">
                  <c:v>42523</c:v>
                </c:pt>
                <c:pt idx="141">
                  <c:v>42524</c:v>
                </c:pt>
                <c:pt idx="142">
                  <c:v>42527</c:v>
                </c:pt>
                <c:pt idx="143">
                  <c:v>42528</c:v>
                </c:pt>
                <c:pt idx="144">
                  <c:v>42529</c:v>
                </c:pt>
                <c:pt idx="145">
                  <c:v>42530</c:v>
                </c:pt>
                <c:pt idx="146">
                  <c:v>42531</c:v>
                </c:pt>
                <c:pt idx="147">
                  <c:v>42534</c:v>
                </c:pt>
                <c:pt idx="148">
                  <c:v>42535</c:v>
                </c:pt>
                <c:pt idx="149">
                  <c:v>42536</c:v>
                </c:pt>
                <c:pt idx="150">
                  <c:v>42537</c:v>
                </c:pt>
                <c:pt idx="151">
                  <c:v>42538</c:v>
                </c:pt>
                <c:pt idx="152">
                  <c:v>42541</c:v>
                </c:pt>
                <c:pt idx="153">
                  <c:v>42542</c:v>
                </c:pt>
                <c:pt idx="154">
                  <c:v>42543</c:v>
                </c:pt>
                <c:pt idx="155">
                  <c:v>42544</c:v>
                </c:pt>
                <c:pt idx="156">
                  <c:v>42545</c:v>
                </c:pt>
                <c:pt idx="157">
                  <c:v>42548</c:v>
                </c:pt>
                <c:pt idx="158">
                  <c:v>42549</c:v>
                </c:pt>
                <c:pt idx="159">
                  <c:v>42550</c:v>
                </c:pt>
                <c:pt idx="160">
                  <c:v>42551</c:v>
                </c:pt>
                <c:pt idx="161">
                  <c:v>42552</c:v>
                </c:pt>
                <c:pt idx="162">
                  <c:v>42556</c:v>
                </c:pt>
                <c:pt idx="163">
                  <c:v>42557</c:v>
                </c:pt>
                <c:pt idx="164">
                  <c:v>42558</c:v>
                </c:pt>
                <c:pt idx="165">
                  <c:v>42559</c:v>
                </c:pt>
                <c:pt idx="166">
                  <c:v>42562</c:v>
                </c:pt>
                <c:pt idx="167">
                  <c:v>42563</c:v>
                </c:pt>
                <c:pt idx="168">
                  <c:v>42564</c:v>
                </c:pt>
                <c:pt idx="169">
                  <c:v>42565</c:v>
                </c:pt>
                <c:pt idx="170">
                  <c:v>42566</c:v>
                </c:pt>
                <c:pt idx="171">
                  <c:v>42569</c:v>
                </c:pt>
                <c:pt idx="172">
                  <c:v>42570</c:v>
                </c:pt>
                <c:pt idx="173">
                  <c:v>42571</c:v>
                </c:pt>
                <c:pt idx="174">
                  <c:v>42572</c:v>
                </c:pt>
                <c:pt idx="175">
                  <c:v>42573</c:v>
                </c:pt>
                <c:pt idx="176">
                  <c:v>42576</c:v>
                </c:pt>
                <c:pt idx="177">
                  <c:v>42577</c:v>
                </c:pt>
                <c:pt idx="178">
                  <c:v>42578</c:v>
                </c:pt>
                <c:pt idx="179">
                  <c:v>42579</c:v>
                </c:pt>
                <c:pt idx="180">
                  <c:v>42580</c:v>
                </c:pt>
                <c:pt idx="181">
                  <c:v>42583</c:v>
                </c:pt>
                <c:pt idx="182">
                  <c:v>42584</c:v>
                </c:pt>
                <c:pt idx="183">
                  <c:v>42585</c:v>
                </c:pt>
                <c:pt idx="184">
                  <c:v>42586</c:v>
                </c:pt>
                <c:pt idx="185">
                  <c:v>42587</c:v>
                </c:pt>
                <c:pt idx="186">
                  <c:v>42590</c:v>
                </c:pt>
                <c:pt idx="187">
                  <c:v>42591</c:v>
                </c:pt>
                <c:pt idx="188">
                  <c:v>42592</c:v>
                </c:pt>
                <c:pt idx="189">
                  <c:v>42593</c:v>
                </c:pt>
                <c:pt idx="190">
                  <c:v>42594</c:v>
                </c:pt>
                <c:pt idx="191">
                  <c:v>42597</c:v>
                </c:pt>
                <c:pt idx="192">
                  <c:v>42598</c:v>
                </c:pt>
                <c:pt idx="193">
                  <c:v>42599</c:v>
                </c:pt>
                <c:pt idx="194">
                  <c:v>42600</c:v>
                </c:pt>
                <c:pt idx="195">
                  <c:v>42601</c:v>
                </c:pt>
                <c:pt idx="196">
                  <c:v>42604</c:v>
                </c:pt>
                <c:pt idx="197">
                  <c:v>42605</c:v>
                </c:pt>
                <c:pt idx="198">
                  <c:v>42606</c:v>
                </c:pt>
                <c:pt idx="199">
                  <c:v>42607</c:v>
                </c:pt>
                <c:pt idx="200">
                  <c:v>42608</c:v>
                </c:pt>
                <c:pt idx="201">
                  <c:v>42611</c:v>
                </c:pt>
                <c:pt idx="202">
                  <c:v>42612</c:v>
                </c:pt>
                <c:pt idx="203">
                  <c:v>42613</c:v>
                </c:pt>
                <c:pt idx="204">
                  <c:v>42614</c:v>
                </c:pt>
                <c:pt idx="205">
                  <c:v>42615</c:v>
                </c:pt>
                <c:pt idx="206">
                  <c:v>42619</c:v>
                </c:pt>
                <c:pt idx="207">
                  <c:v>42620</c:v>
                </c:pt>
                <c:pt idx="208">
                  <c:v>42621</c:v>
                </c:pt>
                <c:pt idx="209">
                  <c:v>42622</c:v>
                </c:pt>
                <c:pt idx="210">
                  <c:v>42625</c:v>
                </c:pt>
                <c:pt idx="211">
                  <c:v>42626</c:v>
                </c:pt>
                <c:pt idx="212">
                  <c:v>42627</c:v>
                </c:pt>
                <c:pt idx="213">
                  <c:v>42628</c:v>
                </c:pt>
                <c:pt idx="214">
                  <c:v>42629</c:v>
                </c:pt>
                <c:pt idx="215">
                  <c:v>42632</c:v>
                </c:pt>
                <c:pt idx="216">
                  <c:v>42633</c:v>
                </c:pt>
                <c:pt idx="217">
                  <c:v>42634</c:v>
                </c:pt>
                <c:pt idx="218">
                  <c:v>42635</c:v>
                </c:pt>
                <c:pt idx="219">
                  <c:v>42636</c:v>
                </c:pt>
                <c:pt idx="220">
                  <c:v>42639</c:v>
                </c:pt>
                <c:pt idx="221">
                  <c:v>42640</c:v>
                </c:pt>
                <c:pt idx="222">
                  <c:v>42641</c:v>
                </c:pt>
                <c:pt idx="223">
                  <c:v>42642</c:v>
                </c:pt>
                <c:pt idx="224">
                  <c:v>42643</c:v>
                </c:pt>
                <c:pt idx="225">
                  <c:v>42646</c:v>
                </c:pt>
                <c:pt idx="226">
                  <c:v>42647</c:v>
                </c:pt>
                <c:pt idx="227">
                  <c:v>42648</c:v>
                </c:pt>
                <c:pt idx="228">
                  <c:v>42649</c:v>
                </c:pt>
                <c:pt idx="229">
                  <c:v>42650</c:v>
                </c:pt>
                <c:pt idx="230">
                  <c:v>42653</c:v>
                </c:pt>
                <c:pt idx="231">
                  <c:v>42654</c:v>
                </c:pt>
                <c:pt idx="232">
                  <c:v>42655</c:v>
                </c:pt>
                <c:pt idx="233">
                  <c:v>42656</c:v>
                </c:pt>
                <c:pt idx="234">
                  <c:v>42657</c:v>
                </c:pt>
                <c:pt idx="235">
                  <c:v>42660</c:v>
                </c:pt>
                <c:pt idx="236">
                  <c:v>42661</c:v>
                </c:pt>
                <c:pt idx="237">
                  <c:v>42662</c:v>
                </c:pt>
                <c:pt idx="238">
                  <c:v>42663</c:v>
                </c:pt>
                <c:pt idx="239">
                  <c:v>42664</c:v>
                </c:pt>
                <c:pt idx="240">
                  <c:v>42667</c:v>
                </c:pt>
                <c:pt idx="241">
                  <c:v>42668</c:v>
                </c:pt>
                <c:pt idx="242">
                  <c:v>42669</c:v>
                </c:pt>
                <c:pt idx="243">
                  <c:v>42670</c:v>
                </c:pt>
                <c:pt idx="244">
                  <c:v>42671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42681</c:v>
                </c:pt>
                <c:pt idx="251">
                  <c:v>42682</c:v>
                </c:pt>
                <c:pt idx="252">
                  <c:v>42683</c:v>
                </c:pt>
                <c:pt idx="253">
                  <c:v>42684</c:v>
                </c:pt>
                <c:pt idx="254">
                  <c:v>42685</c:v>
                </c:pt>
                <c:pt idx="255">
                  <c:v>42688</c:v>
                </c:pt>
                <c:pt idx="256">
                  <c:v>42689</c:v>
                </c:pt>
                <c:pt idx="257">
                  <c:v>42690</c:v>
                </c:pt>
                <c:pt idx="258">
                  <c:v>42691</c:v>
                </c:pt>
                <c:pt idx="259">
                  <c:v>42692</c:v>
                </c:pt>
                <c:pt idx="260">
                  <c:v>42695</c:v>
                </c:pt>
                <c:pt idx="261">
                  <c:v>42696</c:v>
                </c:pt>
                <c:pt idx="262">
                  <c:v>42697</c:v>
                </c:pt>
                <c:pt idx="263">
                  <c:v>42699</c:v>
                </c:pt>
                <c:pt idx="264">
                  <c:v>42702</c:v>
                </c:pt>
                <c:pt idx="265">
                  <c:v>42703</c:v>
                </c:pt>
                <c:pt idx="266">
                  <c:v>42704</c:v>
                </c:pt>
                <c:pt idx="267">
                  <c:v>42705</c:v>
                </c:pt>
                <c:pt idx="268">
                  <c:v>42706</c:v>
                </c:pt>
                <c:pt idx="269">
                  <c:v>42709</c:v>
                </c:pt>
                <c:pt idx="270">
                  <c:v>42710</c:v>
                </c:pt>
                <c:pt idx="271">
                  <c:v>42711</c:v>
                </c:pt>
                <c:pt idx="272">
                  <c:v>42712</c:v>
                </c:pt>
                <c:pt idx="273">
                  <c:v>42713</c:v>
                </c:pt>
                <c:pt idx="274">
                  <c:v>42716</c:v>
                </c:pt>
                <c:pt idx="275">
                  <c:v>42717</c:v>
                </c:pt>
                <c:pt idx="276">
                  <c:v>42718</c:v>
                </c:pt>
                <c:pt idx="277">
                  <c:v>42719</c:v>
                </c:pt>
                <c:pt idx="278">
                  <c:v>42720</c:v>
                </c:pt>
                <c:pt idx="279">
                  <c:v>42723</c:v>
                </c:pt>
                <c:pt idx="280">
                  <c:v>42724</c:v>
                </c:pt>
                <c:pt idx="281">
                  <c:v>42725</c:v>
                </c:pt>
                <c:pt idx="282">
                  <c:v>42726</c:v>
                </c:pt>
                <c:pt idx="283">
                  <c:v>42727</c:v>
                </c:pt>
                <c:pt idx="284">
                  <c:v>42731</c:v>
                </c:pt>
                <c:pt idx="285">
                  <c:v>42732</c:v>
                </c:pt>
                <c:pt idx="286">
                  <c:v>42733</c:v>
                </c:pt>
                <c:pt idx="287">
                  <c:v>42734</c:v>
                </c:pt>
                <c:pt idx="288">
                  <c:v>42738</c:v>
                </c:pt>
                <c:pt idx="289">
                  <c:v>42739</c:v>
                </c:pt>
                <c:pt idx="290">
                  <c:v>42740</c:v>
                </c:pt>
                <c:pt idx="291">
                  <c:v>42741</c:v>
                </c:pt>
                <c:pt idx="292">
                  <c:v>42744</c:v>
                </c:pt>
                <c:pt idx="293">
                  <c:v>42745</c:v>
                </c:pt>
                <c:pt idx="294">
                  <c:v>42746</c:v>
                </c:pt>
                <c:pt idx="295">
                  <c:v>42747</c:v>
                </c:pt>
                <c:pt idx="296">
                  <c:v>42748</c:v>
                </c:pt>
                <c:pt idx="297">
                  <c:v>42752</c:v>
                </c:pt>
                <c:pt idx="298">
                  <c:v>42753</c:v>
                </c:pt>
                <c:pt idx="299">
                  <c:v>42754</c:v>
                </c:pt>
                <c:pt idx="300">
                  <c:v>42755</c:v>
                </c:pt>
                <c:pt idx="301">
                  <c:v>42758</c:v>
                </c:pt>
                <c:pt idx="302">
                  <c:v>42759</c:v>
                </c:pt>
                <c:pt idx="303">
                  <c:v>42760</c:v>
                </c:pt>
                <c:pt idx="304">
                  <c:v>42761</c:v>
                </c:pt>
                <c:pt idx="305">
                  <c:v>42762</c:v>
                </c:pt>
                <c:pt idx="306">
                  <c:v>42765</c:v>
                </c:pt>
                <c:pt idx="307">
                  <c:v>42766</c:v>
                </c:pt>
                <c:pt idx="308">
                  <c:v>42767</c:v>
                </c:pt>
                <c:pt idx="309">
                  <c:v>42768</c:v>
                </c:pt>
                <c:pt idx="310">
                  <c:v>42769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42779</c:v>
                </c:pt>
                <c:pt idx="317">
                  <c:v>42780</c:v>
                </c:pt>
                <c:pt idx="318">
                  <c:v>42781</c:v>
                </c:pt>
                <c:pt idx="319">
                  <c:v>42782</c:v>
                </c:pt>
                <c:pt idx="320">
                  <c:v>42783</c:v>
                </c:pt>
                <c:pt idx="321">
                  <c:v>42787</c:v>
                </c:pt>
                <c:pt idx="322">
                  <c:v>42788</c:v>
                </c:pt>
                <c:pt idx="323">
                  <c:v>42789</c:v>
                </c:pt>
                <c:pt idx="324">
                  <c:v>42790</c:v>
                </c:pt>
                <c:pt idx="325">
                  <c:v>42793</c:v>
                </c:pt>
                <c:pt idx="326">
                  <c:v>42794</c:v>
                </c:pt>
                <c:pt idx="327">
                  <c:v>42795</c:v>
                </c:pt>
                <c:pt idx="328">
                  <c:v>42796</c:v>
                </c:pt>
                <c:pt idx="329">
                  <c:v>42797</c:v>
                </c:pt>
                <c:pt idx="330">
                  <c:v>42800</c:v>
                </c:pt>
                <c:pt idx="331">
                  <c:v>42801</c:v>
                </c:pt>
                <c:pt idx="332">
                  <c:v>42802</c:v>
                </c:pt>
                <c:pt idx="333">
                  <c:v>42803</c:v>
                </c:pt>
                <c:pt idx="334">
                  <c:v>42804</c:v>
                </c:pt>
                <c:pt idx="335">
                  <c:v>42807</c:v>
                </c:pt>
                <c:pt idx="336">
                  <c:v>42808</c:v>
                </c:pt>
                <c:pt idx="337">
                  <c:v>42809</c:v>
                </c:pt>
                <c:pt idx="338">
                  <c:v>42810</c:v>
                </c:pt>
                <c:pt idx="339">
                  <c:v>42811</c:v>
                </c:pt>
                <c:pt idx="340">
                  <c:v>42814</c:v>
                </c:pt>
                <c:pt idx="341">
                  <c:v>42815</c:v>
                </c:pt>
                <c:pt idx="342">
                  <c:v>42816</c:v>
                </c:pt>
                <c:pt idx="343">
                  <c:v>42817</c:v>
                </c:pt>
                <c:pt idx="344">
                  <c:v>42818</c:v>
                </c:pt>
                <c:pt idx="345">
                  <c:v>42821</c:v>
                </c:pt>
                <c:pt idx="346">
                  <c:v>42822</c:v>
                </c:pt>
                <c:pt idx="347">
                  <c:v>42823</c:v>
                </c:pt>
                <c:pt idx="348">
                  <c:v>42824</c:v>
                </c:pt>
                <c:pt idx="349">
                  <c:v>42825</c:v>
                </c:pt>
                <c:pt idx="350">
                  <c:v>42828</c:v>
                </c:pt>
                <c:pt idx="351">
                  <c:v>42829</c:v>
                </c:pt>
                <c:pt idx="352">
                  <c:v>42830</c:v>
                </c:pt>
                <c:pt idx="353">
                  <c:v>42831</c:v>
                </c:pt>
                <c:pt idx="354">
                  <c:v>42832</c:v>
                </c:pt>
                <c:pt idx="355">
                  <c:v>42835</c:v>
                </c:pt>
                <c:pt idx="356">
                  <c:v>42836</c:v>
                </c:pt>
                <c:pt idx="357">
                  <c:v>42837</c:v>
                </c:pt>
                <c:pt idx="358">
                  <c:v>42838</c:v>
                </c:pt>
                <c:pt idx="359">
                  <c:v>42842</c:v>
                </c:pt>
                <c:pt idx="360">
                  <c:v>42843</c:v>
                </c:pt>
                <c:pt idx="361">
                  <c:v>42844</c:v>
                </c:pt>
                <c:pt idx="362">
                  <c:v>42845</c:v>
                </c:pt>
                <c:pt idx="363">
                  <c:v>42846</c:v>
                </c:pt>
                <c:pt idx="364">
                  <c:v>42849</c:v>
                </c:pt>
                <c:pt idx="365">
                  <c:v>42850</c:v>
                </c:pt>
                <c:pt idx="366">
                  <c:v>42851</c:v>
                </c:pt>
                <c:pt idx="367">
                  <c:v>42852</c:v>
                </c:pt>
                <c:pt idx="368">
                  <c:v>42853</c:v>
                </c:pt>
                <c:pt idx="369">
                  <c:v>42856</c:v>
                </c:pt>
                <c:pt idx="370">
                  <c:v>42857</c:v>
                </c:pt>
                <c:pt idx="371">
                  <c:v>42858</c:v>
                </c:pt>
                <c:pt idx="372">
                  <c:v>42859</c:v>
                </c:pt>
                <c:pt idx="373">
                  <c:v>42860</c:v>
                </c:pt>
                <c:pt idx="374">
                  <c:v>42863</c:v>
                </c:pt>
                <c:pt idx="375">
                  <c:v>42864</c:v>
                </c:pt>
                <c:pt idx="376">
                  <c:v>42865</c:v>
                </c:pt>
                <c:pt idx="377">
                  <c:v>42866</c:v>
                </c:pt>
                <c:pt idx="378">
                  <c:v>42867</c:v>
                </c:pt>
                <c:pt idx="379">
                  <c:v>42870</c:v>
                </c:pt>
                <c:pt idx="380">
                  <c:v>42871</c:v>
                </c:pt>
                <c:pt idx="381">
                  <c:v>42872</c:v>
                </c:pt>
                <c:pt idx="382">
                  <c:v>42873</c:v>
                </c:pt>
                <c:pt idx="383">
                  <c:v>42874</c:v>
                </c:pt>
                <c:pt idx="384">
                  <c:v>42877</c:v>
                </c:pt>
                <c:pt idx="385">
                  <c:v>42878</c:v>
                </c:pt>
                <c:pt idx="386">
                  <c:v>42879</c:v>
                </c:pt>
                <c:pt idx="387">
                  <c:v>42880</c:v>
                </c:pt>
                <c:pt idx="388">
                  <c:v>42881</c:v>
                </c:pt>
                <c:pt idx="389">
                  <c:v>42885</c:v>
                </c:pt>
                <c:pt idx="390">
                  <c:v>42886</c:v>
                </c:pt>
                <c:pt idx="391">
                  <c:v>42887</c:v>
                </c:pt>
                <c:pt idx="392">
                  <c:v>42888</c:v>
                </c:pt>
                <c:pt idx="393">
                  <c:v>42891</c:v>
                </c:pt>
                <c:pt idx="394">
                  <c:v>42892</c:v>
                </c:pt>
                <c:pt idx="395">
                  <c:v>42893</c:v>
                </c:pt>
                <c:pt idx="396">
                  <c:v>42894</c:v>
                </c:pt>
                <c:pt idx="397">
                  <c:v>42895</c:v>
                </c:pt>
                <c:pt idx="398">
                  <c:v>42898</c:v>
                </c:pt>
                <c:pt idx="399">
                  <c:v>42899</c:v>
                </c:pt>
                <c:pt idx="400">
                  <c:v>42900</c:v>
                </c:pt>
                <c:pt idx="401">
                  <c:v>42901</c:v>
                </c:pt>
                <c:pt idx="402">
                  <c:v>42902</c:v>
                </c:pt>
                <c:pt idx="403">
                  <c:v>42905</c:v>
                </c:pt>
                <c:pt idx="404">
                  <c:v>42906</c:v>
                </c:pt>
                <c:pt idx="405">
                  <c:v>42907</c:v>
                </c:pt>
                <c:pt idx="406">
                  <c:v>42908</c:v>
                </c:pt>
                <c:pt idx="407">
                  <c:v>42909</c:v>
                </c:pt>
                <c:pt idx="408">
                  <c:v>42912</c:v>
                </c:pt>
                <c:pt idx="409">
                  <c:v>42913</c:v>
                </c:pt>
                <c:pt idx="410">
                  <c:v>42914</c:v>
                </c:pt>
                <c:pt idx="411">
                  <c:v>42915</c:v>
                </c:pt>
                <c:pt idx="412">
                  <c:v>42916</c:v>
                </c:pt>
                <c:pt idx="413">
                  <c:v>42919</c:v>
                </c:pt>
                <c:pt idx="414">
                  <c:v>42921</c:v>
                </c:pt>
                <c:pt idx="415">
                  <c:v>42922</c:v>
                </c:pt>
                <c:pt idx="416">
                  <c:v>42923</c:v>
                </c:pt>
                <c:pt idx="417">
                  <c:v>42926</c:v>
                </c:pt>
                <c:pt idx="418">
                  <c:v>42927</c:v>
                </c:pt>
                <c:pt idx="419">
                  <c:v>42928</c:v>
                </c:pt>
                <c:pt idx="420">
                  <c:v>42929</c:v>
                </c:pt>
                <c:pt idx="421">
                  <c:v>42930</c:v>
                </c:pt>
                <c:pt idx="422">
                  <c:v>42933</c:v>
                </c:pt>
                <c:pt idx="423">
                  <c:v>42934</c:v>
                </c:pt>
                <c:pt idx="424">
                  <c:v>42935</c:v>
                </c:pt>
                <c:pt idx="425">
                  <c:v>42936</c:v>
                </c:pt>
                <c:pt idx="426">
                  <c:v>42937</c:v>
                </c:pt>
                <c:pt idx="427">
                  <c:v>42940</c:v>
                </c:pt>
                <c:pt idx="428">
                  <c:v>42941</c:v>
                </c:pt>
                <c:pt idx="429">
                  <c:v>42942</c:v>
                </c:pt>
                <c:pt idx="430">
                  <c:v>42943</c:v>
                </c:pt>
                <c:pt idx="431">
                  <c:v>42944</c:v>
                </c:pt>
                <c:pt idx="432">
                  <c:v>42947</c:v>
                </c:pt>
                <c:pt idx="433">
                  <c:v>42948</c:v>
                </c:pt>
                <c:pt idx="434">
                  <c:v>42949</c:v>
                </c:pt>
                <c:pt idx="435">
                  <c:v>42950</c:v>
                </c:pt>
                <c:pt idx="436">
                  <c:v>42951</c:v>
                </c:pt>
                <c:pt idx="437">
                  <c:v>42954</c:v>
                </c:pt>
                <c:pt idx="438">
                  <c:v>42955</c:v>
                </c:pt>
                <c:pt idx="439">
                  <c:v>42956</c:v>
                </c:pt>
                <c:pt idx="440">
                  <c:v>42957</c:v>
                </c:pt>
                <c:pt idx="441">
                  <c:v>42958</c:v>
                </c:pt>
                <c:pt idx="442">
                  <c:v>42961</c:v>
                </c:pt>
                <c:pt idx="443">
                  <c:v>42962</c:v>
                </c:pt>
                <c:pt idx="444">
                  <c:v>42963</c:v>
                </c:pt>
                <c:pt idx="445">
                  <c:v>42964</c:v>
                </c:pt>
                <c:pt idx="446">
                  <c:v>42965</c:v>
                </c:pt>
                <c:pt idx="447">
                  <c:v>42968</c:v>
                </c:pt>
                <c:pt idx="448">
                  <c:v>42969</c:v>
                </c:pt>
                <c:pt idx="449">
                  <c:v>42970</c:v>
                </c:pt>
                <c:pt idx="450">
                  <c:v>42971</c:v>
                </c:pt>
                <c:pt idx="451">
                  <c:v>42972</c:v>
                </c:pt>
                <c:pt idx="452">
                  <c:v>42975</c:v>
                </c:pt>
                <c:pt idx="453">
                  <c:v>42976</c:v>
                </c:pt>
                <c:pt idx="454">
                  <c:v>42977</c:v>
                </c:pt>
                <c:pt idx="455">
                  <c:v>42978</c:v>
                </c:pt>
                <c:pt idx="456">
                  <c:v>42979</c:v>
                </c:pt>
                <c:pt idx="457">
                  <c:v>42983</c:v>
                </c:pt>
                <c:pt idx="458">
                  <c:v>42984</c:v>
                </c:pt>
                <c:pt idx="459">
                  <c:v>42985</c:v>
                </c:pt>
                <c:pt idx="460">
                  <c:v>42986</c:v>
                </c:pt>
                <c:pt idx="461">
                  <c:v>42989</c:v>
                </c:pt>
                <c:pt idx="462">
                  <c:v>42990</c:v>
                </c:pt>
                <c:pt idx="463">
                  <c:v>42991</c:v>
                </c:pt>
                <c:pt idx="464">
                  <c:v>42992</c:v>
                </c:pt>
                <c:pt idx="465">
                  <c:v>42993</c:v>
                </c:pt>
                <c:pt idx="466">
                  <c:v>42996</c:v>
                </c:pt>
                <c:pt idx="467">
                  <c:v>42997</c:v>
                </c:pt>
                <c:pt idx="468">
                  <c:v>42998</c:v>
                </c:pt>
                <c:pt idx="469">
                  <c:v>42999</c:v>
                </c:pt>
                <c:pt idx="470">
                  <c:v>43000</c:v>
                </c:pt>
                <c:pt idx="471">
                  <c:v>43003</c:v>
                </c:pt>
                <c:pt idx="472">
                  <c:v>43004</c:v>
                </c:pt>
                <c:pt idx="473">
                  <c:v>43005</c:v>
                </c:pt>
                <c:pt idx="474">
                  <c:v>43006</c:v>
                </c:pt>
                <c:pt idx="475">
                  <c:v>43007</c:v>
                </c:pt>
                <c:pt idx="476">
                  <c:v>43010</c:v>
                </c:pt>
                <c:pt idx="477">
                  <c:v>43011</c:v>
                </c:pt>
                <c:pt idx="478">
                  <c:v>43012</c:v>
                </c:pt>
                <c:pt idx="479">
                  <c:v>43013</c:v>
                </c:pt>
                <c:pt idx="480">
                  <c:v>43014</c:v>
                </c:pt>
                <c:pt idx="481">
                  <c:v>43017</c:v>
                </c:pt>
                <c:pt idx="482">
                  <c:v>43018</c:v>
                </c:pt>
                <c:pt idx="483">
                  <c:v>43019</c:v>
                </c:pt>
                <c:pt idx="484">
                  <c:v>43020</c:v>
                </c:pt>
                <c:pt idx="485">
                  <c:v>43021</c:v>
                </c:pt>
                <c:pt idx="486">
                  <c:v>43024</c:v>
                </c:pt>
                <c:pt idx="487">
                  <c:v>43025</c:v>
                </c:pt>
                <c:pt idx="488">
                  <c:v>43026</c:v>
                </c:pt>
                <c:pt idx="489">
                  <c:v>43027</c:v>
                </c:pt>
                <c:pt idx="490">
                  <c:v>43028</c:v>
                </c:pt>
                <c:pt idx="491">
                  <c:v>43031</c:v>
                </c:pt>
                <c:pt idx="492">
                  <c:v>43032</c:v>
                </c:pt>
                <c:pt idx="493">
                  <c:v>43033</c:v>
                </c:pt>
                <c:pt idx="494">
                  <c:v>43034</c:v>
                </c:pt>
                <c:pt idx="495">
                  <c:v>43035</c:v>
                </c:pt>
                <c:pt idx="496">
                  <c:v>43038</c:v>
                </c:pt>
                <c:pt idx="497">
                  <c:v>43039</c:v>
                </c:pt>
                <c:pt idx="498">
                  <c:v>43040</c:v>
                </c:pt>
                <c:pt idx="499">
                  <c:v>43041</c:v>
                </c:pt>
                <c:pt idx="500">
                  <c:v>43042</c:v>
                </c:pt>
                <c:pt idx="501">
                  <c:v>43045</c:v>
                </c:pt>
                <c:pt idx="502">
                  <c:v>43046</c:v>
                </c:pt>
                <c:pt idx="503">
                  <c:v>43047</c:v>
                </c:pt>
                <c:pt idx="504">
                  <c:v>43048</c:v>
                </c:pt>
                <c:pt idx="505">
                  <c:v>43049</c:v>
                </c:pt>
                <c:pt idx="506">
                  <c:v>43052</c:v>
                </c:pt>
                <c:pt idx="507">
                  <c:v>43053</c:v>
                </c:pt>
                <c:pt idx="508">
                  <c:v>43054</c:v>
                </c:pt>
                <c:pt idx="509">
                  <c:v>43055</c:v>
                </c:pt>
                <c:pt idx="510">
                  <c:v>43056</c:v>
                </c:pt>
                <c:pt idx="511">
                  <c:v>43059</c:v>
                </c:pt>
                <c:pt idx="512">
                  <c:v>43060</c:v>
                </c:pt>
                <c:pt idx="513">
                  <c:v>43061</c:v>
                </c:pt>
                <c:pt idx="514">
                  <c:v>43063</c:v>
                </c:pt>
                <c:pt idx="515">
                  <c:v>43066</c:v>
                </c:pt>
                <c:pt idx="516">
                  <c:v>43067</c:v>
                </c:pt>
                <c:pt idx="517">
                  <c:v>43068</c:v>
                </c:pt>
                <c:pt idx="518">
                  <c:v>43069</c:v>
                </c:pt>
                <c:pt idx="519">
                  <c:v>43070</c:v>
                </c:pt>
                <c:pt idx="520">
                  <c:v>43073</c:v>
                </c:pt>
                <c:pt idx="521">
                  <c:v>43074</c:v>
                </c:pt>
                <c:pt idx="522">
                  <c:v>43075</c:v>
                </c:pt>
                <c:pt idx="523">
                  <c:v>43076</c:v>
                </c:pt>
                <c:pt idx="524">
                  <c:v>43077</c:v>
                </c:pt>
                <c:pt idx="525">
                  <c:v>43080</c:v>
                </c:pt>
                <c:pt idx="526">
                  <c:v>43081</c:v>
                </c:pt>
                <c:pt idx="527">
                  <c:v>43082</c:v>
                </c:pt>
                <c:pt idx="528">
                  <c:v>43083</c:v>
                </c:pt>
                <c:pt idx="529">
                  <c:v>43084</c:v>
                </c:pt>
                <c:pt idx="530">
                  <c:v>43087</c:v>
                </c:pt>
                <c:pt idx="531">
                  <c:v>43088</c:v>
                </c:pt>
                <c:pt idx="532">
                  <c:v>43089</c:v>
                </c:pt>
                <c:pt idx="533">
                  <c:v>43090</c:v>
                </c:pt>
                <c:pt idx="534">
                  <c:v>43091</c:v>
                </c:pt>
                <c:pt idx="535">
                  <c:v>43095</c:v>
                </c:pt>
                <c:pt idx="536">
                  <c:v>43096</c:v>
                </c:pt>
                <c:pt idx="537">
                  <c:v>43097</c:v>
                </c:pt>
                <c:pt idx="538">
                  <c:v>43098</c:v>
                </c:pt>
                <c:pt idx="539">
                  <c:v>43102</c:v>
                </c:pt>
                <c:pt idx="540">
                  <c:v>43103</c:v>
                </c:pt>
                <c:pt idx="541">
                  <c:v>43104</c:v>
                </c:pt>
                <c:pt idx="542">
                  <c:v>43105</c:v>
                </c:pt>
                <c:pt idx="543">
                  <c:v>43108</c:v>
                </c:pt>
                <c:pt idx="544">
                  <c:v>43109</c:v>
                </c:pt>
                <c:pt idx="545">
                  <c:v>43110</c:v>
                </c:pt>
                <c:pt idx="546">
                  <c:v>43111</c:v>
                </c:pt>
                <c:pt idx="547">
                  <c:v>43112</c:v>
                </c:pt>
                <c:pt idx="548">
                  <c:v>43116</c:v>
                </c:pt>
                <c:pt idx="549">
                  <c:v>43117</c:v>
                </c:pt>
                <c:pt idx="550">
                  <c:v>43118</c:v>
                </c:pt>
                <c:pt idx="551">
                  <c:v>43119</c:v>
                </c:pt>
                <c:pt idx="552">
                  <c:v>43122</c:v>
                </c:pt>
                <c:pt idx="553">
                  <c:v>43123</c:v>
                </c:pt>
                <c:pt idx="554">
                  <c:v>43124</c:v>
                </c:pt>
                <c:pt idx="555">
                  <c:v>43125</c:v>
                </c:pt>
                <c:pt idx="556">
                  <c:v>43126</c:v>
                </c:pt>
                <c:pt idx="557">
                  <c:v>43129</c:v>
                </c:pt>
                <c:pt idx="558">
                  <c:v>43130</c:v>
                </c:pt>
                <c:pt idx="559">
                  <c:v>43131</c:v>
                </c:pt>
                <c:pt idx="560">
                  <c:v>43132</c:v>
                </c:pt>
                <c:pt idx="561">
                  <c:v>43133</c:v>
                </c:pt>
                <c:pt idx="562">
                  <c:v>43136</c:v>
                </c:pt>
                <c:pt idx="563">
                  <c:v>43137</c:v>
                </c:pt>
                <c:pt idx="564">
                  <c:v>43138</c:v>
                </c:pt>
                <c:pt idx="565">
                  <c:v>43139</c:v>
                </c:pt>
                <c:pt idx="566">
                  <c:v>43140</c:v>
                </c:pt>
                <c:pt idx="567">
                  <c:v>43143</c:v>
                </c:pt>
                <c:pt idx="568">
                  <c:v>43144</c:v>
                </c:pt>
                <c:pt idx="569">
                  <c:v>43145</c:v>
                </c:pt>
                <c:pt idx="570">
                  <c:v>43146</c:v>
                </c:pt>
                <c:pt idx="571">
                  <c:v>43147</c:v>
                </c:pt>
                <c:pt idx="572">
                  <c:v>43151</c:v>
                </c:pt>
                <c:pt idx="573">
                  <c:v>43152</c:v>
                </c:pt>
                <c:pt idx="574">
                  <c:v>43153</c:v>
                </c:pt>
                <c:pt idx="575">
                  <c:v>43154</c:v>
                </c:pt>
                <c:pt idx="576">
                  <c:v>43157</c:v>
                </c:pt>
                <c:pt idx="577">
                  <c:v>43158</c:v>
                </c:pt>
                <c:pt idx="578">
                  <c:v>43159</c:v>
                </c:pt>
                <c:pt idx="579">
                  <c:v>43160</c:v>
                </c:pt>
                <c:pt idx="580">
                  <c:v>43161</c:v>
                </c:pt>
                <c:pt idx="581">
                  <c:v>43164</c:v>
                </c:pt>
                <c:pt idx="582">
                  <c:v>43165</c:v>
                </c:pt>
                <c:pt idx="583">
                  <c:v>43166</c:v>
                </c:pt>
                <c:pt idx="584">
                  <c:v>43167</c:v>
                </c:pt>
                <c:pt idx="585">
                  <c:v>43168</c:v>
                </c:pt>
                <c:pt idx="586">
                  <c:v>43171</c:v>
                </c:pt>
                <c:pt idx="587">
                  <c:v>43172</c:v>
                </c:pt>
                <c:pt idx="588">
                  <c:v>43173</c:v>
                </c:pt>
                <c:pt idx="589">
                  <c:v>43174</c:v>
                </c:pt>
                <c:pt idx="590">
                  <c:v>43175</c:v>
                </c:pt>
                <c:pt idx="591">
                  <c:v>43178</c:v>
                </c:pt>
                <c:pt idx="592">
                  <c:v>43179</c:v>
                </c:pt>
                <c:pt idx="593">
                  <c:v>43180</c:v>
                </c:pt>
                <c:pt idx="594">
                  <c:v>43181</c:v>
                </c:pt>
                <c:pt idx="595">
                  <c:v>43182</c:v>
                </c:pt>
                <c:pt idx="596">
                  <c:v>43185</c:v>
                </c:pt>
                <c:pt idx="597">
                  <c:v>43186</c:v>
                </c:pt>
                <c:pt idx="598">
                  <c:v>43187</c:v>
                </c:pt>
                <c:pt idx="599">
                  <c:v>43188</c:v>
                </c:pt>
                <c:pt idx="600">
                  <c:v>43192</c:v>
                </c:pt>
                <c:pt idx="601">
                  <c:v>43193</c:v>
                </c:pt>
                <c:pt idx="602">
                  <c:v>43194</c:v>
                </c:pt>
                <c:pt idx="603">
                  <c:v>43195</c:v>
                </c:pt>
                <c:pt idx="604">
                  <c:v>43196</c:v>
                </c:pt>
                <c:pt idx="605">
                  <c:v>43199</c:v>
                </c:pt>
                <c:pt idx="606">
                  <c:v>43200</c:v>
                </c:pt>
                <c:pt idx="607">
                  <c:v>43201</c:v>
                </c:pt>
                <c:pt idx="608">
                  <c:v>43202</c:v>
                </c:pt>
                <c:pt idx="609">
                  <c:v>43203</c:v>
                </c:pt>
                <c:pt idx="610">
                  <c:v>43206</c:v>
                </c:pt>
                <c:pt idx="611">
                  <c:v>43207</c:v>
                </c:pt>
                <c:pt idx="612">
                  <c:v>43208</c:v>
                </c:pt>
                <c:pt idx="613">
                  <c:v>43209</c:v>
                </c:pt>
                <c:pt idx="614">
                  <c:v>43210</c:v>
                </c:pt>
                <c:pt idx="615">
                  <c:v>43213</c:v>
                </c:pt>
                <c:pt idx="616">
                  <c:v>43214</c:v>
                </c:pt>
                <c:pt idx="617">
                  <c:v>43215</c:v>
                </c:pt>
                <c:pt idx="618">
                  <c:v>43216</c:v>
                </c:pt>
                <c:pt idx="619">
                  <c:v>43217</c:v>
                </c:pt>
                <c:pt idx="620">
                  <c:v>43220</c:v>
                </c:pt>
                <c:pt idx="621">
                  <c:v>43221</c:v>
                </c:pt>
                <c:pt idx="622">
                  <c:v>43222</c:v>
                </c:pt>
                <c:pt idx="623">
                  <c:v>43223</c:v>
                </c:pt>
                <c:pt idx="624">
                  <c:v>43224</c:v>
                </c:pt>
                <c:pt idx="625">
                  <c:v>43227</c:v>
                </c:pt>
                <c:pt idx="626">
                  <c:v>43228</c:v>
                </c:pt>
                <c:pt idx="627">
                  <c:v>43229</c:v>
                </c:pt>
                <c:pt idx="628">
                  <c:v>43230</c:v>
                </c:pt>
                <c:pt idx="629">
                  <c:v>43231</c:v>
                </c:pt>
                <c:pt idx="630">
                  <c:v>43234</c:v>
                </c:pt>
                <c:pt idx="631">
                  <c:v>43235</c:v>
                </c:pt>
                <c:pt idx="632">
                  <c:v>43236</c:v>
                </c:pt>
                <c:pt idx="633">
                  <c:v>43237</c:v>
                </c:pt>
                <c:pt idx="634">
                  <c:v>43238</c:v>
                </c:pt>
                <c:pt idx="635">
                  <c:v>43241</c:v>
                </c:pt>
                <c:pt idx="636">
                  <c:v>43242</c:v>
                </c:pt>
                <c:pt idx="637">
                  <c:v>43243</c:v>
                </c:pt>
                <c:pt idx="638">
                  <c:v>43244</c:v>
                </c:pt>
                <c:pt idx="639">
                  <c:v>43245</c:v>
                </c:pt>
                <c:pt idx="640">
                  <c:v>43249</c:v>
                </c:pt>
                <c:pt idx="641">
                  <c:v>43250</c:v>
                </c:pt>
                <c:pt idx="642">
                  <c:v>43251</c:v>
                </c:pt>
                <c:pt idx="643">
                  <c:v>43252</c:v>
                </c:pt>
                <c:pt idx="644">
                  <c:v>43255</c:v>
                </c:pt>
                <c:pt idx="645">
                  <c:v>43256</c:v>
                </c:pt>
                <c:pt idx="646">
                  <c:v>43257</c:v>
                </c:pt>
                <c:pt idx="647">
                  <c:v>43258</c:v>
                </c:pt>
                <c:pt idx="648">
                  <c:v>43259</c:v>
                </c:pt>
                <c:pt idx="649">
                  <c:v>43262</c:v>
                </c:pt>
                <c:pt idx="650">
                  <c:v>43263</c:v>
                </c:pt>
                <c:pt idx="651">
                  <c:v>43264</c:v>
                </c:pt>
                <c:pt idx="652">
                  <c:v>43265</c:v>
                </c:pt>
                <c:pt idx="653">
                  <c:v>43266</c:v>
                </c:pt>
                <c:pt idx="654">
                  <c:v>43269</c:v>
                </c:pt>
                <c:pt idx="655">
                  <c:v>43270</c:v>
                </c:pt>
                <c:pt idx="656">
                  <c:v>43271</c:v>
                </c:pt>
                <c:pt idx="657">
                  <c:v>43272</c:v>
                </c:pt>
                <c:pt idx="658">
                  <c:v>43273</c:v>
                </c:pt>
                <c:pt idx="659">
                  <c:v>43276</c:v>
                </c:pt>
                <c:pt idx="660">
                  <c:v>43277</c:v>
                </c:pt>
                <c:pt idx="661">
                  <c:v>43278</c:v>
                </c:pt>
                <c:pt idx="662">
                  <c:v>43279</c:v>
                </c:pt>
                <c:pt idx="663">
                  <c:v>43280</c:v>
                </c:pt>
                <c:pt idx="664">
                  <c:v>43283</c:v>
                </c:pt>
                <c:pt idx="665">
                  <c:v>43284</c:v>
                </c:pt>
                <c:pt idx="666">
                  <c:v>43286</c:v>
                </c:pt>
                <c:pt idx="667">
                  <c:v>43287</c:v>
                </c:pt>
                <c:pt idx="668">
                  <c:v>43290</c:v>
                </c:pt>
                <c:pt idx="669">
                  <c:v>43291</c:v>
                </c:pt>
                <c:pt idx="670">
                  <c:v>43292</c:v>
                </c:pt>
                <c:pt idx="671">
                  <c:v>43293</c:v>
                </c:pt>
                <c:pt idx="672">
                  <c:v>43294</c:v>
                </c:pt>
                <c:pt idx="673">
                  <c:v>43297</c:v>
                </c:pt>
                <c:pt idx="674">
                  <c:v>43298</c:v>
                </c:pt>
                <c:pt idx="675">
                  <c:v>43299</c:v>
                </c:pt>
                <c:pt idx="676">
                  <c:v>43300</c:v>
                </c:pt>
                <c:pt idx="677">
                  <c:v>43301</c:v>
                </c:pt>
                <c:pt idx="678">
                  <c:v>43304</c:v>
                </c:pt>
                <c:pt idx="679">
                  <c:v>43305</c:v>
                </c:pt>
                <c:pt idx="680">
                  <c:v>43306</c:v>
                </c:pt>
                <c:pt idx="681">
                  <c:v>43307</c:v>
                </c:pt>
                <c:pt idx="682">
                  <c:v>43308</c:v>
                </c:pt>
                <c:pt idx="683">
                  <c:v>43311</c:v>
                </c:pt>
                <c:pt idx="684">
                  <c:v>43312</c:v>
                </c:pt>
                <c:pt idx="685">
                  <c:v>43313</c:v>
                </c:pt>
                <c:pt idx="686">
                  <c:v>43314</c:v>
                </c:pt>
                <c:pt idx="687">
                  <c:v>43315</c:v>
                </c:pt>
                <c:pt idx="688">
                  <c:v>43318</c:v>
                </c:pt>
                <c:pt idx="689">
                  <c:v>43319</c:v>
                </c:pt>
                <c:pt idx="690">
                  <c:v>43320</c:v>
                </c:pt>
                <c:pt idx="691">
                  <c:v>43321</c:v>
                </c:pt>
                <c:pt idx="692">
                  <c:v>43322</c:v>
                </c:pt>
                <c:pt idx="693">
                  <c:v>43325</c:v>
                </c:pt>
                <c:pt idx="694">
                  <c:v>43326</c:v>
                </c:pt>
                <c:pt idx="695">
                  <c:v>43327</c:v>
                </c:pt>
                <c:pt idx="696">
                  <c:v>43328</c:v>
                </c:pt>
                <c:pt idx="697">
                  <c:v>43329</c:v>
                </c:pt>
                <c:pt idx="698">
                  <c:v>43332</c:v>
                </c:pt>
                <c:pt idx="699">
                  <c:v>43333</c:v>
                </c:pt>
                <c:pt idx="700">
                  <c:v>43334</c:v>
                </c:pt>
                <c:pt idx="701">
                  <c:v>43335</c:v>
                </c:pt>
                <c:pt idx="702">
                  <c:v>43336</c:v>
                </c:pt>
                <c:pt idx="703">
                  <c:v>43339</c:v>
                </c:pt>
                <c:pt idx="704">
                  <c:v>43340</c:v>
                </c:pt>
                <c:pt idx="705">
                  <c:v>43341</c:v>
                </c:pt>
                <c:pt idx="706">
                  <c:v>43342</c:v>
                </c:pt>
                <c:pt idx="707">
                  <c:v>43343</c:v>
                </c:pt>
                <c:pt idx="708">
                  <c:v>43347</c:v>
                </c:pt>
                <c:pt idx="709">
                  <c:v>43348</c:v>
                </c:pt>
                <c:pt idx="710">
                  <c:v>43349</c:v>
                </c:pt>
                <c:pt idx="711">
                  <c:v>43350</c:v>
                </c:pt>
                <c:pt idx="712">
                  <c:v>43353</c:v>
                </c:pt>
                <c:pt idx="713">
                  <c:v>43354</c:v>
                </c:pt>
                <c:pt idx="714">
                  <c:v>43355</c:v>
                </c:pt>
                <c:pt idx="715">
                  <c:v>43356</c:v>
                </c:pt>
                <c:pt idx="716">
                  <c:v>43357</c:v>
                </c:pt>
                <c:pt idx="717">
                  <c:v>43360</c:v>
                </c:pt>
                <c:pt idx="718">
                  <c:v>43361</c:v>
                </c:pt>
                <c:pt idx="719">
                  <c:v>43362</c:v>
                </c:pt>
                <c:pt idx="720">
                  <c:v>43363</c:v>
                </c:pt>
                <c:pt idx="721">
                  <c:v>43364</c:v>
                </c:pt>
                <c:pt idx="722">
                  <c:v>43367</c:v>
                </c:pt>
                <c:pt idx="723">
                  <c:v>43368</c:v>
                </c:pt>
                <c:pt idx="724">
                  <c:v>43369</c:v>
                </c:pt>
                <c:pt idx="725">
                  <c:v>43370</c:v>
                </c:pt>
                <c:pt idx="726">
                  <c:v>43371</c:v>
                </c:pt>
                <c:pt idx="727">
                  <c:v>43374</c:v>
                </c:pt>
                <c:pt idx="728">
                  <c:v>43375</c:v>
                </c:pt>
                <c:pt idx="729">
                  <c:v>43376</c:v>
                </c:pt>
                <c:pt idx="730">
                  <c:v>43377</c:v>
                </c:pt>
                <c:pt idx="731">
                  <c:v>43378</c:v>
                </c:pt>
                <c:pt idx="732">
                  <c:v>43381</c:v>
                </c:pt>
                <c:pt idx="733">
                  <c:v>43382</c:v>
                </c:pt>
                <c:pt idx="734">
                  <c:v>43383</c:v>
                </c:pt>
                <c:pt idx="735">
                  <c:v>43384</c:v>
                </c:pt>
                <c:pt idx="736">
                  <c:v>43385</c:v>
                </c:pt>
                <c:pt idx="737">
                  <c:v>43388</c:v>
                </c:pt>
              </c:numCache>
            </c:numRef>
          </c:xVal>
          <c:yVal>
            <c:numRef>
              <c:f>'tesla-stock-price (4)'!$E$23:$E$760</c:f>
              <c:numCache>
                <c:formatCode>General</c:formatCode>
                <c:ptCount val="738"/>
                <c:pt idx="0">
                  <c:v>228.48000000000002</c:v>
                </c:pt>
                <c:pt idx="1">
                  <c:v>224.13499999999999</c:v>
                </c:pt>
                <c:pt idx="2">
                  <c:v>225.72000000000003</c:v>
                </c:pt>
                <c:pt idx="3">
                  <c:v>219.13499999999999</c:v>
                </c:pt>
                <c:pt idx="4">
                  <c:v>211.845</c:v>
                </c:pt>
                <c:pt idx="5">
                  <c:v>216.69499999999999</c:v>
                </c:pt>
                <c:pt idx="6">
                  <c:v>213.47</c:v>
                </c:pt>
                <c:pt idx="7">
                  <c:v>214.13</c:v>
                </c:pt>
                <c:pt idx="8">
                  <c:v>218.05500000000001</c:v>
                </c:pt>
                <c:pt idx="9">
                  <c:v>217.005</c:v>
                </c:pt>
                <c:pt idx="10">
                  <c:v>219.41</c:v>
                </c:pt>
                <c:pt idx="11">
                  <c:v>220.02500000000001</c:v>
                </c:pt>
                <c:pt idx="12">
                  <c:v>224.82499999999999</c:v>
                </c:pt>
                <c:pt idx="13">
                  <c:v>224.68</c:v>
                </c:pt>
                <c:pt idx="14">
                  <c:v>224.255</c:v>
                </c:pt>
                <c:pt idx="15">
                  <c:v>233.41499999999999</c:v>
                </c:pt>
                <c:pt idx="16">
                  <c:v>231.8</c:v>
                </c:pt>
                <c:pt idx="17">
                  <c:v>231.48500000000001</c:v>
                </c:pt>
                <c:pt idx="18">
                  <c:v>233.785</c:v>
                </c:pt>
                <c:pt idx="19">
                  <c:v>231.56</c:v>
                </c:pt>
                <c:pt idx="20">
                  <c:v>229.715</c:v>
                </c:pt>
                <c:pt idx="21">
                  <c:v>227.45</c:v>
                </c:pt>
                <c:pt idx="22">
                  <c:v>229.1</c:v>
                </c:pt>
                <c:pt idx="23">
                  <c:v>221.87</c:v>
                </c:pt>
                <c:pt idx="24">
                  <c:v>221.55</c:v>
                </c:pt>
                <c:pt idx="25">
                  <c:v>224.07999999999998</c:v>
                </c:pt>
                <c:pt idx="26">
                  <c:v>225.76499999999999</c:v>
                </c:pt>
                <c:pt idx="27">
                  <c:v>225.98500000000001</c:v>
                </c:pt>
                <c:pt idx="28">
                  <c:v>225.77500000000001</c:v>
                </c:pt>
                <c:pt idx="29">
                  <c:v>233.535</c:v>
                </c:pt>
                <c:pt idx="30">
                  <c:v>231.67</c:v>
                </c:pt>
                <c:pt idx="31">
                  <c:v>230.07999999999998</c:v>
                </c:pt>
                <c:pt idx="32">
                  <c:v>231.565</c:v>
                </c:pt>
                <c:pt idx="33">
                  <c:v>229.45</c:v>
                </c:pt>
                <c:pt idx="34">
                  <c:v>233.44499999999999</c:v>
                </c:pt>
                <c:pt idx="35">
                  <c:v>234.32999999999998</c:v>
                </c:pt>
                <c:pt idx="36">
                  <c:v>234.48</c:v>
                </c:pt>
                <c:pt idx="37">
                  <c:v>230.3</c:v>
                </c:pt>
                <c:pt idx="38">
                  <c:v>230.76</c:v>
                </c:pt>
                <c:pt idx="39">
                  <c:v>229.52499999999998</c:v>
                </c:pt>
                <c:pt idx="40">
                  <c:v>219.53</c:v>
                </c:pt>
                <c:pt idx="41">
                  <c:v>217.215</c:v>
                </c:pt>
                <c:pt idx="42">
                  <c:v>213.44499999999999</c:v>
                </c:pt>
                <c:pt idx="43">
                  <c:v>212.81</c:v>
                </c:pt>
                <c:pt idx="44">
                  <c:v>205.655</c:v>
                </c:pt>
                <c:pt idx="45">
                  <c:v>207.01499999999999</c:v>
                </c:pt>
                <c:pt idx="46">
                  <c:v>207.48000000000002</c:v>
                </c:pt>
                <c:pt idx="47">
                  <c:v>202.51499999999999</c:v>
                </c:pt>
                <c:pt idx="48">
                  <c:v>202.44</c:v>
                </c:pt>
                <c:pt idx="49">
                  <c:v>202.48000000000002</c:v>
                </c:pt>
                <c:pt idx="50">
                  <c:v>203.63499999999999</c:v>
                </c:pt>
                <c:pt idx="51">
                  <c:v>197.54</c:v>
                </c:pt>
                <c:pt idx="52">
                  <c:v>196.76499999999999</c:v>
                </c:pt>
                <c:pt idx="53">
                  <c:v>195.31</c:v>
                </c:pt>
                <c:pt idx="54">
                  <c:v>193.04</c:v>
                </c:pt>
                <c:pt idx="55">
                  <c:v>192.38</c:v>
                </c:pt>
                <c:pt idx="56">
                  <c:v>192.505</c:v>
                </c:pt>
                <c:pt idx="57">
                  <c:v>186.24</c:v>
                </c:pt>
                <c:pt idx="58">
                  <c:v>182.33999999999997</c:v>
                </c:pt>
                <c:pt idx="59">
                  <c:v>186.13499999999999</c:v>
                </c:pt>
                <c:pt idx="60">
                  <c:v>172.69</c:v>
                </c:pt>
                <c:pt idx="61">
                  <c:v>160.73500000000001</c:v>
                </c:pt>
                <c:pt idx="62">
                  <c:v>161.79000000000002</c:v>
                </c:pt>
                <c:pt idx="63">
                  <c:v>153.13499999999999</c:v>
                </c:pt>
                <c:pt idx="64">
                  <c:v>149.23000000000002</c:v>
                </c:pt>
                <c:pt idx="65">
                  <c:v>149.64499999999998</c:v>
                </c:pt>
                <c:pt idx="66">
                  <c:v>149.41999999999999</c:v>
                </c:pt>
                <c:pt idx="67">
                  <c:v>159.57499999999999</c:v>
                </c:pt>
                <c:pt idx="68">
                  <c:v>158.905</c:v>
                </c:pt>
                <c:pt idx="69">
                  <c:v>160.875</c:v>
                </c:pt>
                <c:pt idx="70">
                  <c:v>173.21</c:v>
                </c:pt>
                <c:pt idx="71">
                  <c:v>171.99</c:v>
                </c:pt>
                <c:pt idx="72">
                  <c:v>172.79000000000002</c:v>
                </c:pt>
                <c:pt idx="73">
                  <c:v>182.58500000000001</c:v>
                </c:pt>
                <c:pt idx="74">
                  <c:v>183.77500000000001</c:v>
                </c:pt>
                <c:pt idx="75">
                  <c:v>185.465</c:v>
                </c:pt>
                <c:pt idx="76">
                  <c:v>186.89</c:v>
                </c:pt>
                <c:pt idx="77">
                  <c:v>189.34</c:v>
                </c:pt>
                <c:pt idx="78">
                  <c:v>193.83500000000001</c:v>
                </c:pt>
                <c:pt idx="79">
                  <c:v>193.69499999999999</c:v>
                </c:pt>
                <c:pt idx="80">
                  <c:v>196.815</c:v>
                </c:pt>
                <c:pt idx="81">
                  <c:v>199.17000000000002</c:v>
                </c:pt>
                <c:pt idx="82">
                  <c:v>204.88</c:v>
                </c:pt>
                <c:pt idx="83">
                  <c:v>205.23500000000001</c:v>
                </c:pt>
                <c:pt idx="84">
                  <c:v>205.05</c:v>
                </c:pt>
                <c:pt idx="85">
                  <c:v>211.935</c:v>
                </c:pt>
                <c:pt idx="86">
                  <c:v>211.76</c:v>
                </c:pt>
                <c:pt idx="87">
                  <c:v>214.715</c:v>
                </c:pt>
                <c:pt idx="88">
                  <c:v>220.76499999999999</c:v>
                </c:pt>
                <c:pt idx="89">
                  <c:v>225.54000000000002</c:v>
                </c:pt>
                <c:pt idx="90">
                  <c:v>230.125</c:v>
                </c:pt>
                <c:pt idx="91">
                  <c:v>230.31</c:v>
                </c:pt>
                <c:pt idx="92">
                  <c:v>227.66000000000003</c:v>
                </c:pt>
                <c:pt idx="93">
                  <c:v>233.035</c:v>
                </c:pt>
                <c:pt idx="94">
                  <c:v>232.25</c:v>
                </c:pt>
                <c:pt idx="95">
                  <c:v>226.35500000000002</c:v>
                </c:pt>
                <c:pt idx="96">
                  <c:v>227.32</c:v>
                </c:pt>
                <c:pt idx="97">
                  <c:v>230.01499999999999</c:v>
                </c:pt>
                <c:pt idx="98">
                  <c:v>233.86</c:v>
                </c:pt>
                <c:pt idx="99">
                  <c:v>236.94</c:v>
                </c:pt>
                <c:pt idx="100">
                  <c:v>242.62</c:v>
                </c:pt>
                <c:pt idx="101">
                  <c:v>251.505</c:v>
                </c:pt>
                <c:pt idx="102">
                  <c:v>252.095</c:v>
                </c:pt>
                <c:pt idx="103">
                  <c:v>252.76999999999998</c:v>
                </c:pt>
                <c:pt idx="104">
                  <c:v>257.67</c:v>
                </c:pt>
                <c:pt idx="105">
                  <c:v>252.51</c:v>
                </c:pt>
                <c:pt idx="106">
                  <c:v>252.3</c:v>
                </c:pt>
                <c:pt idx="107">
                  <c:v>250.89</c:v>
                </c:pt>
                <c:pt idx="108">
                  <c:v>251.16499999999999</c:v>
                </c:pt>
                <c:pt idx="109">
                  <c:v>254.20499999999998</c:v>
                </c:pt>
                <c:pt idx="110">
                  <c:v>249.61500000000001</c:v>
                </c:pt>
                <c:pt idx="111">
                  <c:v>252.24</c:v>
                </c:pt>
                <c:pt idx="112">
                  <c:v>251.08499999999998</c:v>
                </c:pt>
                <c:pt idx="113">
                  <c:v>250.56</c:v>
                </c:pt>
                <c:pt idx="114">
                  <c:v>250.89499999999998</c:v>
                </c:pt>
                <c:pt idx="115">
                  <c:v>251.01499999999999</c:v>
                </c:pt>
                <c:pt idx="116">
                  <c:v>252.61</c:v>
                </c:pt>
                <c:pt idx="117">
                  <c:v>249.76499999999999</c:v>
                </c:pt>
                <c:pt idx="118">
                  <c:v>247.25</c:v>
                </c:pt>
                <c:pt idx="119">
                  <c:v>246.63499999999999</c:v>
                </c:pt>
                <c:pt idx="120">
                  <c:v>240.01499999999999</c:v>
                </c:pt>
                <c:pt idx="121">
                  <c:v>231.66</c:v>
                </c:pt>
                <c:pt idx="122">
                  <c:v>226.66500000000002</c:v>
                </c:pt>
                <c:pt idx="123">
                  <c:v>223.625</c:v>
                </c:pt>
                <c:pt idx="124">
                  <c:v>215.74</c:v>
                </c:pt>
                <c:pt idx="125">
                  <c:v>210.11</c:v>
                </c:pt>
                <c:pt idx="126">
                  <c:v>211.94499999999999</c:v>
                </c:pt>
                <c:pt idx="127">
                  <c:v>208.1</c:v>
                </c:pt>
                <c:pt idx="128">
                  <c:v>208.15</c:v>
                </c:pt>
                <c:pt idx="129">
                  <c:v>208.625</c:v>
                </c:pt>
                <c:pt idx="130">
                  <c:v>205.97</c:v>
                </c:pt>
                <c:pt idx="131">
                  <c:v>209.39</c:v>
                </c:pt>
                <c:pt idx="132">
                  <c:v>211.75</c:v>
                </c:pt>
                <c:pt idx="133">
                  <c:v>212.47</c:v>
                </c:pt>
                <c:pt idx="134">
                  <c:v>213.69499999999999</c:v>
                </c:pt>
                <c:pt idx="135">
                  <c:v>216.56</c:v>
                </c:pt>
                <c:pt idx="136">
                  <c:v>219.93</c:v>
                </c:pt>
                <c:pt idx="137">
                  <c:v>220.67000000000002</c:v>
                </c:pt>
                <c:pt idx="138">
                  <c:v>220.47499999999999</c:v>
                </c:pt>
                <c:pt idx="139">
                  <c:v>221.405</c:v>
                </c:pt>
                <c:pt idx="140">
                  <c:v>222.34</c:v>
                </c:pt>
                <c:pt idx="141">
                  <c:v>221</c:v>
                </c:pt>
                <c:pt idx="142">
                  <c:v>221.11</c:v>
                </c:pt>
                <c:pt idx="143">
                  <c:v>220.12</c:v>
                </c:pt>
                <c:pt idx="144">
                  <c:v>225.65</c:v>
                </c:pt>
                <c:pt idx="145">
                  <c:v>227.255</c:v>
                </c:pt>
                <c:pt idx="146">
                  <c:v>225.02</c:v>
                </c:pt>
                <c:pt idx="147">
                  <c:v>225.565</c:v>
                </c:pt>
                <c:pt idx="148">
                  <c:v>226.69499999999999</c:v>
                </c:pt>
                <c:pt idx="149">
                  <c:v>222.16000000000003</c:v>
                </c:pt>
                <c:pt idx="150">
                  <c:v>218.245</c:v>
                </c:pt>
                <c:pt idx="151">
                  <c:v>217.9</c:v>
                </c:pt>
                <c:pt idx="152">
                  <c:v>215.215</c:v>
                </c:pt>
                <c:pt idx="153">
                  <c:v>218.7</c:v>
                </c:pt>
                <c:pt idx="154">
                  <c:v>218.77</c:v>
                </c:pt>
                <c:pt idx="155">
                  <c:v>206.065</c:v>
                </c:pt>
                <c:pt idx="156">
                  <c:v>208.05</c:v>
                </c:pt>
                <c:pt idx="157">
                  <c:v>206.38</c:v>
                </c:pt>
                <c:pt idx="158">
                  <c:v>197.60500000000002</c:v>
                </c:pt>
                <c:pt idx="159">
                  <c:v>199.095</c:v>
                </c:pt>
                <c:pt idx="160">
                  <c:v>201.67000000000002</c:v>
                </c:pt>
                <c:pt idx="161">
                  <c:v>205.41500000000002</c:v>
                </c:pt>
                <c:pt idx="162">
                  <c:v>209.14499999999998</c:v>
                </c:pt>
                <c:pt idx="163">
                  <c:v>212.08499999999998</c:v>
                </c:pt>
                <c:pt idx="164">
                  <c:v>213.36</c:v>
                </c:pt>
                <c:pt idx="165">
                  <c:v>216.22</c:v>
                </c:pt>
                <c:pt idx="166">
                  <c:v>215.38</c:v>
                </c:pt>
                <c:pt idx="167">
                  <c:v>219.61</c:v>
                </c:pt>
                <c:pt idx="168">
                  <c:v>220.29500000000002</c:v>
                </c:pt>
                <c:pt idx="169">
                  <c:v>219.655</c:v>
                </c:pt>
                <c:pt idx="170">
                  <c:v>223.155</c:v>
                </c:pt>
                <c:pt idx="171">
                  <c:v>222.52500000000001</c:v>
                </c:pt>
                <c:pt idx="172">
                  <c:v>224.39</c:v>
                </c:pt>
                <c:pt idx="173">
                  <c:v>223.39499999999998</c:v>
                </c:pt>
                <c:pt idx="174">
                  <c:v>224.38</c:v>
                </c:pt>
                <c:pt idx="175">
                  <c:v>223.375</c:v>
                </c:pt>
                <c:pt idx="176">
                  <c:v>223.76499999999999</c:v>
                </c:pt>
                <c:pt idx="177">
                  <c:v>229.185</c:v>
                </c:pt>
                <c:pt idx="178">
                  <c:v>225.005</c:v>
                </c:pt>
                <c:pt idx="179">
                  <c:v>225.38</c:v>
                </c:pt>
                <c:pt idx="180">
                  <c:v>230.31</c:v>
                </c:pt>
                <c:pt idx="181">
                  <c:v>232.14999999999998</c:v>
                </c:pt>
                <c:pt idx="182">
                  <c:v>229.25</c:v>
                </c:pt>
                <c:pt idx="183">
                  <c:v>228.905</c:v>
                </c:pt>
                <c:pt idx="184">
                  <c:v>230.29</c:v>
                </c:pt>
                <c:pt idx="185">
                  <c:v>230.31</c:v>
                </c:pt>
                <c:pt idx="186">
                  <c:v>228.61500000000001</c:v>
                </c:pt>
                <c:pt idx="187">
                  <c:v>225.97499999999999</c:v>
                </c:pt>
                <c:pt idx="188">
                  <c:v>229.84500000000003</c:v>
                </c:pt>
                <c:pt idx="189">
                  <c:v>227.84</c:v>
                </c:pt>
                <c:pt idx="190">
                  <c:v>225.535</c:v>
                </c:pt>
                <c:pt idx="191">
                  <c:v>227.34500000000003</c:v>
                </c:pt>
                <c:pt idx="192">
                  <c:v>225.62</c:v>
                </c:pt>
                <c:pt idx="193">
                  <c:v>224.26</c:v>
                </c:pt>
                <c:pt idx="194">
                  <c:v>224.42500000000001</c:v>
                </c:pt>
                <c:pt idx="195">
                  <c:v>224.55</c:v>
                </c:pt>
                <c:pt idx="196">
                  <c:v>224.30500000000001</c:v>
                </c:pt>
                <c:pt idx="197">
                  <c:v>223.08500000000001</c:v>
                </c:pt>
                <c:pt idx="198">
                  <c:v>224.17500000000001</c:v>
                </c:pt>
                <c:pt idx="199">
                  <c:v>223.81</c:v>
                </c:pt>
                <c:pt idx="200">
                  <c:v>221.94499999999999</c:v>
                </c:pt>
                <c:pt idx="201">
                  <c:v>222.41500000000002</c:v>
                </c:pt>
                <c:pt idx="202">
                  <c:v>218.91</c:v>
                </c:pt>
                <c:pt idx="203">
                  <c:v>216.15</c:v>
                </c:pt>
                <c:pt idx="204">
                  <c:v>216</c:v>
                </c:pt>
                <c:pt idx="205">
                  <c:v>207.98500000000001</c:v>
                </c:pt>
                <c:pt idx="206">
                  <c:v>204.56</c:v>
                </c:pt>
                <c:pt idx="207">
                  <c:v>207.42000000000002</c:v>
                </c:pt>
                <c:pt idx="208">
                  <c:v>201.24</c:v>
                </c:pt>
                <c:pt idx="209">
                  <c:v>197.57</c:v>
                </c:pt>
                <c:pt idx="210">
                  <c:v>198.65</c:v>
                </c:pt>
                <c:pt idx="211">
                  <c:v>200.005</c:v>
                </c:pt>
                <c:pt idx="212">
                  <c:v>196.70500000000001</c:v>
                </c:pt>
                <c:pt idx="213">
                  <c:v>195.44</c:v>
                </c:pt>
                <c:pt idx="214">
                  <c:v>199.36</c:v>
                </c:pt>
                <c:pt idx="215">
                  <c:v>200.72500000000002</c:v>
                </c:pt>
                <c:pt idx="216">
                  <c:v>201.375</c:v>
                </c:pt>
                <c:pt idx="217">
                  <c:v>202.52999999999997</c:v>
                </c:pt>
                <c:pt idx="218">
                  <c:v>205.31</c:v>
                </c:pt>
                <c:pt idx="219">
                  <c:v>206.38499999999999</c:v>
                </c:pt>
                <c:pt idx="220">
                  <c:v>206.04499999999999</c:v>
                </c:pt>
                <c:pt idx="221">
                  <c:v>207.10500000000002</c:v>
                </c:pt>
                <c:pt idx="222">
                  <c:v>206.12</c:v>
                </c:pt>
                <c:pt idx="223">
                  <c:v>206.86</c:v>
                </c:pt>
                <c:pt idx="224">
                  <c:v>204.845</c:v>
                </c:pt>
                <c:pt idx="225">
                  <c:v>204.92000000000002</c:v>
                </c:pt>
                <c:pt idx="226">
                  <c:v>209.98500000000001</c:v>
                </c:pt>
                <c:pt idx="227">
                  <c:v>206.05500000000001</c:v>
                </c:pt>
                <c:pt idx="228">
                  <c:v>206.245</c:v>
                </c:pt>
                <c:pt idx="229">
                  <c:v>207.35</c:v>
                </c:pt>
                <c:pt idx="230">
                  <c:v>204.01</c:v>
                </c:pt>
                <c:pt idx="231">
                  <c:v>204.70499999999998</c:v>
                </c:pt>
                <c:pt idx="232">
                  <c:v>200.55</c:v>
                </c:pt>
                <c:pt idx="233">
                  <c:v>199.06</c:v>
                </c:pt>
                <c:pt idx="234">
                  <c:v>200.595</c:v>
                </c:pt>
                <c:pt idx="235">
                  <c:v>198.30500000000001</c:v>
                </c:pt>
                <c:pt idx="236">
                  <c:v>197.73500000000001</c:v>
                </c:pt>
                <c:pt idx="237">
                  <c:v>199.67000000000002</c:v>
                </c:pt>
                <c:pt idx="238">
                  <c:v>200.035</c:v>
                </c:pt>
                <c:pt idx="239">
                  <c:v>196.53</c:v>
                </c:pt>
                <c:pt idx="240">
                  <c:v>199.595</c:v>
                </c:pt>
                <c:pt idx="241">
                  <c:v>203.16</c:v>
                </c:pt>
                <c:pt idx="242">
                  <c:v>200.72</c:v>
                </c:pt>
                <c:pt idx="243">
                  <c:v>201.16500000000002</c:v>
                </c:pt>
                <c:pt idx="244">
                  <c:v>203.38499999999999</c:v>
                </c:pt>
                <c:pt idx="245">
                  <c:v>201.155</c:v>
                </c:pt>
                <c:pt idx="246">
                  <c:v>199.98500000000001</c:v>
                </c:pt>
                <c:pt idx="247">
                  <c:v>197.39999999999998</c:v>
                </c:pt>
                <c:pt idx="248">
                  <c:v>193.995</c:v>
                </c:pt>
                <c:pt idx="249">
                  <c:v>192.57499999999999</c:v>
                </c:pt>
                <c:pt idx="250">
                  <c:v>190.67500000000001</c:v>
                </c:pt>
                <c:pt idx="251">
                  <c:v>190.61500000000001</c:v>
                </c:pt>
                <c:pt idx="252">
                  <c:v>191.18</c:v>
                </c:pt>
                <c:pt idx="253">
                  <c:v>190.31</c:v>
                </c:pt>
                <c:pt idx="254">
                  <c:v>189.28</c:v>
                </c:pt>
                <c:pt idx="255">
                  <c:v>191.75</c:v>
                </c:pt>
                <c:pt idx="256">
                  <c:v>185.755</c:v>
                </c:pt>
                <c:pt idx="257">
                  <c:v>184.56</c:v>
                </c:pt>
                <c:pt idx="258">
                  <c:v>186.245</c:v>
                </c:pt>
                <c:pt idx="259">
                  <c:v>185.05500000000001</c:v>
                </c:pt>
                <c:pt idx="260">
                  <c:v>184.39500000000001</c:v>
                </c:pt>
                <c:pt idx="261">
                  <c:v>184.22500000000002</c:v>
                </c:pt>
                <c:pt idx="262">
                  <c:v>189.91499999999999</c:v>
                </c:pt>
                <c:pt idx="263">
                  <c:v>189.07999999999998</c:v>
                </c:pt>
                <c:pt idx="264">
                  <c:v>190.58500000000001</c:v>
                </c:pt>
                <c:pt idx="265">
                  <c:v>193.64499999999998</c:v>
                </c:pt>
                <c:pt idx="266">
                  <c:v>191.35499999999999</c:v>
                </c:pt>
                <c:pt idx="267">
                  <c:v>193.02500000000001</c:v>
                </c:pt>
                <c:pt idx="268">
                  <c:v>189</c:v>
                </c:pt>
                <c:pt idx="269">
                  <c:v>185.51999999999998</c:v>
                </c:pt>
                <c:pt idx="270">
                  <c:v>188.10000000000002</c:v>
                </c:pt>
                <c:pt idx="271">
                  <c:v>183.86500000000001</c:v>
                </c:pt>
                <c:pt idx="272">
                  <c:v>187.31</c:v>
                </c:pt>
                <c:pt idx="273">
                  <c:v>189.54500000000002</c:v>
                </c:pt>
                <c:pt idx="274">
                  <c:v>189.01499999999999</c:v>
                </c:pt>
                <c:pt idx="275">
                  <c:v>192.79000000000002</c:v>
                </c:pt>
                <c:pt idx="276">
                  <c:v>195.22</c:v>
                </c:pt>
                <c:pt idx="277">
                  <c:v>195.435</c:v>
                </c:pt>
                <c:pt idx="278">
                  <c:v>195.005</c:v>
                </c:pt>
                <c:pt idx="279">
                  <c:v>200.32</c:v>
                </c:pt>
                <c:pt idx="280">
                  <c:v>200.70999999999998</c:v>
                </c:pt>
                <c:pt idx="281">
                  <c:v>203.185</c:v>
                </c:pt>
                <c:pt idx="282">
                  <c:v>205.095</c:v>
                </c:pt>
                <c:pt idx="283">
                  <c:v>205.58999999999997</c:v>
                </c:pt>
                <c:pt idx="284">
                  <c:v>211.065</c:v>
                </c:pt>
                <c:pt idx="285">
                  <c:v>213.61500000000001</c:v>
                </c:pt>
                <c:pt idx="286">
                  <c:v>214.095</c:v>
                </c:pt>
                <c:pt idx="287">
                  <c:v>214.01</c:v>
                </c:pt>
                <c:pt idx="288">
                  <c:v>216.61</c:v>
                </c:pt>
                <c:pt idx="289">
                  <c:v>218.36500000000001</c:v>
                </c:pt>
                <c:pt idx="290">
                  <c:v>220.83500000000001</c:v>
                </c:pt>
                <c:pt idx="291">
                  <c:v>220.22</c:v>
                </c:pt>
                <c:pt idx="292">
                  <c:v>223</c:v>
                </c:pt>
                <c:pt idx="293">
                  <c:v>229.13499999999999</c:v>
                </c:pt>
                <c:pt idx="294">
                  <c:v>228.31</c:v>
                </c:pt>
                <c:pt idx="295">
                  <c:v>229.37</c:v>
                </c:pt>
                <c:pt idx="296">
                  <c:v>230.435</c:v>
                </c:pt>
                <c:pt idx="297">
                  <c:v>233.81</c:v>
                </c:pt>
                <c:pt idx="298">
                  <c:v>232.655</c:v>
                </c:pt>
                <c:pt idx="299">
                  <c:v>233.97500000000002</c:v>
                </c:pt>
                <c:pt idx="300">
                  <c:v>240.755</c:v>
                </c:pt>
                <c:pt idx="301">
                  <c:v>240.155</c:v>
                </c:pt>
                <c:pt idx="302">
                  <c:v>243.64</c:v>
                </c:pt>
                <c:pt idx="303">
                  <c:v>249.185</c:v>
                </c:pt>
                <c:pt idx="304">
                  <c:v>249.6</c:v>
                </c:pt>
                <c:pt idx="305">
                  <c:v>250.71499999999997</c:v>
                </c:pt>
                <c:pt idx="306">
                  <c:v>253.78</c:v>
                </c:pt>
                <c:pt idx="307">
                  <c:v>252.55</c:v>
                </c:pt>
                <c:pt idx="308">
                  <c:v>252.22</c:v>
                </c:pt>
                <c:pt idx="309">
                  <c:v>251.095</c:v>
                </c:pt>
                <c:pt idx="310">
                  <c:v>251.09</c:v>
                </c:pt>
                <c:pt idx="311">
                  <c:v>251.63</c:v>
                </c:pt>
                <c:pt idx="312">
                  <c:v>253.505</c:v>
                </c:pt>
                <c:pt idx="313">
                  <c:v>254.51500000000001</c:v>
                </c:pt>
                <c:pt idx="314">
                  <c:v>256.70499999999998</c:v>
                </c:pt>
                <c:pt idx="315">
                  <c:v>263.48500000000001</c:v>
                </c:pt>
                <c:pt idx="316">
                  <c:v>263.35500000000002</c:v>
                </c:pt>
                <c:pt idx="317">
                  <c:v>271.34000000000003</c:v>
                </c:pt>
                <c:pt idx="318">
                  <c:v>275.09000000000003</c:v>
                </c:pt>
                <c:pt idx="319">
                  <c:v>274.495</c:v>
                </c:pt>
                <c:pt idx="320">
                  <c:v>274.77499999999998</c:v>
                </c:pt>
                <c:pt idx="321">
                  <c:v>276.60500000000002</c:v>
                </c:pt>
                <c:pt idx="322">
                  <c:v>278.57499999999999</c:v>
                </c:pt>
                <c:pt idx="323">
                  <c:v>271.23</c:v>
                </c:pt>
                <c:pt idx="324">
                  <c:v>264.11</c:v>
                </c:pt>
                <c:pt idx="325">
                  <c:v>267.19499999999999</c:v>
                </c:pt>
                <c:pt idx="326">
                  <c:v>259.87</c:v>
                </c:pt>
                <c:pt idx="327">
                  <c:v>252.99</c:v>
                </c:pt>
                <c:pt idx="328">
                  <c:v>253.51</c:v>
                </c:pt>
                <c:pt idx="329">
                  <c:v>248.35499999999999</c:v>
                </c:pt>
                <c:pt idx="330">
                  <c:v>250.78</c:v>
                </c:pt>
                <c:pt idx="331">
                  <c:v>250.61500000000001</c:v>
                </c:pt>
                <c:pt idx="332">
                  <c:v>249.535</c:v>
                </c:pt>
                <c:pt idx="333">
                  <c:v>249.22</c:v>
                </c:pt>
                <c:pt idx="334">
                  <c:v>248.05500000000001</c:v>
                </c:pt>
                <c:pt idx="335">
                  <c:v>246.14</c:v>
                </c:pt>
                <c:pt idx="336">
                  <c:v>246.51999999999998</c:v>
                </c:pt>
                <c:pt idx="337">
                  <c:v>251.45</c:v>
                </c:pt>
                <c:pt idx="338">
                  <c:v>249.70999999999998</c:v>
                </c:pt>
                <c:pt idx="339">
                  <c:v>254.11</c:v>
                </c:pt>
                <c:pt idx="340">
                  <c:v>259.75</c:v>
                </c:pt>
                <c:pt idx="341">
                  <c:v>258.82499999999999</c:v>
                </c:pt>
                <c:pt idx="342">
                  <c:v>256.36500000000001</c:v>
                </c:pt>
                <c:pt idx="343">
                  <c:v>258.255</c:v>
                </c:pt>
                <c:pt idx="344">
                  <c:v>258.35000000000002</c:v>
                </c:pt>
                <c:pt idx="345">
                  <c:v>256.92</c:v>
                </c:pt>
                <c:pt idx="346">
                  <c:v>262.61500000000001</c:v>
                </c:pt>
                <c:pt idx="347">
                  <c:v>266.11500000000001</c:v>
                </c:pt>
                <c:pt idx="348">
                  <c:v>270.27</c:v>
                </c:pt>
                <c:pt idx="349">
                  <c:v>274.07000000000005</c:v>
                </c:pt>
                <c:pt idx="350">
                  <c:v>277.875</c:v>
                </c:pt>
                <c:pt idx="351">
                  <c:v>287.95</c:v>
                </c:pt>
                <c:pt idx="352">
                  <c:v>290.81</c:v>
                </c:pt>
                <c:pt idx="353">
                  <c:v>286.64999999999998</c:v>
                </c:pt>
                <c:pt idx="354">
                  <c:v>298.61</c:v>
                </c:pt>
                <c:pt idx="355">
                  <c:v>303.12</c:v>
                </c:pt>
                <c:pt idx="356">
                  <c:v>303.69499999999999</c:v>
                </c:pt>
                <c:pt idx="357">
                  <c:v>303.70499999999998</c:v>
                </c:pt>
                <c:pt idx="358">
                  <c:v>299.69</c:v>
                </c:pt>
                <c:pt idx="359">
                  <c:v>308.19499999999999</c:v>
                </c:pt>
                <c:pt idx="360">
                  <c:v>305.07499999999999</c:v>
                </c:pt>
                <c:pt idx="361">
                  <c:v>298.54499999999996</c:v>
                </c:pt>
                <c:pt idx="362">
                  <c:v>304.76</c:v>
                </c:pt>
                <c:pt idx="363">
                  <c:v>301.97500000000002</c:v>
                </c:pt>
                <c:pt idx="364">
                  <c:v>302.92500000000001</c:v>
                </c:pt>
                <c:pt idx="365">
                  <c:v>306.77499999999998</c:v>
                </c:pt>
                <c:pt idx="366">
                  <c:v>308.14999999999998</c:v>
                </c:pt>
                <c:pt idx="367">
                  <c:v>307.88499999999999</c:v>
                </c:pt>
                <c:pt idx="368">
                  <c:v>308.33</c:v>
                </c:pt>
                <c:pt idx="369">
                  <c:v>313.93</c:v>
                </c:pt>
                <c:pt idx="370">
                  <c:v>316.5</c:v>
                </c:pt>
                <c:pt idx="371">
                  <c:v>313.76</c:v>
                </c:pt>
                <c:pt idx="372">
                  <c:v>312.54499999999996</c:v>
                </c:pt>
                <c:pt idx="373">
                  <c:v>309.14499999999998</c:v>
                </c:pt>
                <c:pt idx="374">
                  <c:v>313.62</c:v>
                </c:pt>
                <c:pt idx="375">
                  <c:v>309.10500000000002</c:v>
                </c:pt>
                <c:pt idx="376">
                  <c:v>308.36</c:v>
                </c:pt>
                <c:pt idx="377">
                  <c:v>316.78500000000003</c:v>
                </c:pt>
                <c:pt idx="378">
                  <c:v>315.14499999999998</c:v>
                </c:pt>
                <c:pt idx="379">
                  <c:v>323.03499999999997</c:v>
                </c:pt>
                <c:pt idx="380">
                  <c:v>320.55</c:v>
                </c:pt>
                <c:pt idx="381">
                  <c:v>320.05500000000001</c:v>
                </c:pt>
                <c:pt idx="382">
                  <c:v>315.46000000000004</c:v>
                </c:pt>
                <c:pt idx="383">
                  <c:v>314.47000000000003</c:v>
                </c:pt>
                <c:pt idx="384">
                  <c:v>313.91999999999996</c:v>
                </c:pt>
                <c:pt idx="385">
                  <c:v>308.23</c:v>
                </c:pt>
                <c:pt idx="386">
                  <c:v>308.46000000000004</c:v>
                </c:pt>
                <c:pt idx="387">
                  <c:v>310.52499999999998</c:v>
                </c:pt>
                <c:pt idx="388">
                  <c:v>313.59000000000003</c:v>
                </c:pt>
                <c:pt idx="389">
                  <c:v>314.5</c:v>
                </c:pt>
                <c:pt idx="390">
                  <c:v>322.66000000000003</c:v>
                </c:pt>
                <c:pt idx="391">
                  <c:v>328.91999999999996</c:v>
                </c:pt>
                <c:pt idx="392">
                  <c:v>332.755</c:v>
                </c:pt>
                <c:pt idx="393">
                  <c:v>337.47500000000002</c:v>
                </c:pt>
                <c:pt idx="394">
                  <c:v>344.16499999999996</c:v>
                </c:pt>
                <c:pt idx="395">
                  <c:v>346.61</c:v>
                </c:pt>
                <c:pt idx="396">
                  <c:v>349.75</c:v>
                </c:pt>
                <c:pt idx="397">
                  <c:v>358.65999999999997</c:v>
                </c:pt>
                <c:pt idx="398">
                  <c:v>355.08500000000004</c:v>
                </c:pt>
                <c:pt idx="399">
                  <c:v>359.33</c:v>
                </c:pt>
                <c:pt idx="400">
                  <c:v>372.97500000000002</c:v>
                </c:pt>
                <c:pt idx="401">
                  <c:v>368.99</c:v>
                </c:pt>
                <c:pt idx="402">
                  <c:v>367.17499999999995</c:v>
                </c:pt>
                <c:pt idx="403">
                  <c:v>373.67499999999995</c:v>
                </c:pt>
                <c:pt idx="404">
                  <c:v>375.23</c:v>
                </c:pt>
                <c:pt idx="405">
                  <c:v>373.78999999999996</c:v>
                </c:pt>
                <c:pt idx="406">
                  <c:v>373.9</c:v>
                </c:pt>
                <c:pt idx="407">
                  <c:v>376.20500000000004</c:v>
                </c:pt>
                <c:pt idx="408">
                  <c:v>377.84500000000003</c:v>
                </c:pt>
                <c:pt idx="409">
                  <c:v>376.94499999999999</c:v>
                </c:pt>
                <c:pt idx="410">
                  <c:v>372.49</c:v>
                </c:pt>
                <c:pt idx="411">
                  <c:v>377.34500000000003</c:v>
                </c:pt>
                <c:pt idx="412">
                  <c:v>369.12</c:v>
                </c:pt>
                <c:pt idx="413">
                  <c:v>361.99</c:v>
                </c:pt>
                <c:pt idx="414">
                  <c:v>361.93</c:v>
                </c:pt>
                <c:pt idx="415">
                  <c:v>343.91999999999996</c:v>
                </c:pt>
                <c:pt idx="416">
                  <c:v>335.22</c:v>
                </c:pt>
                <c:pt idx="417">
                  <c:v>332.92</c:v>
                </c:pt>
                <c:pt idx="418">
                  <c:v>321.57</c:v>
                </c:pt>
                <c:pt idx="419">
                  <c:v>318.02499999999998</c:v>
                </c:pt>
                <c:pt idx="420">
                  <c:v>321.37</c:v>
                </c:pt>
                <c:pt idx="421">
                  <c:v>319.73</c:v>
                </c:pt>
                <c:pt idx="422">
                  <c:v>327.5</c:v>
                </c:pt>
                <c:pt idx="423">
                  <c:v>324.54499999999996</c:v>
                </c:pt>
                <c:pt idx="424">
                  <c:v>325.82500000000005</c:v>
                </c:pt>
                <c:pt idx="425">
                  <c:v>326.52</c:v>
                </c:pt>
                <c:pt idx="426">
                  <c:v>324.745</c:v>
                </c:pt>
                <c:pt idx="427">
                  <c:v>328.32</c:v>
                </c:pt>
                <c:pt idx="428">
                  <c:v>333.89</c:v>
                </c:pt>
                <c:pt idx="429">
                  <c:v>334.76</c:v>
                </c:pt>
                <c:pt idx="430">
                  <c:v>336.125</c:v>
                </c:pt>
                <c:pt idx="431">
                  <c:v>338.49</c:v>
                </c:pt>
                <c:pt idx="432">
                  <c:v>337.33500000000004</c:v>
                </c:pt>
                <c:pt idx="433">
                  <c:v>333.66</c:v>
                </c:pt>
                <c:pt idx="434">
                  <c:v>327.01499999999999</c:v>
                </c:pt>
                <c:pt idx="435">
                  <c:v>330.48</c:v>
                </c:pt>
                <c:pt idx="436">
                  <c:v>335.28</c:v>
                </c:pt>
                <c:pt idx="437">
                  <c:v>338.24</c:v>
                </c:pt>
                <c:pt idx="438">
                  <c:v>340.53</c:v>
                </c:pt>
                <c:pt idx="439">
                  <c:v>356.15499999999997</c:v>
                </c:pt>
                <c:pt idx="440">
                  <c:v>360.22</c:v>
                </c:pt>
                <c:pt idx="441">
                  <c:v>355.28499999999997</c:v>
                </c:pt>
                <c:pt idx="442">
                  <c:v>361.54500000000002</c:v>
                </c:pt>
                <c:pt idx="443">
                  <c:v>363.66499999999996</c:v>
                </c:pt>
                <c:pt idx="444">
                  <c:v>358.86500000000001</c:v>
                </c:pt>
                <c:pt idx="445">
                  <c:v>360.39</c:v>
                </c:pt>
                <c:pt idx="446">
                  <c:v>357.86</c:v>
                </c:pt>
                <c:pt idx="447">
                  <c:v>354.89499999999998</c:v>
                </c:pt>
                <c:pt idx="448">
                  <c:v>350.38499999999999</c:v>
                </c:pt>
                <c:pt idx="449">
                  <c:v>346.63499999999999</c:v>
                </c:pt>
                <c:pt idx="450">
                  <c:v>350.11500000000001</c:v>
                </c:pt>
                <c:pt idx="451">
                  <c:v>345.39499999999998</c:v>
                </c:pt>
                <c:pt idx="452">
                  <c:v>344.70000000000005</c:v>
                </c:pt>
                <c:pt idx="453">
                  <c:v>349.21500000000003</c:v>
                </c:pt>
                <c:pt idx="454">
                  <c:v>350.14499999999998</c:v>
                </c:pt>
                <c:pt idx="455">
                  <c:v>350.61500000000001</c:v>
                </c:pt>
                <c:pt idx="456">
                  <c:v>350.78</c:v>
                </c:pt>
                <c:pt idx="457">
                  <c:v>351.38</c:v>
                </c:pt>
                <c:pt idx="458">
                  <c:v>351.38499999999999</c:v>
                </c:pt>
                <c:pt idx="459">
                  <c:v>350.21499999999997</c:v>
                </c:pt>
                <c:pt idx="460">
                  <c:v>353.005</c:v>
                </c:pt>
                <c:pt idx="461">
                  <c:v>346.495</c:v>
                </c:pt>
                <c:pt idx="462">
                  <c:v>354.11</c:v>
                </c:pt>
                <c:pt idx="463">
                  <c:v>356.68</c:v>
                </c:pt>
                <c:pt idx="464">
                  <c:v>354.815</c:v>
                </c:pt>
                <c:pt idx="465">
                  <c:v>370.66499999999996</c:v>
                </c:pt>
                <c:pt idx="466">
                  <c:v>371.28</c:v>
                </c:pt>
                <c:pt idx="467">
                  <c:v>375.61500000000001</c:v>
                </c:pt>
                <c:pt idx="468">
                  <c:v>376.37</c:v>
                </c:pt>
                <c:pt idx="469">
                  <c:v>376.86</c:v>
                </c:pt>
                <c:pt idx="470">
                  <c:v>375.74</c:v>
                </c:pt>
                <c:pt idx="471">
                  <c:v>363.09500000000003</c:v>
                </c:pt>
                <c:pt idx="472">
                  <c:v>359.45000000000005</c:v>
                </c:pt>
                <c:pt idx="473">
                  <c:v>355.86500000000001</c:v>
                </c:pt>
                <c:pt idx="474">
                  <c:v>346.03</c:v>
                </c:pt>
                <c:pt idx="475">
                  <c:v>342.29500000000002</c:v>
                </c:pt>
                <c:pt idx="476">
                  <c:v>343.17500000000001</c:v>
                </c:pt>
                <c:pt idx="477">
                  <c:v>341.25</c:v>
                </c:pt>
                <c:pt idx="478">
                  <c:v>343.87</c:v>
                </c:pt>
                <c:pt idx="479">
                  <c:v>348.05500000000001</c:v>
                </c:pt>
                <c:pt idx="480">
                  <c:v>348.42999999999995</c:v>
                </c:pt>
                <c:pt idx="481">
                  <c:v>352.51</c:v>
                </c:pt>
                <c:pt idx="482">
                  <c:v>348.97500000000002</c:v>
                </c:pt>
                <c:pt idx="483">
                  <c:v>355.46</c:v>
                </c:pt>
                <c:pt idx="484">
                  <c:v>355.74</c:v>
                </c:pt>
                <c:pt idx="485">
                  <c:v>349.31</c:v>
                </c:pt>
                <c:pt idx="486">
                  <c:v>355.58</c:v>
                </c:pt>
                <c:pt idx="487">
                  <c:v>352.6</c:v>
                </c:pt>
                <c:pt idx="488">
                  <c:v>355.71500000000003</c:v>
                </c:pt>
                <c:pt idx="489">
                  <c:v>357.61</c:v>
                </c:pt>
                <c:pt idx="490">
                  <c:v>351.20500000000004</c:v>
                </c:pt>
                <c:pt idx="491">
                  <c:v>350.42500000000001</c:v>
                </c:pt>
                <c:pt idx="492">
                  <c:v>348.33499999999998</c:v>
                </c:pt>
                <c:pt idx="493">
                  <c:v>344.57499999999999</c:v>
                </c:pt>
                <c:pt idx="494">
                  <c:v>335.47</c:v>
                </c:pt>
                <c:pt idx="495">
                  <c:v>331.59500000000003</c:v>
                </c:pt>
                <c:pt idx="496">
                  <c:v>329.10500000000002</c:v>
                </c:pt>
                <c:pt idx="497">
                  <c:v>322.95999999999998</c:v>
                </c:pt>
                <c:pt idx="498">
                  <c:v>328.85</c:v>
                </c:pt>
                <c:pt idx="499">
                  <c:v>320.97500000000002</c:v>
                </c:pt>
                <c:pt idx="500">
                  <c:v>309.66999999999996</c:v>
                </c:pt>
                <c:pt idx="501">
                  <c:v>318.80999999999995</c:v>
                </c:pt>
                <c:pt idx="502">
                  <c:v>311.92999999999995</c:v>
                </c:pt>
                <c:pt idx="503">
                  <c:v>302.65499999999997</c:v>
                </c:pt>
                <c:pt idx="504">
                  <c:v>305.24</c:v>
                </c:pt>
                <c:pt idx="505">
                  <c:v>302.88499999999999</c:v>
                </c:pt>
                <c:pt idx="506">
                  <c:v>304.52</c:v>
                </c:pt>
                <c:pt idx="507">
                  <c:v>309.89499999999998</c:v>
                </c:pt>
                <c:pt idx="508">
                  <c:v>305.84500000000003</c:v>
                </c:pt>
                <c:pt idx="509">
                  <c:v>307.14499999999998</c:v>
                </c:pt>
                <c:pt idx="510">
                  <c:v>313.95</c:v>
                </c:pt>
                <c:pt idx="511">
                  <c:v>311.875</c:v>
                </c:pt>
                <c:pt idx="512">
                  <c:v>310.02</c:v>
                </c:pt>
                <c:pt idx="513">
                  <c:v>315.15499999999997</c:v>
                </c:pt>
                <c:pt idx="514">
                  <c:v>313.82500000000005</c:v>
                </c:pt>
                <c:pt idx="515">
                  <c:v>312.14499999999998</c:v>
                </c:pt>
                <c:pt idx="516">
                  <c:v>317.31</c:v>
                </c:pt>
                <c:pt idx="517">
                  <c:v>315.07500000000005</c:v>
                </c:pt>
                <c:pt idx="518">
                  <c:v>311.54500000000002</c:v>
                </c:pt>
                <c:pt idx="519">
                  <c:v>312.83000000000004</c:v>
                </c:pt>
                <c:pt idx="520">
                  <c:v>312.03999999999996</c:v>
                </c:pt>
                <c:pt idx="521">
                  <c:v>306.37</c:v>
                </c:pt>
                <c:pt idx="522">
                  <c:v>306.27499999999998</c:v>
                </c:pt>
                <c:pt idx="523">
                  <c:v>309.89499999999998</c:v>
                </c:pt>
                <c:pt idx="524">
                  <c:v>308.22000000000003</c:v>
                </c:pt>
                <c:pt idx="525">
                  <c:v>309.41499999999996</c:v>
                </c:pt>
                <c:pt idx="526">
                  <c:v>321.08500000000004</c:v>
                </c:pt>
                <c:pt idx="527">
                  <c:v>326.13499999999999</c:v>
                </c:pt>
                <c:pt idx="528">
                  <c:v>327.08</c:v>
                </c:pt>
                <c:pt idx="529">
                  <c:v>333.4</c:v>
                </c:pt>
                <c:pt idx="530">
                  <c:v>342.24</c:v>
                </c:pt>
                <c:pt idx="531">
                  <c:v>338.95</c:v>
                </c:pt>
                <c:pt idx="532">
                  <c:v>334.495</c:v>
                </c:pt>
                <c:pt idx="533">
                  <c:v>336.21500000000003</c:v>
                </c:pt>
                <c:pt idx="534">
                  <c:v>335.26499999999999</c:v>
                </c:pt>
                <c:pt idx="535">
                  <c:v>328.15</c:v>
                </c:pt>
                <c:pt idx="536">
                  <c:v>323.13499999999999</c:v>
                </c:pt>
                <c:pt idx="537">
                  <c:v>321.64999999999998</c:v>
                </c:pt>
                <c:pt idx="538">
                  <c:v>320.27999999999997</c:v>
                </c:pt>
                <c:pt idx="539">
                  <c:v>314.32000000000005</c:v>
                </c:pt>
                <c:pt idx="540">
                  <c:v>316.08499999999998</c:v>
                </c:pt>
                <c:pt idx="541">
                  <c:v>316.30500000000001</c:v>
                </c:pt>
                <c:pt idx="542">
                  <c:v>312.98500000000001</c:v>
                </c:pt>
                <c:pt idx="543">
                  <c:v>318.55499999999995</c:v>
                </c:pt>
                <c:pt idx="544">
                  <c:v>326.83000000000004</c:v>
                </c:pt>
                <c:pt idx="545">
                  <c:v>324.15499999999997</c:v>
                </c:pt>
                <c:pt idx="546">
                  <c:v>325.69</c:v>
                </c:pt>
                <c:pt idx="547">
                  <c:v>337.18</c:v>
                </c:pt>
                <c:pt idx="548">
                  <c:v>334.95500000000004</c:v>
                </c:pt>
                <c:pt idx="549">
                  <c:v>337.43</c:v>
                </c:pt>
                <c:pt idx="550">
                  <c:v>342.55500000000001</c:v>
                </c:pt>
                <c:pt idx="551">
                  <c:v>340.39499999999998</c:v>
                </c:pt>
                <c:pt idx="552">
                  <c:v>345.03999999999996</c:v>
                </c:pt>
                <c:pt idx="553">
                  <c:v>349.36</c:v>
                </c:pt>
                <c:pt idx="554">
                  <c:v>348.68</c:v>
                </c:pt>
                <c:pt idx="555">
                  <c:v>347.95499999999998</c:v>
                </c:pt>
                <c:pt idx="556">
                  <c:v>344.6</c:v>
                </c:pt>
                <c:pt idx="557">
                  <c:v>347.82000000000005</c:v>
                </c:pt>
                <c:pt idx="558">
                  <c:v>347.71</c:v>
                </c:pt>
                <c:pt idx="559">
                  <c:v>341.73</c:v>
                </c:pt>
                <c:pt idx="560">
                  <c:v>348.58000000000004</c:v>
                </c:pt>
                <c:pt idx="561">
                  <c:v>349.39</c:v>
                </c:pt>
                <c:pt idx="562">
                  <c:v>344.78499999999997</c:v>
                </c:pt>
                <c:pt idx="563">
                  <c:v>343.72</c:v>
                </c:pt>
                <c:pt idx="564">
                  <c:v>341.61</c:v>
                </c:pt>
                <c:pt idx="565">
                  <c:v>344.375</c:v>
                </c:pt>
                <c:pt idx="566">
                  <c:v>324.18</c:v>
                </c:pt>
                <c:pt idx="567">
                  <c:v>322.19500000000005</c:v>
                </c:pt>
                <c:pt idx="568">
                  <c:v>330.36500000000001</c:v>
                </c:pt>
                <c:pt idx="569">
                  <c:v>319.44500000000005</c:v>
                </c:pt>
                <c:pt idx="570">
                  <c:v>316.36500000000001</c:v>
                </c:pt>
                <c:pt idx="571">
                  <c:v>324.89750000000004</c:v>
                </c:pt>
                <c:pt idx="572">
                  <c:v>329.57500000000005</c:v>
                </c:pt>
                <c:pt idx="573">
                  <c:v>328.53999999999996</c:v>
                </c:pt>
                <c:pt idx="574">
                  <c:v>333.6825</c:v>
                </c:pt>
                <c:pt idx="575">
                  <c:v>340.83000000000004</c:v>
                </c:pt>
                <c:pt idx="576">
                  <c:v>343.40999999999997</c:v>
                </c:pt>
                <c:pt idx="577">
                  <c:v>345.36</c:v>
                </c:pt>
                <c:pt idx="578">
                  <c:v>348.58000000000004</c:v>
                </c:pt>
                <c:pt idx="579">
                  <c:v>347.55500000000001</c:v>
                </c:pt>
                <c:pt idx="580">
                  <c:v>344.17500000000001</c:v>
                </c:pt>
                <c:pt idx="581">
                  <c:v>343.05500000000001</c:v>
                </c:pt>
                <c:pt idx="582">
                  <c:v>338.20500000000004</c:v>
                </c:pt>
                <c:pt idx="583">
                  <c:v>329.565</c:v>
                </c:pt>
                <c:pt idx="584">
                  <c:v>333.71000000000004</c:v>
                </c:pt>
                <c:pt idx="585">
                  <c:v>331.22500000000002</c:v>
                </c:pt>
                <c:pt idx="586">
                  <c:v>327.685</c:v>
                </c:pt>
                <c:pt idx="587">
                  <c:v>338.90499999999997</c:v>
                </c:pt>
                <c:pt idx="588">
                  <c:v>335.47</c:v>
                </c:pt>
                <c:pt idx="589">
                  <c:v>326.89999999999998</c:v>
                </c:pt>
                <c:pt idx="590">
                  <c:v>335.55500000000001</c:v>
                </c:pt>
                <c:pt idx="591">
                  <c:v>331.59500000000003</c:v>
                </c:pt>
                <c:pt idx="592">
                  <c:v>320.09500000000003</c:v>
                </c:pt>
                <c:pt idx="593">
                  <c:v>318.07500000000005</c:v>
                </c:pt>
                <c:pt idx="594">
                  <c:v>318.94</c:v>
                </c:pt>
                <c:pt idx="595">
                  <c:v>311.33000000000004</c:v>
                </c:pt>
                <c:pt idx="596">
                  <c:v>306.04500000000002</c:v>
                </c:pt>
                <c:pt idx="597">
                  <c:v>310.35500000000002</c:v>
                </c:pt>
                <c:pt idx="598">
                  <c:v>294.14</c:v>
                </c:pt>
                <c:pt idx="599">
                  <c:v>279.65999999999997</c:v>
                </c:pt>
                <c:pt idx="600">
                  <c:v>285.15499999999997</c:v>
                </c:pt>
                <c:pt idx="601">
                  <c:v>265.83</c:v>
                </c:pt>
                <c:pt idx="602">
                  <c:v>262.65499999999997</c:v>
                </c:pt>
                <c:pt idx="603">
                  <c:v>276.53499999999997</c:v>
                </c:pt>
                <c:pt idx="604">
                  <c:v>279.10000000000002</c:v>
                </c:pt>
                <c:pt idx="605">
                  <c:v>283.41499999999996</c:v>
                </c:pt>
                <c:pt idx="606">
                  <c:v>288.3</c:v>
                </c:pt>
                <c:pt idx="607">
                  <c:v>305.21000000000004</c:v>
                </c:pt>
                <c:pt idx="608">
                  <c:v>300.11500000000001</c:v>
                </c:pt>
                <c:pt idx="609">
                  <c:v>291.87</c:v>
                </c:pt>
                <c:pt idx="610">
                  <c:v>302.52</c:v>
                </c:pt>
                <c:pt idx="611">
                  <c:v>296.07</c:v>
                </c:pt>
                <c:pt idx="612">
                  <c:v>290.88499999999999</c:v>
                </c:pt>
                <c:pt idx="613">
                  <c:v>296.84500000000003</c:v>
                </c:pt>
                <c:pt idx="614">
                  <c:v>295.64499999999998</c:v>
                </c:pt>
                <c:pt idx="615">
                  <c:v>288.96500000000003</c:v>
                </c:pt>
                <c:pt idx="616">
                  <c:v>288.36</c:v>
                </c:pt>
                <c:pt idx="617">
                  <c:v>291.77</c:v>
                </c:pt>
                <c:pt idx="618">
                  <c:v>285.46500000000003</c:v>
                </c:pt>
                <c:pt idx="619">
                  <c:v>284.42500000000001</c:v>
                </c:pt>
                <c:pt idx="620">
                  <c:v>288.76749999999998</c:v>
                </c:pt>
                <c:pt idx="621">
                  <c:v>287.29499999999996</c:v>
                </c:pt>
                <c:pt idx="622">
                  <c:v>292.70000000000005</c:v>
                </c:pt>
                <c:pt idx="623">
                  <c:v>297.61249999999995</c:v>
                </c:pt>
                <c:pt idx="624">
                  <c:v>289.17499999999995</c:v>
                </c:pt>
                <c:pt idx="625">
                  <c:v>297.005</c:v>
                </c:pt>
                <c:pt idx="626">
                  <c:v>301.95999999999998</c:v>
                </c:pt>
                <c:pt idx="627">
                  <c:v>293.21000000000004</c:v>
                </c:pt>
                <c:pt idx="628">
                  <c:v>300.47000000000003</c:v>
                </c:pt>
                <c:pt idx="629">
                  <c:v>303.89499999999998</c:v>
                </c:pt>
                <c:pt idx="630">
                  <c:v>301.51499999999999</c:v>
                </c:pt>
                <c:pt idx="631">
                  <c:v>299.41000000000003</c:v>
                </c:pt>
                <c:pt idx="632">
                  <c:v>294.60000000000002</c:v>
                </c:pt>
                <c:pt idx="633">
                  <c:v>293.77</c:v>
                </c:pt>
                <c:pt idx="634">
                  <c:v>288.255</c:v>
                </c:pt>
                <c:pt idx="635">
                  <c:v>280.5</c:v>
                </c:pt>
                <c:pt idx="636">
                  <c:v>285.48500000000001</c:v>
                </c:pt>
                <c:pt idx="637">
                  <c:v>279.77499999999998</c:v>
                </c:pt>
                <c:pt idx="638">
                  <c:v>277.94499999999999</c:v>
                </c:pt>
                <c:pt idx="639">
                  <c:v>281.17</c:v>
                </c:pt>
                <c:pt idx="640">
                  <c:v>276.93</c:v>
                </c:pt>
                <c:pt idx="641">
                  <c:v>281.41499999999996</c:v>
                </c:pt>
                <c:pt idx="642">
                  <c:v>284.78500000000003</c:v>
                </c:pt>
                <c:pt idx="643">
                  <c:v>281.79000000000002</c:v>
                </c:pt>
                <c:pt idx="644">
                  <c:v>287.78999999999996</c:v>
                </c:pt>
                <c:pt idx="645">
                  <c:v>294.23</c:v>
                </c:pt>
                <c:pt idx="646">
                  <c:v>287.93</c:v>
                </c:pt>
                <c:pt idx="647">
                  <c:v>305.65999999999997</c:v>
                </c:pt>
                <c:pt idx="648">
                  <c:v>306.41499999999996</c:v>
                </c:pt>
                <c:pt idx="649">
                  <c:v>304.39499999999998</c:v>
                </c:pt>
                <c:pt idx="650">
                  <c:v>325.8</c:v>
                </c:pt>
                <c:pt idx="651">
                  <c:v>329.42999999999995</c:v>
                </c:pt>
                <c:pt idx="652">
                  <c:v>331.22</c:v>
                </c:pt>
                <c:pt idx="653">
                  <c:v>344.91</c:v>
                </c:pt>
                <c:pt idx="654">
                  <c:v>350.47</c:v>
                </c:pt>
                <c:pt idx="655">
                  <c:v>357.80499999999995</c:v>
                </c:pt>
                <c:pt idx="656">
                  <c:v>355.13499999999999</c:v>
                </c:pt>
                <c:pt idx="657">
                  <c:v>360.19500000000005</c:v>
                </c:pt>
                <c:pt idx="658">
                  <c:v>359.16999999999996</c:v>
                </c:pt>
                <c:pt idx="659">
                  <c:v>343.09000000000003</c:v>
                </c:pt>
                <c:pt idx="660">
                  <c:v>347.61500000000001</c:v>
                </c:pt>
                <c:pt idx="661">
                  <c:v>344.755</c:v>
                </c:pt>
                <c:pt idx="662">
                  <c:v>339.065</c:v>
                </c:pt>
                <c:pt idx="663">
                  <c:v>341.47</c:v>
                </c:pt>
                <c:pt idx="664">
                  <c:v>342.47500000000002</c:v>
                </c:pt>
                <c:pt idx="665">
                  <c:v>339.78499999999997</c:v>
                </c:pt>
                <c:pt idx="666">
                  <c:v>330.39499999999998</c:v>
                </c:pt>
                <c:pt idx="667">
                  <c:v>326.05500000000001</c:v>
                </c:pt>
                <c:pt idx="668">
                  <c:v>321.98500000000001</c:v>
                </c:pt>
                <c:pt idx="669">
                  <c:v>314.685</c:v>
                </c:pt>
                <c:pt idx="670">
                  <c:v>315.81500000000005</c:v>
                </c:pt>
                <c:pt idx="671">
                  <c:v>313.92999999999995</c:v>
                </c:pt>
                <c:pt idx="672">
                  <c:v>317.61</c:v>
                </c:pt>
                <c:pt idx="673">
                  <c:v>320.67</c:v>
                </c:pt>
                <c:pt idx="674">
                  <c:v>314.52999999999997</c:v>
                </c:pt>
                <c:pt idx="675">
                  <c:v>319.7</c:v>
                </c:pt>
                <c:pt idx="676">
                  <c:v>321.36</c:v>
                </c:pt>
                <c:pt idx="677">
                  <c:v>315.16500000000002</c:v>
                </c:pt>
                <c:pt idx="678">
                  <c:v>318.13499999999999</c:v>
                </c:pt>
                <c:pt idx="679">
                  <c:v>313.52499999999998</c:v>
                </c:pt>
                <c:pt idx="680">
                  <c:v>308.83000000000004</c:v>
                </c:pt>
                <c:pt idx="681">
                  <c:v>311.15999999999997</c:v>
                </c:pt>
                <c:pt idx="682">
                  <c:v>304.92499999999995</c:v>
                </c:pt>
                <c:pt idx="683">
                  <c:v>297.30500000000001</c:v>
                </c:pt>
                <c:pt idx="684">
                  <c:v>299.45500000000004</c:v>
                </c:pt>
                <c:pt idx="685">
                  <c:v>302.39499999999998</c:v>
                </c:pt>
                <c:pt idx="686">
                  <c:v>299.01</c:v>
                </c:pt>
                <c:pt idx="687">
                  <c:v>319.85500000000002</c:v>
                </c:pt>
                <c:pt idx="688">
                  <c:v>323.15499999999997</c:v>
                </c:pt>
                <c:pt idx="689">
                  <c:v>321.41499999999996</c:v>
                </c:pt>
                <c:pt idx="690">
                  <c:v>364.55500000000001</c:v>
                </c:pt>
                <c:pt idx="691">
                  <c:v>359.255</c:v>
                </c:pt>
                <c:pt idx="692">
                  <c:v>347.22</c:v>
                </c:pt>
                <c:pt idx="693">
                  <c:v>367.53</c:v>
                </c:pt>
                <c:pt idx="694">
                  <c:v>363.375</c:v>
                </c:pt>
                <c:pt idx="695">
                  <c:v>350.04499999999996</c:v>
                </c:pt>
                <c:pt idx="696">
                  <c:v>347.09000000000003</c:v>
                </c:pt>
                <c:pt idx="697">
                  <c:v>345.93</c:v>
                </c:pt>
                <c:pt idx="698">
                  <c:v>326.57</c:v>
                </c:pt>
                <c:pt idx="699">
                  <c:v>323.565</c:v>
                </c:pt>
                <c:pt idx="700">
                  <c:v>328.67499999999995</c:v>
                </c:pt>
                <c:pt idx="701">
                  <c:v>313.57</c:v>
                </c:pt>
                <c:pt idx="702">
                  <c:v>314.27</c:v>
                </c:pt>
                <c:pt idx="703">
                  <c:v>322.36</c:v>
                </c:pt>
                <c:pt idx="704">
                  <c:v>320.45499999999998</c:v>
                </c:pt>
                <c:pt idx="705">
                  <c:v>315.98</c:v>
                </c:pt>
                <c:pt idx="706">
                  <c:v>313.91499999999996</c:v>
                </c:pt>
                <c:pt idx="707">
                  <c:v>311.20999999999998</c:v>
                </c:pt>
                <c:pt idx="708">
                  <c:v>306.76</c:v>
                </c:pt>
                <c:pt idx="709">
                  <c:v>296.98</c:v>
                </c:pt>
                <c:pt idx="710">
                  <c:v>291.94499999999999</c:v>
                </c:pt>
                <c:pt idx="711">
                  <c:v>291.30500000000001</c:v>
                </c:pt>
                <c:pt idx="712">
                  <c:v>276.09500000000003</c:v>
                </c:pt>
                <c:pt idx="713">
                  <c:v>283.12</c:v>
                </c:pt>
                <c:pt idx="714">
                  <c:v>280.19499999999999</c:v>
                </c:pt>
                <c:pt idx="715">
                  <c:v>276.89</c:v>
                </c:pt>
                <c:pt idx="716">
                  <c:v>287.48</c:v>
                </c:pt>
                <c:pt idx="717">
                  <c:v>287.32</c:v>
                </c:pt>
                <c:pt idx="718">
                  <c:v>292.69</c:v>
                </c:pt>
                <c:pt idx="719">
                  <c:v>287.20999999999998</c:v>
                </c:pt>
                <c:pt idx="720">
                  <c:v>297.11</c:v>
                </c:pt>
                <c:pt idx="721">
                  <c:v>296.58499999999998</c:v>
                </c:pt>
                <c:pt idx="722">
                  <c:v>292.02999999999997</c:v>
                </c:pt>
                <c:pt idx="723">
                  <c:v>299.35000000000002</c:v>
                </c:pt>
                <c:pt idx="724">
                  <c:v>299.65999999999997</c:v>
                </c:pt>
                <c:pt idx="725">
                  <c:v>304.34000000000003</c:v>
                </c:pt>
                <c:pt idx="726">
                  <c:v>303.60000000000002</c:v>
                </c:pt>
                <c:pt idx="727">
                  <c:v>282.88</c:v>
                </c:pt>
                <c:pt idx="728">
                  <c:v>310.14</c:v>
                </c:pt>
                <c:pt idx="729">
                  <c:v>304.27</c:v>
                </c:pt>
                <c:pt idx="730">
                  <c:v>279.78499999999997</c:v>
                </c:pt>
                <c:pt idx="731">
                  <c:v>296.26499999999999</c:v>
                </c:pt>
                <c:pt idx="732">
                  <c:v>281.48500000000001</c:v>
                </c:pt>
                <c:pt idx="733">
                  <c:v>272.68</c:v>
                </c:pt>
                <c:pt idx="734">
                  <c:v>272.315</c:v>
                </c:pt>
                <c:pt idx="735">
                  <c:v>259.41499999999996</c:v>
                </c:pt>
                <c:pt idx="736">
                  <c:v>251.39499999999998</c:v>
                </c:pt>
                <c:pt idx="737">
                  <c:v>260.78999999999996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C3-4E74-892D-74AAFF884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051007"/>
        <c:axId val="413050591"/>
      </c:scatterChart>
      <c:valAx>
        <c:axId val="312921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20015"/>
        <c:crosses val="autoZero"/>
        <c:crossBetween val="midCat"/>
      </c:valAx>
      <c:valAx>
        <c:axId val="31292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21263"/>
        <c:crosses val="autoZero"/>
        <c:crossBetween val="midCat"/>
      </c:valAx>
      <c:valAx>
        <c:axId val="41305059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051007"/>
        <c:crosses val="max"/>
        <c:crossBetween val="midCat"/>
      </c:valAx>
      <c:valAx>
        <c:axId val="4130510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30505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portfolio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3434900950005013"/>
                  <c:y val="-7.42682804557902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'tesla-stock-price (4)'!$A$23:$A$760</c:f>
              <c:numCache>
                <c:formatCode>General</c:formatCode>
                <c:ptCount val="738"/>
                <c:pt idx="0">
                  <c:v>42318</c:v>
                </c:pt>
                <c:pt idx="1">
                  <c:v>42319</c:v>
                </c:pt>
                <c:pt idx="2">
                  <c:v>42320</c:v>
                </c:pt>
                <c:pt idx="3">
                  <c:v>42321</c:v>
                </c:pt>
                <c:pt idx="4">
                  <c:v>42324</c:v>
                </c:pt>
                <c:pt idx="5">
                  <c:v>42325</c:v>
                </c:pt>
                <c:pt idx="6">
                  <c:v>42326</c:v>
                </c:pt>
                <c:pt idx="7">
                  <c:v>42327</c:v>
                </c:pt>
                <c:pt idx="8">
                  <c:v>42328</c:v>
                </c:pt>
                <c:pt idx="9">
                  <c:v>42331</c:v>
                </c:pt>
                <c:pt idx="10">
                  <c:v>42332</c:v>
                </c:pt>
                <c:pt idx="11">
                  <c:v>42333</c:v>
                </c:pt>
                <c:pt idx="12">
                  <c:v>42335</c:v>
                </c:pt>
                <c:pt idx="13">
                  <c:v>42338</c:v>
                </c:pt>
                <c:pt idx="14">
                  <c:v>42339</c:v>
                </c:pt>
                <c:pt idx="15">
                  <c:v>42340</c:v>
                </c:pt>
                <c:pt idx="16">
                  <c:v>42341</c:v>
                </c:pt>
                <c:pt idx="17">
                  <c:v>42342</c:v>
                </c:pt>
                <c:pt idx="18">
                  <c:v>42345</c:v>
                </c:pt>
                <c:pt idx="19">
                  <c:v>42346</c:v>
                </c:pt>
                <c:pt idx="20">
                  <c:v>42347</c:v>
                </c:pt>
                <c:pt idx="21">
                  <c:v>42348</c:v>
                </c:pt>
                <c:pt idx="22">
                  <c:v>42349</c:v>
                </c:pt>
                <c:pt idx="23">
                  <c:v>42352</c:v>
                </c:pt>
                <c:pt idx="24">
                  <c:v>42353</c:v>
                </c:pt>
                <c:pt idx="25">
                  <c:v>42354</c:v>
                </c:pt>
                <c:pt idx="26">
                  <c:v>42355</c:v>
                </c:pt>
                <c:pt idx="27">
                  <c:v>42356</c:v>
                </c:pt>
                <c:pt idx="28">
                  <c:v>42359</c:v>
                </c:pt>
                <c:pt idx="29">
                  <c:v>42360</c:v>
                </c:pt>
                <c:pt idx="30">
                  <c:v>42361</c:v>
                </c:pt>
                <c:pt idx="31">
                  <c:v>42362</c:v>
                </c:pt>
                <c:pt idx="32">
                  <c:v>42366</c:v>
                </c:pt>
                <c:pt idx="33">
                  <c:v>42367</c:v>
                </c:pt>
                <c:pt idx="34">
                  <c:v>42368</c:v>
                </c:pt>
                <c:pt idx="35">
                  <c:v>42369</c:v>
                </c:pt>
                <c:pt idx="36">
                  <c:v>42373</c:v>
                </c:pt>
                <c:pt idx="37">
                  <c:v>42374</c:v>
                </c:pt>
                <c:pt idx="38">
                  <c:v>42375</c:v>
                </c:pt>
                <c:pt idx="39">
                  <c:v>42376</c:v>
                </c:pt>
                <c:pt idx="40">
                  <c:v>42377</c:v>
                </c:pt>
                <c:pt idx="41">
                  <c:v>42380</c:v>
                </c:pt>
                <c:pt idx="42">
                  <c:v>42381</c:v>
                </c:pt>
                <c:pt idx="43">
                  <c:v>42382</c:v>
                </c:pt>
                <c:pt idx="44">
                  <c:v>42383</c:v>
                </c:pt>
                <c:pt idx="45">
                  <c:v>42384</c:v>
                </c:pt>
                <c:pt idx="46">
                  <c:v>42388</c:v>
                </c:pt>
                <c:pt idx="47">
                  <c:v>42389</c:v>
                </c:pt>
                <c:pt idx="48">
                  <c:v>42390</c:v>
                </c:pt>
                <c:pt idx="49">
                  <c:v>42391</c:v>
                </c:pt>
                <c:pt idx="50">
                  <c:v>42394</c:v>
                </c:pt>
                <c:pt idx="51">
                  <c:v>42395</c:v>
                </c:pt>
                <c:pt idx="52">
                  <c:v>42396</c:v>
                </c:pt>
                <c:pt idx="53">
                  <c:v>42397</c:v>
                </c:pt>
                <c:pt idx="54">
                  <c:v>42398</c:v>
                </c:pt>
                <c:pt idx="55">
                  <c:v>42401</c:v>
                </c:pt>
                <c:pt idx="56">
                  <c:v>42402</c:v>
                </c:pt>
                <c:pt idx="57">
                  <c:v>42403</c:v>
                </c:pt>
                <c:pt idx="58">
                  <c:v>42404</c:v>
                </c:pt>
                <c:pt idx="59">
                  <c:v>42405</c:v>
                </c:pt>
                <c:pt idx="60">
                  <c:v>42408</c:v>
                </c:pt>
                <c:pt idx="61">
                  <c:v>42409</c:v>
                </c:pt>
                <c:pt idx="62">
                  <c:v>42410</c:v>
                </c:pt>
                <c:pt idx="63">
                  <c:v>42411</c:v>
                </c:pt>
                <c:pt idx="64">
                  <c:v>42412</c:v>
                </c:pt>
                <c:pt idx="65">
                  <c:v>42416</c:v>
                </c:pt>
                <c:pt idx="66">
                  <c:v>42417</c:v>
                </c:pt>
                <c:pt idx="67">
                  <c:v>42418</c:v>
                </c:pt>
                <c:pt idx="68">
                  <c:v>42419</c:v>
                </c:pt>
                <c:pt idx="69">
                  <c:v>42422</c:v>
                </c:pt>
                <c:pt idx="70">
                  <c:v>42423</c:v>
                </c:pt>
                <c:pt idx="71">
                  <c:v>42424</c:v>
                </c:pt>
                <c:pt idx="72">
                  <c:v>42425</c:v>
                </c:pt>
                <c:pt idx="73">
                  <c:v>42426</c:v>
                </c:pt>
                <c:pt idx="74">
                  <c:v>42429</c:v>
                </c:pt>
                <c:pt idx="75">
                  <c:v>42430</c:v>
                </c:pt>
                <c:pt idx="76">
                  <c:v>42431</c:v>
                </c:pt>
                <c:pt idx="77">
                  <c:v>42432</c:v>
                </c:pt>
                <c:pt idx="78">
                  <c:v>42433</c:v>
                </c:pt>
                <c:pt idx="79">
                  <c:v>42436</c:v>
                </c:pt>
                <c:pt idx="80">
                  <c:v>42437</c:v>
                </c:pt>
                <c:pt idx="81">
                  <c:v>42438</c:v>
                </c:pt>
                <c:pt idx="82">
                  <c:v>42439</c:v>
                </c:pt>
                <c:pt idx="83">
                  <c:v>42440</c:v>
                </c:pt>
                <c:pt idx="84">
                  <c:v>42443</c:v>
                </c:pt>
                <c:pt idx="85">
                  <c:v>42444</c:v>
                </c:pt>
                <c:pt idx="86">
                  <c:v>42445</c:v>
                </c:pt>
                <c:pt idx="87">
                  <c:v>42446</c:v>
                </c:pt>
                <c:pt idx="88">
                  <c:v>42447</c:v>
                </c:pt>
                <c:pt idx="89">
                  <c:v>42450</c:v>
                </c:pt>
                <c:pt idx="90">
                  <c:v>42451</c:v>
                </c:pt>
                <c:pt idx="91">
                  <c:v>42452</c:v>
                </c:pt>
                <c:pt idx="92">
                  <c:v>42453</c:v>
                </c:pt>
                <c:pt idx="93">
                  <c:v>42457</c:v>
                </c:pt>
                <c:pt idx="94">
                  <c:v>42458</c:v>
                </c:pt>
                <c:pt idx="95">
                  <c:v>42459</c:v>
                </c:pt>
                <c:pt idx="96">
                  <c:v>42460</c:v>
                </c:pt>
                <c:pt idx="97">
                  <c:v>42461</c:v>
                </c:pt>
                <c:pt idx="98">
                  <c:v>42464</c:v>
                </c:pt>
                <c:pt idx="99">
                  <c:v>42465</c:v>
                </c:pt>
                <c:pt idx="100">
                  <c:v>42466</c:v>
                </c:pt>
                <c:pt idx="101">
                  <c:v>42467</c:v>
                </c:pt>
                <c:pt idx="102">
                  <c:v>42468</c:v>
                </c:pt>
                <c:pt idx="103">
                  <c:v>42471</c:v>
                </c:pt>
                <c:pt idx="104">
                  <c:v>42472</c:v>
                </c:pt>
                <c:pt idx="105">
                  <c:v>42473</c:v>
                </c:pt>
                <c:pt idx="106">
                  <c:v>42474</c:v>
                </c:pt>
                <c:pt idx="107">
                  <c:v>42475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42485</c:v>
                </c:pt>
                <c:pt idx="114">
                  <c:v>42486</c:v>
                </c:pt>
                <c:pt idx="115">
                  <c:v>42487</c:v>
                </c:pt>
                <c:pt idx="116">
                  <c:v>42488</c:v>
                </c:pt>
                <c:pt idx="117">
                  <c:v>42489</c:v>
                </c:pt>
                <c:pt idx="118">
                  <c:v>42492</c:v>
                </c:pt>
                <c:pt idx="119">
                  <c:v>42493</c:v>
                </c:pt>
                <c:pt idx="120">
                  <c:v>42494</c:v>
                </c:pt>
                <c:pt idx="121">
                  <c:v>42495</c:v>
                </c:pt>
                <c:pt idx="122">
                  <c:v>42496</c:v>
                </c:pt>
                <c:pt idx="123">
                  <c:v>42499</c:v>
                </c:pt>
                <c:pt idx="124">
                  <c:v>42500</c:v>
                </c:pt>
                <c:pt idx="125">
                  <c:v>42501</c:v>
                </c:pt>
                <c:pt idx="126">
                  <c:v>42502</c:v>
                </c:pt>
                <c:pt idx="127">
                  <c:v>42503</c:v>
                </c:pt>
                <c:pt idx="128">
                  <c:v>42506</c:v>
                </c:pt>
                <c:pt idx="129">
                  <c:v>42507</c:v>
                </c:pt>
                <c:pt idx="130">
                  <c:v>42508</c:v>
                </c:pt>
                <c:pt idx="131">
                  <c:v>42509</c:v>
                </c:pt>
                <c:pt idx="132">
                  <c:v>42510</c:v>
                </c:pt>
                <c:pt idx="133">
                  <c:v>42513</c:v>
                </c:pt>
                <c:pt idx="134">
                  <c:v>42514</c:v>
                </c:pt>
                <c:pt idx="135">
                  <c:v>42515</c:v>
                </c:pt>
                <c:pt idx="136">
                  <c:v>42516</c:v>
                </c:pt>
                <c:pt idx="137">
                  <c:v>42517</c:v>
                </c:pt>
                <c:pt idx="138">
                  <c:v>42521</c:v>
                </c:pt>
                <c:pt idx="139">
                  <c:v>42522</c:v>
                </c:pt>
                <c:pt idx="140">
                  <c:v>42523</c:v>
                </c:pt>
                <c:pt idx="141">
                  <c:v>42524</c:v>
                </c:pt>
                <c:pt idx="142">
                  <c:v>42527</c:v>
                </c:pt>
                <c:pt idx="143">
                  <c:v>42528</c:v>
                </c:pt>
                <c:pt idx="144">
                  <c:v>42529</c:v>
                </c:pt>
                <c:pt idx="145">
                  <c:v>42530</c:v>
                </c:pt>
                <c:pt idx="146">
                  <c:v>42531</c:v>
                </c:pt>
                <c:pt idx="147">
                  <c:v>42534</c:v>
                </c:pt>
                <c:pt idx="148">
                  <c:v>42535</c:v>
                </c:pt>
                <c:pt idx="149">
                  <c:v>42536</c:v>
                </c:pt>
                <c:pt idx="150">
                  <c:v>42537</c:v>
                </c:pt>
                <c:pt idx="151">
                  <c:v>42538</c:v>
                </c:pt>
                <c:pt idx="152">
                  <c:v>42541</c:v>
                </c:pt>
                <c:pt idx="153">
                  <c:v>42542</c:v>
                </c:pt>
                <c:pt idx="154">
                  <c:v>42543</c:v>
                </c:pt>
                <c:pt idx="155">
                  <c:v>42544</c:v>
                </c:pt>
                <c:pt idx="156">
                  <c:v>42545</c:v>
                </c:pt>
                <c:pt idx="157">
                  <c:v>42548</c:v>
                </c:pt>
                <c:pt idx="158">
                  <c:v>42549</c:v>
                </c:pt>
                <c:pt idx="159">
                  <c:v>42550</c:v>
                </c:pt>
                <c:pt idx="160">
                  <c:v>42551</c:v>
                </c:pt>
                <c:pt idx="161">
                  <c:v>42552</c:v>
                </c:pt>
                <c:pt idx="162">
                  <c:v>42556</c:v>
                </c:pt>
                <c:pt idx="163">
                  <c:v>42557</c:v>
                </c:pt>
                <c:pt idx="164">
                  <c:v>42558</c:v>
                </c:pt>
                <c:pt idx="165">
                  <c:v>42559</c:v>
                </c:pt>
                <c:pt idx="166">
                  <c:v>42562</c:v>
                </c:pt>
                <c:pt idx="167">
                  <c:v>42563</c:v>
                </c:pt>
                <c:pt idx="168">
                  <c:v>42564</c:v>
                </c:pt>
                <c:pt idx="169">
                  <c:v>42565</c:v>
                </c:pt>
                <c:pt idx="170">
                  <c:v>42566</c:v>
                </c:pt>
                <c:pt idx="171">
                  <c:v>42569</c:v>
                </c:pt>
                <c:pt idx="172">
                  <c:v>42570</c:v>
                </c:pt>
                <c:pt idx="173">
                  <c:v>42571</c:v>
                </c:pt>
                <c:pt idx="174">
                  <c:v>42572</c:v>
                </c:pt>
                <c:pt idx="175">
                  <c:v>42573</c:v>
                </c:pt>
                <c:pt idx="176">
                  <c:v>42576</c:v>
                </c:pt>
                <c:pt idx="177">
                  <c:v>42577</c:v>
                </c:pt>
                <c:pt idx="178">
                  <c:v>42578</c:v>
                </c:pt>
                <c:pt idx="179">
                  <c:v>42579</c:v>
                </c:pt>
                <c:pt idx="180">
                  <c:v>42580</c:v>
                </c:pt>
                <c:pt idx="181">
                  <c:v>42583</c:v>
                </c:pt>
                <c:pt idx="182">
                  <c:v>42584</c:v>
                </c:pt>
                <c:pt idx="183">
                  <c:v>42585</c:v>
                </c:pt>
                <c:pt idx="184">
                  <c:v>42586</c:v>
                </c:pt>
                <c:pt idx="185">
                  <c:v>42587</c:v>
                </c:pt>
                <c:pt idx="186">
                  <c:v>42590</c:v>
                </c:pt>
                <c:pt idx="187">
                  <c:v>42591</c:v>
                </c:pt>
                <c:pt idx="188">
                  <c:v>42592</c:v>
                </c:pt>
                <c:pt idx="189">
                  <c:v>42593</c:v>
                </c:pt>
                <c:pt idx="190">
                  <c:v>42594</c:v>
                </c:pt>
                <c:pt idx="191">
                  <c:v>42597</c:v>
                </c:pt>
                <c:pt idx="192">
                  <c:v>42598</c:v>
                </c:pt>
                <c:pt idx="193">
                  <c:v>42599</c:v>
                </c:pt>
                <c:pt idx="194">
                  <c:v>42600</c:v>
                </c:pt>
                <c:pt idx="195">
                  <c:v>42601</c:v>
                </c:pt>
                <c:pt idx="196">
                  <c:v>42604</c:v>
                </c:pt>
                <c:pt idx="197">
                  <c:v>42605</c:v>
                </c:pt>
                <c:pt idx="198">
                  <c:v>42606</c:v>
                </c:pt>
                <c:pt idx="199">
                  <c:v>42607</c:v>
                </c:pt>
                <c:pt idx="200">
                  <c:v>42608</c:v>
                </c:pt>
                <c:pt idx="201">
                  <c:v>42611</c:v>
                </c:pt>
                <c:pt idx="202">
                  <c:v>42612</c:v>
                </c:pt>
                <c:pt idx="203">
                  <c:v>42613</c:v>
                </c:pt>
                <c:pt idx="204">
                  <c:v>42614</c:v>
                </c:pt>
                <c:pt idx="205">
                  <c:v>42615</c:v>
                </c:pt>
                <c:pt idx="206">
                  <c:v>42619</c:v>
                </c:pt>
                <c:pt idx="207">
                  <c:v>42620</c:v>
                </c:pt>
                <c:pt idx="208">
                  <c:v>42621</c:v>
                </c:pt>
                <c:pt idx="209">
                  <c:v>42622</c:v>
                </c:pt>
                <c:pt idx="210">
                  <c:v>42625</c:v>
                </c:pt>
                <c:pt idx="211">
                  <c:v>42626</c:v>
                </c:pt>
                <c:pt idx="212">
                  <c:v>42627</c:v>
                </c:pt>
                <c:pt idx="213">
                  <c:v>42628</c:v>
                </c:pt>
                <c:pt idx="214">
                  <c:v>42629</c:v>
                </c:pt>
                <c:pt idx="215">
                  <c:v>42632</c:v>
                </c:pt>
                <c:pt idx="216">
                  <c:v>42633</c:v>
                </c:pt>
                <c:pt idx="217">
                  <c:v>42634</c:v>
                </c:pt>
                <c:pt idx="218">
                  <c:v>42635</c:v>
                </c:pt>
                <c:pt idx="219">
                  <c:v>42636</c:v>
                </c:pt>
                <c:pt idx="220">
                  <c:v>42639</c:v>
                </c:pt>
                <c:pt idx="221">
                  <c:v>42640</c:v>
                </c:pt>
                <c:pt idx="222">
                  <c:v>42641</c:v>
                </c:pt>
                <c:pt idx="223">
                  <c:v>42642</c:v>
                </c:pt>
                <c:pt idx="224">
                  <c:v>42643</c:v>
                </c:pt>
                <c:pt idx="225">
                  <c:v>42646</c:v>
                </c:pt>
                <c:pt idx="226">
                  <c:v>42647</c:v>
                </c:pt>
                <c:pt idx="227">
                  <c:v>42648</c:v>
                </c:pt>
                <c:pt idx="228">
                  <c:v>42649</c:v>
                </c:pt>
                <c:pt idx="229">
                  <c:v>42650</c:v>
                </c:pt>
                <c:pt idx="230">
                  <c:v>42653</c:v>
                </c:pt>
                <c:pt idx="231">
                  <c:v>42654</c:v>
                </c:pt>
                <c:pt idx="232">
                  <c:v>42655</c:v>
                </c:pt>
                <c:pt idx="233">
                  <c:v>42656</c:v>
                </c:pt>
                <c:pt idx="234">
                  <c:v>42657</c:v>
                </c:pt>
                <c:pt idx="235">
                  <c:v>42660</c:v>
                </c:pt>
                <c:pt idx="236">
                  <c:v>42661</c:v>
                </c:pt>
                <c:pt idx="237">
                  <c:v>42662</c:v>
                </c:pt>
                <c:pt idx="238">
                  <c:v>42663</c:v>
                </c:pt>
                <c:pt idx="239">
                  <c:v>42664</c:v>
                </c:pt>
                <c:pt idx="240">
                  <c:v>42667</c:v>
                </c:pt>
                <c:pt idx="241">
                  <c:v>42668</c:v>
                </c:pt>
                <c:pt idx="242">
                  <c:v>42669</c:v>
                </c:pt>
                <c:pt idx="243">
                  <c:v>42670</c:v>
                </c:pt>
                <c:pt idx="244">
                  <c:v>42671</c:v>
                </c:pt>
                <c:pt idx="245">
                  <c:v>42674</c:v>
                </c:pt>
                <c:pt idx="246">
                  <c:v>42675</c:v>
                </c:pt>
                <c:pt idx="247">
                  <c:v>42676</c:v>
                </c:pt>
                <c:pt idx="248">
                  <c:v>42677</c:v>
                </c:pt>
                <c:pt idx="249">
                  <c:v>42678</c:v>
                </c:pt>
                <c:pt idx="250">
                  <c:v>42681</c:v>
                </c:pt>
                <c:pt idx="251">
                  <c:v>42682</c:v>
                </c:pt>
                <c:pt idx="252">
                  <c:v>42683</c:v>
                </c:pt>
                <c:pt idx="253">
                  <c:v>42684</c:v>
                </c:pt>
                <c:pt idx="254">
                  <c:v>42685</c:v>
                </c:pt>
                <c:pt idx="255">
                  <c:v>42688</c:v>
                </c:pt>
                <c:pt idx="256">
                  <c:v>42689</c:v>
                </c:pt>
                <c:pt idx="257">
                  <c:v>42690</c:v>
                </c:pt>
                <c:pt idx="258">
                  <c:v>42691</c:v>
                </c:pt>
                <c:pt idx="259">
                  <c:v>42692</c:v>
                </c:pt>
                <c:pt idx="260">
                  <c:v>42695</c:v>
                </c:pt>
                <c:pt idx="261">
                  <c:v>42696</c:v>
                </c:pt>
                <c:pt idx="262">
                  <c:v>42697</c:v>
                </c:pt>
                <c:pt idx="263">
                  <c:v>42699</c:v>
                </c:pt>
                <c:pt idx="264">
                  <c:v>42702</c:v>
                </c:pt>
                <c:pt idx="265">
                  <c:v>42703</c:v>
                </c:pt>
                <c:pt idx="266">
                  <c:v>42704</c:v>
                </c:pt>
                <c:pt idx="267">
                  <c:v>42705</c:v>
                </c:pt>
                <c:pt idx="268">
                  <c:v>42706</c:v>
                </c:pt>
                <c:pt idx="269">
                  <c:v>42709</c:v>
                </c:pt>
                <c:pt idx="270">
                  <c:v>42710</c:v>
                </c:pt>
                <c:pt idx="271">
                  <c:v>42711</c:v>
                </c:pt>
                <c:pt idx="272">
                  <c:v>42712</c:v>
                </c:pt>
                <c:pt idx="273">
                  <c:v>42713</c:v>
                </c:pt>
                <c:pt idx="274">
                  <c:v>42716</c:v>
                </c:pt>
                <c:pt idx="275">
                  <c:v>42717</c:v>
                </c:pt>
                <c:pt idx="276">
                  <c:v>42718</c:v>
                </c:pt>
                <c:pt idx="277">
                  <c:v>42719</c:v>
                </c:pt>
                <c:pt idx="278">
                  <c:v>42720</c:v>
                </c:pt>
                <c:pt idx="279">
                  <c:v>42723</c:v>
                </c:pt>
                <c:pt idx="280">
                  <c:v>42724</c:v>
                </c:pt>
                <c:pt idx="281">
                  <c:v>42725</c:v>
                </c:pt>
                <c:pt idx="282">
                  <c:v>42726</c:v>
                </c:pt>
                <c:pt idx="283">
                  <c:v>42727</c:v>
                </c:pt>
                <c:pt idx="284">
                  <c:v>42731</c:v>
                </c:pt>
                <c:pt idx="285">
                  <c:v>42732</c:v>
                </c:pt>
                <c:pt idx="286">
                  <c:v>42733</c:v>
                </c:pt>
                <c:pt idx="287">
                  <c:v>42734</c:v>
                </c:pt>
                <c:pt idx="288">
                  <c:v>42738</c:v>
                </c:pt>
                <c:pt idx="289">
                  <c:v>42739</c:v>
                </c:pt>
                <c:pt idx="290">
                  <c:v>42740</c:v>
                </c:pt>
                <c:pt idx="291">
                  <c:v>42741</c:v>
                </c:pt>
                <c:pt idx="292">
                  <c:v>42744</c:v>
                </c:pt>
                <c:pt idx="293">
                  <c:v>42745</c:v>
                </c:pt>
                <c:pt idx="294">
                  <c:v>42746</c:v>
                </c:pt>
                <c:pt idx="295">
                  <c:v>42747</c:v>
                </c:pt>
                <c:pt idx="296">
                  <c:v>42748</c:v>
                </c:pt>
                <c:pt idx="297">
                  <c:v>42752</c:v>
                </c:pt>
                <c:pt idx="298">
                  <c:v>42753</c:v>
                </c:pt>
                <c:pt idx="299">
                  <c:v>42754</c:v>
                </c:pt>
                <c:pt idx="300">
                  <c:v>42755</c:v>
                </c:pt>
                <c:pt idx="301">
                  <c:v>42758</c:v>
                </c:pt>
                <c:pt idx="302">
                  <c:v>42759</c:v>
                </c:pt>
                <c:pt idx="303">
                  <c:v>42760</c:v>
                </c:pt>
                <c:pt idx="304">
                  <c:v>42761</c:v>
                </c:pt>
                <c:pt idx="305">
                  <c:v>42762</c:v>
                </c:pt>
                <c:pt idx="306">
                  <c:v>42765</c:v>
                </c:pt>
                <c:pt idx="307">
                  <c:v>42766</c:v>
                </c:pt>
                <c:pt idx="308">
                  <c:v>42767</c:v>
                </c:pt>
                <c:pt idx="309">
                  <c:v>42768</c:v>
                </c:pt>
                <c:pt idx="310">
                  <c:v>42769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42779</c:v>
                </c:pt>
                <c:pt idx="317">
                  <c:v>42780</c:v>
                </c:pt>
                <c:pt idx="318">
                  <c:v>42781</c:v>
                </c:pt>
                <c:pt idx="319">
                  <c:v>42782</c:v>
                </c:pt>
                <c:pt idx="320">
                  <c:v>42783</c:v>
                </c:pt>
                <c:pt idx="321">
                  <c:v>42787</c:v>
                </c:pt>
                <c:pt idx="322">
                  <c:v>42788</c:v>
                </c:pt>
                <c:pt idx="323">
                  <c:v>42789</c:v>
                </c:pt>
                <c:pt idx="324">
                  <c:v>42790</c:v>
                </c:pt>
                <c:pt idx="325">
                  <c:v>42793</c:v>
                </c:pt>
                <c:pt idx="326">
                  <c:v>42794</c:v>
                </c:pt>
                <c:pt idx="327">
                  <c:v>42795</c:v>
                </c:pt>
                <c:pt idx="328">
                  <c:v>42796</c:v>
                </c:pt>
                <c:pt idx="329">
                  <c:v>42797</c:v>
                </c:pt>
                <c:pt idx="330">
                  <c:v>42800</c:v>
                </c:pt>
                <c:pt idx="331">
                  <c:v>42801</c:v>
                </c:pt>
                <c:pt idx="332">
                  <c:v>42802</c:v>
                </c:pt>
                <c:pt idx="333">
                  <c:v>42803</c:v>
                </c:pt>
                <c:pt idx="334">
                  <c:v>42804</c:v>
                </c:pt>
                <c:pt idx="335">
                  <c:v>42807</c:v>
                </c:pt>
                <c:pt idx="336">
                  <c:v>42808</c:v>
                </c:pt>
                <c:pt idx="337">
                  <c:v>42809</c:v>
                </c:pt>
                <c:pt idx="338">
                  <c:v>42810</c:v>
                </c:pt>
                <c:pt idx="339">
                  <c:v>42811</c:v>
                </c:pt>
                <c:pt idx="340">
                  <c:v>42814</c:v>
                </c:pt>
                <c:pt idx="341">
                  <c:v>42815</c:v>
                </c:pt>
                <c:pt idx="342">
                  <c:v>42816</c:v>
                </c:pt>
                <c:pt idx="343">
                  <c:v>42817</c:v>
                </c:pt>
                <c:pt idx="344">
                  <c:v>42818</c:v>
                </c:pt>
                <c:pt idx="345">
                  <c:v>42821</c:v>
                </c:pt>
                <c:pt idx="346">
                  <c:v>42822</c:v>
                </c:pt>
                <c:pt idx="347">
                  <c:v>42823</c:v>
                </c:pt>
                <c:pt idx="348">
                  <c:v>42824</c:v>
                </c:pt>
                <c:pt idx="349">
                  <c:v>42825</c:v>
                </c:pt>
                <c:pt idx="350">
                  <c:v>42828</c:v>
                </c:pt>
                <c:pt idx="351">
                  <c:v>42829</c:v>
                </c:pt>
                <c:pt idx="352">
                  <c:v>42830</c:v>
                </c:pt>
                <c:pt idx="353">
                  <c:v>42831</c:v>
                </c:pt>
                <c:pt idx="354">
                  <c:v>42832</c:v>
                </c:pt>
                <c:pt idx="355">
                  <c:v>42835</c:v>
                </c:pt>
                <c:pt idx="356">
                  <c:v>42836</c:v>
                </c:pt>
                <c:pt idx="357">
                  <c:v>42837</c:v>
                </c:pt>
                <c:pt idx="358">
                  <c:v>42838</c:v>
                </c:pt>
                <c:pt idx="359">
                  <c:v>42842</c:v>
                </c:pt>
                <c:pt idx="360">
                  <c:v>42843</c:v>
                </c:pt>
                <c:pt idx="361">
                  <c:v>42844</c:v>
                </c:pt>
                <c:pt idx="362">
                  <c:v>42845</c:v>
                </c:pt>
                <c:pt idx="363">
                  <c:v>42846</c:v>
                </c:pt>
                <c:pt idx="364">
                  <c:v>42849</c:v>
                </c:pt>
                <c:pt idx="365">
                  <c:v>42850</c:v>
                </c:pt>
                <c:pt idx="366">
                  <c:v>42851</c:v>
                </c:pt>
                <c:pt idx="367">
                  <c:v>42852</c:v>
                </c:pt>
                <c:pt idx="368">
                  <c:v>42853</c:v>
                </c:pt>
                <c:pt idx="369">
                  <c:v>42856</c:v>
                </c:pt>
                <c:pt idx="370">
                  <c:v>42857</c:v>
                </c:pt>
                <c:pt idx="371">
                  <c:v>42858</c:v>
                </c:pt>
                <c:pt idx="372">
                  <c:v>42859</c:v>
                </c:pt>
                <c:pt idx="373">
                  <c:v>42860</c:v>
                </c:pt>
                <c:pt idx="374">
                  <c:v>42863</c:v>
                </c:pt>
                <c:pt idx="375">
                  <c:v>42864</c:v>
                </c:pt>
                <c:pt idx="376">
                  <c:v>42865</c:v>
                </c:pt>
                <c:pt idx="377">
                  <c:v>42866</c:v>
                </c:pt>
                <c:pt idx="378">
                  <c:v>42867</c:v>
                </c:pt>
                <c:pt idx="379">
                  <c:v>42870</c:v>
                </c:pt>
                <c:pt idx="380">
                  <c:v>42871</c:v>
                </c:pt>
                <c:pt idx="381">
                  <c:v>42872</c:v>
                </c:pt>
                <c:pt idx="382">
                  <c:v>42873</c:v>
                </c:pt>
                <c:pt idx="383">
                  <c:v>42874</c:v>
                </c:pt>
                <c:pt idx="384">
                  <c:v>42877</c:v>
                </c:pt>
                <c:pt idx="385">
                  <c:v>42878</c:v>
                </c:pt>
                <c:pt idx="386">
                  <c:v>42879</c:v>
                </c:pt>
                <c:pt idx="387">
                  <c:v>42880</c:v>
                </c:pt>
                <c:pt idx="388">
                  <c:v>42881</c:v>
                </c:pt>
                <c:pt idx="389">
                  <c:v>42885</c:v>
                </c:pt>
                <c:pt idx="390">
                  <c:v>42886</c:v>
                </c:pt>
                <c:pt idx="391">
                  <c:v>42887</c:v>
                </c:pt>
                <c:pt idx="392">
                  <c:v>42888</c:v>
                </c:pt>
                <c:pt idx="393">
                  <c:v>42891</c:v>
                </c:pt>
                <c:pt idx="394">
                  <c:v>42892</c:v>
                </c:pt>
                <c:pt idx="395">
                  <c:v>42893</c:v>
                </c:pt>
                <c:pt idx="396">
                  <c:v>42894</c:v>
                </c:pt>
                <c:pt idx="397">
                  <c:v>42895</c:v>
                </c:pt>
                <c:pt idx="398">
                  <c:v>42898</c:v>
                </c:pt>
                <c:pt idx="399">
                  <c:v>42899</c:v>
                </c:pt>
                <c:pt idx="400">
                  <c:v>42900</c:v>
                </c:pt>
                <c:pt idx="401">
                  <c:v>42901</c:v>
                </c:pt>
                <c:pt idx="402">
                  <c:v>42902</c:v>
                </c:pt>
                <c:pt idx="403">
                  <c:v>42905</c:v>
                </c:pt>
                <c:pt idx="404">
                  <c:v>42906</c:v>
                </c:pt>
                <c:pt idx="405">
                  <c:v>42907</c:v>
                </c:pt>
                <c:pt idx="406">
                  <c:v>42908</c:v>
                </c:pt>
                <c:pt idx="407">
                  <c:v>42909</c:v>
                </c:pt>
                <c:pt idx="408">
                  <c:v>42912</c:v>
                </c:pt>
                <c:pt idx="409">
                  <c:v>42913</c:v>
                </c:pt>
                <c:pt idx="410">
                  <c:v>42914</c:v>
                </c:pt>
                <c:pt idx="411">
                  <c:v>42915</c:v>
                </c:pt>
                <c:pt idx="412">
                  <c:v>42916</c:v>
                </c:pt>
                <c:pt idx="413">
                  <c:v>42919</c:v>
                </c:pt>
                <c:pt idx="414">
                  <c:v>42921</c:v>
                </c:pt>
                <c:pt idx="415">
                  <c:v>42922</c:v>
                </c:pt>
                <c:pt idx="416">
                  <c:v>42923</c:v>
                </c:pt>
                <c:pt idx="417">
                  <c:v>42926</c:v>
                </c:pt>
                <c:pt idx="418">
                  <c:v>42927</c:v>
                </c:pt>
                <c:pt idx="419">
                  <c:v>42928</c:v>
                </c:pt>
                <c:pt idx="420">
                  <c:v>42929</c:v>
                </c:pt>
                <c:pt idx="421">
                  <c:v>42930</c:v>
                </c:pt>
                <c:pt idx="422">
                  <c:v>42933</c:v>
                </c:pt>
                <c:pt idx="423">
                  <c:v>42934</c:v>
                </c:pt>
                <c:pt idx="424">
                  <c:v>42935</c:v>
                </c:pt>
                <c:pt idx="425">
                  <c:v>42936</c:v>
                </c:pt>
                <c:pt idx="426">
                  <c:v>42937</c:v>
                </c:pt>
                <c:pt idx="427">
                  <c:v>42940</c:v>
                </c:pt>
                <c:pt idx="428">
                  <c:v>42941</c:v>
                </c:pt>
                <c:pt idx="429">
                  <c:v>42942</c:v>
                </c:pt>
                <c:pt idx="430">
                  <c:v>42943</c:v>
                </c:pt>
                <c:pt idx="431">
                  <c:v>42944</c:v>
                </c:pt>
                <c:pt idx="432">
                  <c:v>42947</c:v>
                </c:pt>
                <c:pt idx="433">
                  <c:v>42948</c:v>
                </c:pt>
                <c:pt idx="434">
                  <c:v>42949</c:v>
                </c:pt>
                <c:pt idx="435">
                  <c:v>42950</c:v>
                </c:pt>
                <c:pt idx="436">
                  <c:v>42951</c:v>
                </c:pt>
                <c:pt idx="437">
                  <c:v>42954</c:v>
                </c:pt>
                <c:pt idx="438">
                  <c:v>42955</c:v>
                </c:pt>
                <c:pt idx="439">
                  <c:v>42956</c:v>
                </c:pt>
                <c:pt idx="440">
                  <c:v>42957</c:v>
                </c:pt>
                <c:pt idx="441">
                  <c:v>42958</c:v>
                </c:pt>
                <c:pt idx="442">
                  <c:v>42961</c:v>
                </c:pt>
                <c:pt idx="443">
                  <c:v>42962</c:v>
                </c:pt>
                <c:pt idx="444">
                  <c:v>42963</c:v>
                </c:pt>
                <c:pt idx="445">
                  <c:v>42964</c:v>
                </c:pt>
                <c:pt idx="446">
                  <c:v>42965</c:v>
                </c:pt>
                <c:pt idx="447">
                  <c:v>42968</c:v>
                </c:pt>
                <c:pt idx="448">
                  <c:v>42969</c:v>
                </c:pt>
                <c:pt idx="449">
                  <c:v>42970</c:v>
                </c:pt>
                <c:pt idx="450">
                  <c:v>42971</c:v>
                </c:pt>
                <c:pt idx="451">
                  <c:v>42972</c:v>
                </c:pt>
                <c:pt idx="452">
                  <c:v>42975</c:v>
                </c:pt>
                <c:pt idx="453">
                  <c:v>42976</c:v>
                </c:pt>
                <c:pt idx="454">
                  <c:v>42977</c:v>
                </c:pt>
                <c:pt idx="455">
                  <c:v>42978</c:v>
                </c:pt>
                <c:pt idx="456">
                  <c:v>42979</c:v>
                </c:pt>
                <c:pt idx="457">
                  <c:v>42983</c:v>
                </c:pt>
                <c:pt idx="458">
                  <c:v>42984</c:v>
                </c:pt>
                <c:pt idx="459">
                  <c:v>42985</c:v>
                </c:pt>
                <c:pt idx="460">
                  <c:v>42986</c:v>
                </c:pt>
                <c:pt idx="461">
                  <c:v>42989</c:v>
                </c:pt>
                <c:pt idx="462">
                  <c:v>42990</c:v>
                </c:pt>
                <c:pt idx="463">
                  <c:v>42991</c:v>
                </c:pt>
                <c:pt idx="464">
                  <c:v>42992</c:v>
                </c:pt>
                <c:pt idx="465">
                  <c:v>42993</c:v>
                </c:pt>
                <c:pt idx="466">
                  <c:v>42996</c:v>
                </c:pt>
                <c:pt idx="467">
                  <c:v>42997</c:v>
                </c:pt>
                <c:pt idx="468">
                  <c:v>42998</c:v>
                </c:pt>
                <c:pt idx="469">
                  <c:v>42999</c:v>
                </c:pt>
                <c:pt idx="470">
                  <c:v>43000</c:v>
                </c:pt>
                <c:pt idx="471">
                  <c:v>43003</c:v>
                </c:pt>
                <c:pt idx="472">
                  <c:v>43004</c:v>
                </c:pt>
                <c:pt idx="473">
                  <c:v>43005</c:v>
                </c:pt>
                <c:pt idx="474">
                  <c:v>43006</c:v>
                </c:pt>
                <c:pt idx="475">
                  <c:v>43007</c:v>
                </c:pt>
                <c:pt idx="476">
                  <c:v>43010</c:v>
                </c:pt>
                <c:pt idx="477">
                  <c:v>43011</c:v>
                </c:pt>
                <c:pt idx="478">
                  <c:v>43012</c:v>
                </c:pt>
                <c:pt idx="479">
                  <c:v>43013</c:v>
                </c:pt>
                <c:pt idx="480">
                  <c:v>43014</c:v>
                </c:pt>
                <c:pt idx="481">
                  <c:v>43017</c:v>
                </c:pt>
                <c:pt idx="482">
                  <c:v>43018</c:v>
                </c:pt>
                <c:pt idx="483">
                  <c:v>43019</c:v>
                </c:pt>
                <c:pt idx="484">
                  <c:v>43020</c:v>
                </c:pt>
                <c:pt idx="485">
                  <c:v>43021</c:v>
                </c:pt>
                <c:pt idx="486">
                  <c:v>43024</c:v>
                </c:pt>
                <c:pt idx="487">
                  <c:v>43025</c:v>
                </c:pt>
                <c:pt idx="488">
                  <c:v>43026</c:v>
                </c:pt>
                <c:pt idx="489">
                  <c:v>43027</c:v>
                </c:pt>
                <c:pt idx="490">
                  <c:v>43028</c:v>
                </c:pt>
                <c:pt idx="491">
                  <c:v>43031</c:v>
                </c:pt>
                <c:pt idx="492">
                  <c:v>43032</c:v>
                </c:pt>
                <c:pt idx="493">
                  <c:v>43033</c:v>
                </c:pt>
                <c:pt idx="494">
                  <c:v>43034</c:v>
                </c:pt>
                <c:pt idx="495">
                  <c:v>43035</c:v>
                </c:pt>
                <c:pt idx="496">
                  <c:v>43038</c:v>
                </c:pt>
                <c:pt idx="497">
                  <c:v>43039</c:v>
                </c:pt>
                <c:pt idx="498">
                  <c:v>43040</c:v>
                </c:pt>
                <c:pt idx="499">
                  <c:v>43041</c:v>
                </c:pt>
                <c:pt idx="500">
                  <c:v>43042</c:v>
                </c:pt>
                <c:pt idx="501">
                  <c:v>43045</c:v>
                </c:pt>
                <c:pt idx="502">
                  <c:v>43046</c:v>
                </c:pt>
                <c:pt idx="503">
                  <c:v>43047</c:v>
                </c:pt>
                <c:pt idx="504">
                  <c:v>43048</c:v>
                </c:pt>
                <c:pt idx="505">
                  <c:v>43049</c:v>
                </c:pt>
                <c:pt idx="506">
                  <c:v>43052</c:v>
                </c:pt>
                <c:pt idx="507">
                  <c:v>43053</c:v>
                </c:pt>
                <c:pt idx="508">
                  <c:v>43054</c:v>
                </c:pt>
                <c:pt idx="509">
                  <c:v>43055</c:v>
                </c:pt>
                <c:pt idx="510">
                  <c:v>43056</c:v>
                </c:pt>
                <c:pt idx="511">
                  <c:v>43059</c:v>
                </c:pt>
                <c:pt idx="512">
                  <c:v>43060</c:v>
                </c:pt>
                <c:pt idx="513">
                  <c:v>43061</c:v>
                </c:pt>
                <c:pt idx="514">
                  <c:v>43063</c:v>
                </c:pt>
                <c:pt idx="515">
                  <c:v>43066</c:v>
                </c:pt>
                <c:pt idx="516">
                  <c:v>43067</c:v>
                </c:pt>
                <c:pt idx="517">
                  <c:v>43068</c:v>
                </c:pt>
                <c:pt idx="518">
                  <c:v>43069</c:v>
                </c:pt>
                <c:pt idx="519">
                  <c:v>43070</c:v>
                </c:pt>
                <c:pt idx="520">
                  <c:v>43073</c:v>
                </c:pt>
                <c:pt idx="521">
                  <c:v>43074</c:v>
                </c:pt>
                <c:pt idx="522">
                  <c:v>43075</c:v>
                </c:pt>
                <c:pt idx="523">
                  <c:v>43076</c:v>
                </c:pt>
                <c:pt idx="524">
                  <c:v>43077</c:v>
                </c:pt>
                <c:pt idx="525">
                  <c:v>43080</c:v>
                </c:pt>
                <c:pt idx="526">
                  <c:v>43081</c:v>
                </c:pt>
                <c:pt idx="527">
                  <c:v>43082</c:v>
                </c:pt>
                <c:pt idx="528">
                  <c:v>43083</c:v>
                </c:pt>
                <c:pt idx="529">
                  <c:v>43084</c:v>
                </c:pt>
                <c:pt idx="530">
                  <c:v>43087</c:v>
                </c:pt>
                <c:pt idx="531">
                  <c:v>43088</c:v>
                </c:pt>
                <c:pt idx="532">
                  <c:v>43089</c:v>
                </c:pt>
                <c:pt idx="533">
                  <c:v>43090</c:v>
                </c:pt>
                <c:pt idx="534">
                  <c:v>43091</c:v>
                </c:pt>
                <c:pt idx="535">
                  <c:v>43095</c:v>
                </c:pt>
                <c:pt idx="536">
                  <c:v>43096</c:v>
                </c:pt>
                <c:pt idx="537">
                  <c:v>43097</c:v>
                </c:pt>
                <c:pt idx="538">
                  <c:v>43098</c:v>
                </c:pt>
                <c:pt idx="539">
                  <c:v>43102</c:v>
                </c:pt>
                <c:pt idx="540">
                  <c:v>43103</c:v>
                </c:pt>
                <c:pt idx="541">
                  <c:v>43104</c:v>
                </c:pt>
                <c:pt idx="542">
                  <c:v>43105</c:v>
                </c:pt>
                <c:pt idx="543">
                  <c:v>43108</c:v>
                </c:pt>
                <c:pt idx="544">
                  <c:v>43109</c:v>
                </c:pt>
                <c:pt idx="545">
                  <c:v>43110</c:v>
                </c:pt>
                <c:pt idx="546">
                  <c:v>43111</c:v>
                </c:pt>
                <c:pt idx="547">
                  <c:v>43112</c:v>
                </c:pt>
                <c:pt idx="548">
                  <c:v>43116</c:v>
                </c:pt>
                <c:pt idx="549">
                  <c:v>43117</c:v>
                </c:pt>
                <c:pt idx="550">
                  <c:v>43118</c:v>
                </c:pt>
                <c:pt idx="551">
                  <c:v>43119</c:v>
                </c:pt>
                <c:pt idx="552">
                  <c:v>43122</c:v>
                </c:pt>
                <c:pt idx="553">
                  <c:v>43123</c:v>
                </c:pt>
                <c:pt idx="554">
                  <c:v>43124</c:v>
                </c:pt>
                <c:pt idx="555">
                  <c:v>43125</c:v>
                </c:pt>
                <c:pt idx="556">
                  <c:v>43126</c:v>
                </c:pt>
                <c:pt idx="557">
                  <c:v>43129</c:v>
                </c:pt>
                <c:pt idx="558">
                  <c:v>43130</c:v>
                </c:pt>
                <c:pt idx="559">
                  <c:v>43131</c:v>
                </c:pt>
                <c:pt idx="560">
                  <c:v>43132</c:v>
                </c:pt>
                <c:pt idx="561">
                  <c:v>43133</c:v>
                </c:pt>
                <c:pt idx="562">
                  <c:v>43136</c:v>
                </c:pt>
                <c:pt idx="563">
                  <c:v>43137</c:v>
                </c:pt>
                <c:pt idx="564">
                  <c:v>43138</c:v>
                </c:pt>
                <c:pt idx="565">
                  <c:v>43139</c:v>
                </c:pt>
                <c:pt idx="566">
                  <c:v>43140</c:v>
                </c:pt>
                <c:pt idx="567">
                  <c:v>43143</c:v>
                </c:pt>
                <c:pt idx="568">
                  <c:v>43144</c:v>
                </c:pt>
                <c:pt idx="569">
                  <c:v>43145</c:v>
                </c:pt>
                <c:pt idx="570">
                  <c:v>43146</c:v>
                </c:pt>
                <c:pt idx="571">
                  <c:v>43147</c:v>
                </c:pt>
                <c:pt idx="572">
                  <c:v>43151</c:v>
                </c:pt>
                <c:pt idx="573">
                  <c:v>43152</c:v>
                </c:pt>
                <c:pt idx="574">
                  <c:v>43153</c:v>
                </c:pt>
                <c:pt idx="575">
                  <c:v>43154</c:v>
                </c:pt>
                <c:pt idx="576">
                  <c:v>43157</c:v>
                </c:pt>
                <c:pt idx="577">
                  <c:v>43158</c:v>
                </c:pt>
                <c:pt idx="578">
                  <c:v>43159</c:v>
                </c:pt>
                <c:pt idx="579">
                  <c:v>43160</c:v>
                </c:pt>
                <c:pt idx="580">
                  <c:v>43161</c:v>
                </c:pt>
                <c:pt idx="581">
                  <c:v>43164</c:v>
                </c:pt>
                <c:pt idx="582">
                  <c:v>43165</c:v>
                </c:pt>
                <c:pt idx="583">
                  <c:v>43166</c:v>
                </c:pt>
                <c:pt idx="584">
                  <c:v>43167</c:v>
                </c:pt>
                <c:pt idx="585">
                  <c:v>43168</c:v>
                </c:pt>
                <c:pt idx="586">
                  <c:v>43171</c:v>
                </c:pt>
                <c:pt idx="587">
                  <c:v>43172</c:v>
                </c:pt>
                <c:pt idx="588">
                  <c:v>43173</c:v>
                </c:pt>
                <c:pt idx="589">
                  <c:v>43174</c:v>
                </c:pt>
                <c:pt idx="590">
                  <c:v>43175</c:v>
                </c:pt>
                <c:pt idx="591">
                  <c:v>43178</c:v>
                </c:pt>
                <c:pt idx="592">
                  <c:v>43179</c:v>
                </c:pt>
                <c:pt idx="593">
                  <c:v>43180</c:v>
                </c:pt>
                <c:pt idx="594">
                  <c:v>43181</c:v>
                </c:pt>
                <c:pt idx="595">
                  <c:v>43182</c:v>
                </c:pt>
                <c:pt idx="596">
                  <c:v>43185</c:v>
                </c:pt>
                <c:pt idx="597">
                  <c:v>43186</c:v>
                </c:pt>
                <c:pt idx="598">
                  <c:v>43187</c:v>
                </c:pt>
                <c:pt idx="599">
                  <c:v>43188</c:v>
                </c:pt>
                <c:pt idx="600">
                  <c:v>43192</c:v>
                </c:pt>
                <c:pt idx="601">
                  <c:v>43193</c:v>
                </c:pt>
                <c:pt idx="602">
                  <c:v>43194</c:v>
                </c:pt>
                <c:pt idx="603">
                  <c:v>43195</c:v>
                </c:pt>
                <c:pt idx="604">
                  <c:v>43196</c:v>
                </c:pt>
                <c:pt idx="605">
                  <c:v>43199</c:v>
                </c:pt>
                <c:pt idx="606">
                  <c:v>43200</c:v>
                </c:pt>
                <c:pt idx="607">
                  <c:v>43201</c:v>
                </c:pt>
                <c:pt idx="608">
                  <c:v>43202</c:v>
                </c:pt>
                <c:pt idx="609">
                  <c:v>43203</c:v>
                </c:pt>
                <c:pt idx="610">
                  <c:v>43206</c:v>
                </c:pt>
                <c:pt idx="611">
                  <c:v>43207</c:v>
                </c:pt>
                <c:pt idx="612">
                  <c:v>43208</c:v>
                </c:pt>
                <c:pt idx="613">
                  <c:v>43209</c:v>
                </c:pt>
                <c:pt idx="614">
                  <c:v>43210</c:v>
                </c:pt>
                <c:pt idx="615">
                  <c:v>43213</c:v>
                </c:pt>
                <c:pt idx="616">
                  <c:v>43214</c:v>
                </c:pt>
                <c:pt idx="617">
                  <c:v>43215</c:v>
                </c:pt>
                <c:pt idx="618">
                  <c:v>43216</c:v>
                </c:pt>
                <c:pt idx="619">
                  <c:v>43217</c:v>
                </c:pt>
                <c:pt idx="620">
                  <c:v>43220</c:v>
                </c:pt>
                <c:pt idx="621">
                  <c:v>43221</c:v>
                </c:pt>
                <c:pt idx="622">
                  <c:v>43222</c:v>
                </c:pt>
                <c:pt idx="623">
                  <c:v>43223</c:v>
                </c:pt>
                <c:pt idx="624">
                  <c:v>43224</c:v>
                </c:pt>
                <c:pt idx="625">
                  <c:v>43227</c:v>
                </c:pt>
                <c:pt idx="626">
                  <c:v>43228</c:v>
                </c:pt>
                <c:pt idx="627">
                  <c:v>43229</c:v>
                </c:pt>
                <c:pt idx="628">
                  <c:v>43230</c:v>
                </c:pt>
                <c:pt idx="629">
                  <c:v>43231</c:v>
                </c:pt>
                <c:pt idx="630">
                  <c:v>43234</c:v>
                </c:pt>
                <c:pt idx="631">
                  <c:v>43235</c:v>
                </c:pt>
                <c:pt idx="632">
                  <c:v>43236</c:v>
                </c:pt>
                <c:pt idx="633">
                  <c:v>43237</c:v>
                </c:pt>
                <c:pt idx="634">
                  <c:v>43238</c:v>
                </c:pt>
                <c:pt idx="635">
                  <c:v>43241</c:v>
                </c:pt>
                <c:pt idx="636">
                  <c:v>43242</c:v>
                </c:pt>
                <c:pt idx="637">
                  <c:v>43243</c:v>
                </c:pt>
                <c:pt idx="638">
                  <c:v>43244</c:v>
                </c:pt>
                <c:pt idx="639">
                  <c:v>43245</c:v>
                </c:pt>
                <c:pt idx="640">
                  <c:v>43249</c:v>
                </c:pt>
                <c:pt idx="641">
                  <c:v>43250</c:v>
                </c:pt>
                <c:pt idx="642">
                  <c:v>43251</c:v>
                </c:pt>
                <c:pt idx="643">
                  <c:v>43252</c:v>
                </c:pt>
                <c:pt idx="644">
                  <c:v>43255</c:v>
                </c:pt>
                <c:pt idx="645">
                  <c:v>43256</c:v>
                </c:pt>
                <c:pt idx="646">
                  <c:v>43257</c:v>
                </c:pt>
                <c:pt idx="647">
                  <c:v>43258</c:v>
                </c:pt>
                <c:pt idx="648">
                  <c:v>43259</c:v>
                </c:pt>
                <c:pt idx="649">
                  <c:v>43262</c:v>
                </c:pt>
                <c:pt idx="650">
                  <c:v>43263</c:v>
                </c:pt>
                <c:pt idx="651">
                  <c:v>43264</c:v>
                </c:pt>
                <c:pt idx="652">
                  <c:v>43265</c:v>
                </c:pt>
                <c:pt idx="653">
                  <c:v>43266</c:v>
                </c:pt>
                <c:pt idx="654">
                  <c:v>43269</c:v>
                </c:pt>
                <c:pt idx="655">
                  <c:v>43270</c:v>
                </c:pt>
                <c:pt idx="656">
                  <c:v>43271</c:v>
                </c:pt>
                <c:pt idx="657">
                  <c:v>43272</c:v>
                </c:pt>
                <c:pt idx="658">
                  <c:v>43273</c:v>
                </c:pt>
                <c:pt idx="659">
                  <c:v>43276</c:v>
                </c:pt>
                <c:pt idx="660">
                  <c:v>43277</c:v>
                </c:pt>
                <c:pt idx="661">
                  <c:v>43278</c:v>
                </c:pt>
                <c:pt idx="662">
                  <c:v>43279</c:v>
                </c:pt>
                <c:pt idx="663">
                  <c:v>43280</c:v>
                </c:pt>
                <c:pt idx="664">
                  <c:v>43283</c:v>
                </c:pt>
                <c:pt idx="665">
                  <c:v>43284</c:v>
                </c:pt>
                <c:pt idx="666">
                  <c:v>43286</c:v>
                </c:pt>
                <c:pt idx="667">
                  <c:v>43287</c:v>
                </c:pt>
                <c:pt idx="668">
                  <c:v>43290</c:v>
                </c:pt>
                <c:pt idx="669">
                  <c:v>43291</c:v>
                </c:pt>
                <c:pt idx="670">
                  <c:v>43292</c:v>
                </c:pt>
                <c:pt idx="671">
                  <c:v>43293</c:v>
                </c:pt>
                <c:pt idx="672">
                  <c:v>43294</c:v>
                </c:pt>
                <c:pt idx="673">
                  <c:v>43297</c:v>
                </c:pt>
                <c:pt idx="674">
                  <c:v>43298</c:v>
                </c:pt>
                <c:pt idx="675">
                  <c:v>43299</c:v>
                </c:pt>
                <c:pt idx="676">
                  <c:v>43300</c:v>
                </c:pt>
                <c:pt idx="677">
                  <c:v>43301</c:v>
                </c:pt>
                <c:pt idx="678">
                  <c:v>43304</c:v>
                </c:pt>
                <c:pt idx="679">
                  <c:v>43305</c:v>
                </c:pt>
                <c:pt idx="680">
                  <c:v>43306</c:v>
                </c:pt>
                <c:pt idx="681">
                  <c:v>43307</c:v>
                </c:pt>
                <c:pt idx="682">
                  <c:v>43308</c:v>
                </c:pt>
                <c:pt idx="683">
                  <c:v>43311</c:v>
                </c:pt>
                <c:pt idx="684">
                  <c:v>43312</c:v>
                </c:pt>
                <c:pt idx="685">
                  <c:v>43313</c:v>
                </c:pt>
                <c:pt idx="686">
                  <c:v>43314</c:v>
                </c:pt>
                <c:pt idx="687">
                  <c:v>43315</c:v>
                </c:pt>
                <c:pt idx="688">
                  <c:v>43318</c:v>
                </c:pt>
                <c:pt idx="689">
                  <c:v>43319</c:v>
                </c:pt>
                <c:pt idx="690">
                  <c:v>43320</c:v>
                </c:pt>
                <c:pt idx="691">
                  <c:v>43321</c:v>
                </c:pt>
                <c:pt idx="692">
                  <c:v>43322</c:v>
                </c:pt>
                <c:pt idx="693">
                  <c:v>43325</c:v>
                </c:pt>
                <c:pt idx="694">
                  <c:v>43326</c:v>
                </c:pt>
                <c:pt idx="695">
                  <c:v>43327</c:v>
                </c:pt>
                <c:pt idx="696">
                  <c:v>43328</c:v>
                </c:pt>
                <c:pt idx="697">
                  <c:v>43329</c:v>
                </c:pt>
                <c:pt idx="698">
                  <c:v>43332</c:v>
                </c:pt>
                <c:pt idx="699">
                  <c:v>43333</c:v>
                </c:pt>
                <c:pt idx="700">
                  <c:v>43334</c:v>
                </c:pt>
                <c:pt idx="701">
                  <c:v>43335</c:v>
                </c:pt>
                <c:pt idx="702">
                  <c:v>43336</c:v>
                </c:pt>
                <c:pt idx="703">
                  <c:v>43339</c:v>
                </c:pt>
                <c:pt idx="704">
                  <c:v>43340</c:v>
                </c:pt>
                <c:pt idx="705">
                  <c:v>43341</c:v>
                </c:pt>
                <c:pt idx="706">
                  <c:v>43342</c:v>
                </c:pt>
                <c:pt idx="707">
                  <c:v>43343</c:v>
                </c:pt>
                <c:pt idx="708">
                  <c:v>43347</c:v>
                </c:pt>
                <c:pt idx="709">
                  <c:v>43348</c:v>
                </c:pt>
                <c:pt idx="710">
                  <c:v>43349</c:v>
                </c:pt>
                <c:pt idx="711">
                  <c:v>43350</c:v>
                </c:pt>
                <c:pt idx="712">
                  <c:v>43353</c:v>
                </c:pt>
                <c:pt idx="713">
                  <c:v>43354</c:v>
                </c:pt>
                <c:pt idx="714">
                  <c:v>43355</c:v>
                </c:pt>
                <c:pt idx="715">
                  <c:v>43356</c:v>
                </c:pt>
                <c:pt idx="716">
                  <c:v>43357</c:v>
                </c:pt>
                <c:pt idx="717">
                  <c:v>43360</c:v>
                </c:pt>
                <c:pt idx="718">
                  <c:v>43361</c:v>
                </c:pt>
                <c:pt idx="719">
                  <c:v>43362</c:v>
                </c:pt>
                <c:pt idx="720">
                  <c:v>43363</c:v>
                </c:pt>
                <c:pt idx="721">
                  <c:v>43364</c:v>
                </c:pt>
                <c:pt idx="722">
                  <c:v>43367</c:v>
                </c:pt>
                <c:pt idx="723">
                  <c:v>43368</c:v>
                </c:pt>
                <c:pt idx="724">
                  <c:v>43369</c:v>
                </c:pt>
                <c:pt idx="725">
                  <c:v>43370</c:v>
                </c:pt>
                <c:pt idx="726">
                  <c:v>43371</c:v>
                </c:pt>
                <c:pt idx="727">
                  <c:v>43374</c:v>
                </c:pt>
                <c:pt idx="728">
                  <c:v>43375</c:v>
                </c:pt>
                <c:pt idx="729">
                  <c:v>43376</c:v>
                </c:pt>
                <c:pt idx="730">
                  <c:v>43377</c:v>
                </c:pt>
                <c:pt idx="731">
                  <c:v>43378</c:v>
                </c:pt>
                <c:pt idx="732">
                  <c:v>43381</c:v>
                </c:pt>
                <c:pt idx="733">
                  <c:v>43382</c:v>
                </c:pt>
                <c:pt idx="734">
                  <c:v>43383</c:v>
                </c:pt>
                <c:pt idx="735">
                  <c:v>43384</c:v>
                </c:pt>
                <c:pt idx="736">
                  <c:v>43385</c:v>
                </c:pt>
                <c:pt idx="737">
                  <c:v>43388</c:v>
                </c:pt>
              </c:numCache>
            </c:numRef>
          </c:xVal>
          <c:yVal>
            <c:numRef>
              <c:f>'tesla-stock-price (4)'!$H$23:$H$751</c:f>
              <c:numCache>
                <c:formatCode>General</c:formatCode>
                <c:ptCount val="729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10325.219999999999</c:v>
                </c:pt>
                <c:pt idx="7">
                  <c:v>10358.800000000001</c:v>
                </c:pt>
                <c:pt idx="8">
                  <c:v>10276.459999999999</c:v>
                </c:pt>
                <c:pt idx="9">
                  <c:v>10172.5</c:v>
                </c:pt>
                <c:pt idx="10">
                  <c:v>10172.5</c:v>
                </c:pt>
                <c:pt idx="11">
                  <c:v>10172.5</c:v>
                </c:pt>
                <c:pt idx="12">
                  <c:v>10259.18</c:v>
                </c:pt>
                <c:pt idx="13">
                  <c:v>10199.779999999999</c:v>
                </c:pt>
                <c:pt idx="14">
                  <c:v>10504.7</c:v>
                </c:pt>
                <c:pt idx="15">
                  <c:v>10275.900000000001</c:v>
                </c:pt>
                <c:pt idx="16">
                  <c:v>10307.58</c:v>
                </c:pt>
                <c:pt idx="17">
                  <c:v>10205.06</c:v>
                </c:pt>
                <c:pt idx="18">
                  <c:v>10205.06</c:v>
                </c:pt>
                <c:pt idx="19">
                  <c:v>10205.06</c:v>
                </c:pt>
                <c:pt idx="20">
                  <c:v>10205.06</c:v>
                </c:pt>
                <c:pt idx="21">
                  <c:v>10205.06</c:v>
                </c:pt>
                <c:pt idx="22">
                  <c:v>10205.06</c:v>
                </c:pt>
                <c:pt idx="23">
                  <c:v>10205.06</c:v>
                </c:pt>
                <c:pt idx="24">
                  <c:v>10205.06</c:v>
                </c:pt>
                <c:pt idx="25">
                  <c:v>10205.059999999992</c:v>
                </c:pt>
                <c:pt idx="26">
                  <c:v>10156.899999999991</c:v>
                </c:pt>
                <c:pt idx="27">
                  <c:v>10030.909999999993</c:v>
                </c:pt>
                <c:pt idx="28">
                  <c:v>10121.209999999992</c:v>
                </c:pt>
                <c:pt idx="29">
                  <c:v>10121.209999999992</c:v>
                </c:pt>
                <c:pt idx="30">
                  <c:v>10121.209999999992</c:v>
                </c:pt>
                <c:pt idx="31">
                  <c:v>10121.209999999992</c:v>
                </c:pt>
                <c:pt idx="32">
                  <c:v>10121.209999999992</c:v>
                </c:pt>
                <c:pt idx="33">
                  <c:v>10121.209999999994</c:v>
                </c:pt>
                <c:pt idx="34">
                  <c:v>10159.009999999995</c:v>
                </c:pt>
                <c:pt idx="35">
                  <c:v>10239.649999999994</c:v>
                </c:pt>
                <c:pt idx="36">
                  <c:v>9542.4499999999935</c:v>
                </c:pt>
                <c:pt idx="37">
                  <c:v>9542.4499999999935</c:v>
                </c:pt>
                <c:pt idx="38">
                  <c:v>9542.4499999999935</c:v>
                </c:pt>
                <c:pt idx="39">
                  <c:v>9542.4499999999935</c:v>
                </c:pt>
                <c:pt idx="40">
                  <c:v>9542.4499999999935</c:v>
                </c:pt>
                <c:pt idx="41">
                  <c:v>9542.4499999999935</c:v>
                </c:pt>
                <c:pt idx="42">
                  <c:v>9542.4499999999935</c:v>
                </c:pt>
                <c:pt idx="43">
                  <c:v>9542.4499999999935</c:v>
                </c:pt>
                <c:pt idx="44">
                  <c:v>9542.4499999999935</c:v>
                </c:pt>
                <c:pt idx="45">
                  <c:v>9542.4499999999935</c:v>
                </c:pt>
                <c:pt idx="46">
                  <c:v>9542.4499999999953</c:v>
                </c:pt>
                <c:pt idx="47">
                  <c:v>9265.5299999999934</c:v>
                </c:pt>
                <c:pt idx="48">
                  <c:v>9265.5299999999934</c:v>
                </c:pt>
                <c:pt idx="49">
                  <c:v>9265.5299999999934</c:v>
                </c:pt>
                <c:pt idx="50">
                  <c:v>9265.5299999999934</c:v>
                </c:pt>
                <c:pt idx="51">
                  <c:v>9265.5299999999934</c:v>
                </c:pt>
                <c:pt idx="52">
                  <c:v>9265.5299999999934</c:v>
                </c:pt>
                <c:pt idx="53">
                  <c:v>9265.5299999999934</c:v>
                </c:pt>
                <c:pt idx="54">
                  <c:v>9265.5299999999934</c:v>
                </c:pt>
                <c:pt idx="55">
                  <c:v>9265.5299999999988</c:v>
                </c:pt>
                <c:pt idx="56">
                  <c:v>8600.0099999999984</c:v>
                </c:pt>
                <c:pt idx="57">
                  <c:v>8600.0099999999984</c:v>
                </c:pt>
                <c:pt idx="58">
                  <c:v>8600.0099999999984</c:v>
                </c:pt>
                <c:pt idx="59">
                  <c:v>8600.0099999999984</c:v>
                </c:pt>
                <c:pt idx="60">
                  <c:v>8600.0099999999984</c:v>
                </c:pt>
                <c:pt idx="61">
                  <c:v>8600.0099999999984</c:v>
                </c:pt>
                <c:pt idx="62">
                  <c:v>8600.0099999999984</c:v>
                </c:pt>
                <c:pt idx="63">
                  <c:v>8600.0099999999948</c:v>
                </c:pt>
                <c:pt idx="64">
                  <c:v>8632.4999999999945</c:v>
                </c:pt>
                <c:pt idx="65">
                  <c:v>8867.9099999999944</c:v>
                </c:pt>
                <c:pt idx="66">
                  <c:v>9637.9799999999959</c:v>
                </c:pt>
                <c:pt idx="67">
                  <c:v>9529.1099999999969</c:v>
                </c:pt>
                <c:pt idx="68">
                  <c:v>9518.279999999997</c:v>
                </c:pt>
                <c:pt idx="69">
                  <c:v>10154.399999999996</c:v>
                </c:pt>
                <c:pt idx="70">
                  <c:v>10124.189999999997</c:v>
                </c:pt>
                <c:pt idx="71">
                  <c:v>10226.219999999996</c:v>
                </c:pt>
                <c:pt idx="72">
                  <c:v>10706.729999999996</c:v>
                </c:pt>
                <c:pt idx="73">
                  <c:v>10872.599999999997</c:v>
                </c:pt>
                <c:pt idx="74">
                  <c:v>10963.229999999996</c:v>
                </c:pt>
                <c:pt idx="75">
                  <c:v>10645.169999999995</c:v>
                </c:pt>
                <c:pt idx="76">
                  <c:v>10645.169999999995</c:v>
                </c:pt>
                <c:pt idx="77">
                  <c:v>10645.170000000006</c:v>
                </c:pt>
                <c:pt idx="78">
                  <c:v>10931.370000000004</c:v>
                </c:pt>
                <c:pt idx="79">
                  <c:v>11160.870000000004</c:v>
                </c:pt>
                <c:pt idx="80">
                  <c:v>11015.610000000004</c:v>
                </c:pt>
                <c:pt idx="81">
                  <c:v>11346.090000000004</c:v>
                </c:pt>
                <c:pt idx="82">
                  <c:v>11154.930000000006</c:v>
                </c:pt>
                <c:pt idx="83">
                  <c:v>11154.930000000006</c:v>
                </c:pt>
                <c:pt idx="84">
                  <c:v>11560.380000000006</c:v>
                </c:pt>
                <c:pt idx="85">
                  <c:v>11729.450000000006</c:v>
                </c:pt>
                <c:pt idx="86">
                  <c:v>11919.720000000007</c:v>
                </c:pt>
                <c:pt idx="87">
                  <c:v>12155.570000000005</c:v>
                </c:pt>
                <c:pt idx="88">
                  <c:v>12492.650000000007</c:v>
                </c:pt>
                <c:pt idx="89">
                  <c:v>12788.390000000005</c:v>
                </c:pt>
                <c:pt idx="90">
                  <c:v>12572.150000000007</c:v>
                </c:pt>
                <c:pt idx="91">
                  <c:v>11954.170000000006</c:v>
                </c:pt>
                <c:pt idx="92">
                  <c:v>11954.170000000006</c:v>
                </c:pt>
                <c:pt idx="93">
                  <c:v>11954.170000000006</c:v>
                </c:pt>
                <c:pt idx="94">
                  <c:v>11954.170000000015</c:v>
                </c:pt>
                <c:pt idx="95">
                  <c:v>11788.930000000015</c:v>
                </c:pt>
                <c:pt idx="96">
                  <c:v>11788.930000000015</c:v>
                </c:pt>
                <c:pt idx="97">
                  <c:v>11788.930000000009</c:v>
                </c:pt>
                <c:pt idx="98">
                  <c:v>12249.53000000001</c:v>
                </c:pt>
                <c:pt idx="99">
                  <c:v>12665.05000000001</c:v>
                </c:pt>
                <c:pt idx="100">
                  <c:v>13152.600000000009</c:v>
                </c:pt>
                <c:pt idx="101">
                  <c:v>12749.820000000009</c:v>
                </c:pt>
                <c:pt idx="102">
                  <c:v>12400.45000000001</c:v>
                </c:pt>
                <c:pt idx="103">
                  <c:v>12400.45000000001</c:v>
                </c:pt>
                <c:pt idx="104">
                  <c:v>12400.45000000001</c:v>
                </c:pt>
                <c:pt idx="105">
                  <c:v>12400.450000000003</c:v>
                </c:pt>
                <c:pt idx="106">
                  <c:v>12272.290000000003</c:v>
                </c:pt>
                <c:pt idx="107">
                  <c:v>12399.490000000002</c:v>
                </c:pt>
                <c:pt idx="108">
                  <c:v>12369.250000000002</c:v>
                </c:pt>
                <c:pt idx="109">
                  <c:v>12369.250000000002</c:v>
                </c:pt>
                <c:pt idx="110">
                  <c:v>12369.250000000002</c:v>
                </c:pt>
                <c:pt idx="111">
                  <c:v>12369.250000000002</c:v>
                </c:pt>
                <c:pt idx="112">
                  <c:v>12369.250000000002</c:v>
                </c:pt>
                <c:pt idx="113">
                  <c:v>12276.610000000002</c:v>
                </c:pt>
                <c:pt idx="114">
                  <c:v>12368.770000000002</c:v>
                </c:pt>
                <c:pt idx="115">
                  <c:v>12259.810000000001</c:v>
                </c:pt>
                <c:pt idx="116">
                  <c:v>12259.810000000001</c:v>
                </c:pt>
                <c:pt idx="117">
                  <c:v>12259.810000000001</c:v>
                </c:pt>
                <c:pt idx="118">
                  <c:v>12259.810000000001</c:v>
                </c:pt>
                <c:pt idx="119">
                  <c:v>12259.810000000001</c:v>
                </c:pt>
                <c:pt idx="120">
                  <c:v>12259.810000000001</c:v>
                </c:pt>
                <c:pt idx="121">
                  <c:v>12259.810000000001</c:v>
                </c:pt>
                <c:pt idx="122">
                  <c:v>12259.810000000001</c:v>
                </c:pt>
                <c:pt idx="123">
                  <c:v>12259.810000000001</c:v>
                </c:pt>
                <c:pt idx="124">
                  <c:v>12259.810000000001</c:v>
                </c:pt>
                <c:pt idx="125">
                  <c:v>12259.810000000001</c:v>
                </c:pt>
                <c:pt idx="126">
                  <c:v>12259.810000000001</c:v>
                </c:pt>
                <c:pt idx="127">
                  <c:v>12259.810000000001</c:v>
                </c:pt>
                <c:pt idx="128">
                  <c:v>12259.810000000001</c:v>
                </c:pt>
                <c:pt idx="129">
                  <c:v>12259.810000000001</c:v>
                </c:pt>
                <c:pt idx="130">
                  <c:v>12259.809999999996</c:v>
                </c:pt>
                <c:pt idx="131">
                  <c:v>12494.129999999997</c:v>
                </c:pt>
                <c:pt idx="132">
                  <c:v>12788.189999999997</c:v>
                </c:pt>
                <c:pt idx="133">
                  <c:v>12552.709999999997</c:v>
                </c:pt>
                <c:pt idx="134">
                  <c:v>12650.729999999998</c:v>
                </c:pt>
                <c:pt idx="135">
                  <c:v>12747.589999999998</c:v>
                </c:pt>
                <c:pt idx="136">
                  <c:v>12747.589999999987</c:v>
                </c:pt>
                <c:pt idx="137">
                  <c:v>12631.109999999986</c:v>
                </c:pt>
                <c:pt idx="138">
                  <c:v>12641.749999999985</c:v>
                </c:pt>
                <c:pt idx="139">
                  <c:v>12436.229999999987</c:v>
                </c:pt>
                <c:pt idx="140">
                  <c:v>12436.229999999987</c:v>
                </c:pt>
                <c:pt idx="141">
                  <c:v>12436.229999999987</c:v>
                </c:pt>
                <c:pt idx="142">
                  <c:v>12436.229999999978</c:v>
                </c:pt>
                <c:pt idx="143">
                  <c:v>13089.189999999979</c:v>
                </c:pt>
                <c:pt idx="144">
                  <c:v>13267.269999999979</c:v>
                </c:pt>
                <c:pt idx="145">
                  <c:v>12922.309999999978</c:v>
                </c:pt>
                <c:pt idx="146">
                  <c:v>12330.389999999978</c:v>
                </c:pt>
                <c:pt idx="147">
                  <c:v>12330.389999999978</c:v>
                </c:pt>
                <c:pt idx="148">
                  <c:v>12330.389999999978</c:v>
                </c:pt>
                <c:pt idx="149">
                  <c:v>12330.389999999978</c:v>
                </c:pt>
                <c:pt idx="150">
                  <c:v>12330.389999999968</c:v>
                </c:pt>
                <c:pt idx="151">
                  <c:v>12192.629999999968</c:v>
                </c:pt>
                <c:pt idx="152">
                  <c:v>12429.509999999967</c:v>
                </c:pt>
                <c:pt idx="153">
                  <c:v>12424.469999999968</c:v>
                </c:pt>
                <c:pt idx="154">
                  <c:v>11139.269999999968</c:v>
                </c:pt>
                <c:pt idx="155">
                  <c:v>11139.269999999968</c:v>
                </c:pt>
                <c:pt idx="156">
                  <c:v>11139.269999999968</c:v>
                </c:pt>
                <c:pt idx="157">
                  <c:v>11139.269999999973</c:v>
                </c:pt>
                <c:pt idx="158">
                  <c:v>11320.709999999972</c:v>
                </c:pt>
                <c:pt idx="159">
                  <c:v>11791.109999999971</c:v>
                </c:pt>
                <c:pt idx="160">
                  <c:v>11908.149999999972</c:v>
                </c:pt>
                <c:pt idx="161">
                  <c:v>12144.469999999972</c:v>
                </c:pt>
                <c:pt idx="162">
                  <c:v>12003.349999999971</c:v>
                </c:pt>
                <c:pt idx="163">
                  <c:v>12029.109999999971</c:v>
                </c:pt>
                <c:pt idx="164">
                  <c:v>12113.109999999971</c:v>
                </c:pt>
                <c:pt idx="165">
                  <c:v>12113.109999999962</c:v>
                </c:pt>
                <c:pt idx="166">
                  <c:v>12553.109999999962</c:v>
                </c:pt>
                <c:pt idx="167">
                  <c:v>12545.959999999963</c:v>
                </c:pt>
                <c:pt idx="168">
                  <c:v>12429.359999999962</c:v>
                </c:pt>
                <c:pt idx="169">
                  <c:v>12374.359999999962</c:v>
                </c:pt>
                <c:pt idx="170">
                  <c:v>12374.359999999962</c:v>
                </c:pt>
                <c:pt idx="171">
                  <c:v>12374.359999999962</c:v>
                </c:pt>
                <c:pt idx="172">
                  <c:v>12320.899999999961</c:v>
                </c:pt>
                <c:pt idx="173">
                  <c:v>12488.299999999963</c:v>
                </c:pt>
                <c:pt idx="174">
                  <c:v>12063.859999999962</c:v>
                </c:pt>
                <c:pt idx="175">
                  <c:v>12063.859999999962</c:v>
                </c:pt>
                <c:pt idx="176">
                  <c:v>12063.859999999953</c:v>
                </c:pt>
                <c:pt idx="177">
                  <c:v>12037.859999999953</c:v>
                </c:pt>
                <c:pt idx="178">
                  <c:v>11984.819999999952</c:v>
                </c:pt>
                <c:pt idx="179">
                  <c:v>12095.059999999954</c:v>
                </c:pt>
                <c:pt idx="180">
                  <c:v>12312.419999999953</c:v>
                </c:pt>
                <c:pt idx="181">
                  <c:v>12063.859999999953</c:v>
                </c:pt>
                <c:pt idx="182">
                  <c:v>11917.739999999952</c:v>
                </c:pt>
                <c:pt idx="183">
                  <c:v>11917.739999999952</c:v>
                </c:pt>
                <c:pt idx="184">
                  <c:v>11917.739999999947</c:v>
                </c:pt>
                <c:pt idx="185">
                  <c:v>11888.159999999947</c:v>
                </c:pt>
                <c:pt idx="186">
                  <c:v>11690.789999999946</c:v>
                </c:pt>
                <c:pt idx="187">
                  <c:v>11839.709999999946</c:v>
                </c:pt>
                <c:pt idx="188">
                  <c:v>11839.709999999946</c:v>
                </c:pt>
                <c:pt idx="189">
                  <c:v>11839.709999999946</c:v>
                </c:pt>
                <c:pt idx="190">
                  <c:v>11839.709999999946</c:v>
                </c:pt>
                <c:pt idx="191">
                  <c:v>11839.709999999946</c:v>
                </c:pt>
                <c:pt idx="192">
                  <c:v>11839.709999999946</c:v>
                </c:pt>
                <c:pt idx="193">
                  <c:v>11839.709999999946</c:v>
                </c:pt>
                <c:pt idx="194">
                  <c:v>11839.709999999946</c:v>
                </c:pt>
                <c:pt idx="195">
                  <c:v>11839.709999999946</c:v>
                </c:pt>
                <c:pt idx="196">
                  <c:v>11732.069999999947</c:v>
                </c:pt>
                <c:pt idx="197">
                  <c:v>11732.069999999942</c:v>
                </c:pt>
                <c:pt idx="198">
                  <c:v>11616.629999999941</c:v>
                </c:pt>
                <c:pt idx="199">
                  <c:v>11616.629999999941</c:v>
                </c:pt>
                <c:pt idx="200">
                  <c:v>11616.629999999941</c:v>
                </c:pt>
                <c:pt idx="201">
                  <c:v>11616.629999999941</c:v>
                </c:pt>
                <c:pt idx="202">
                  <c:v>11616.629999999941</c:v>
                </c:pt>
                <c:pt idx="203">
                  <c:v>11616.629999999941</c:v>
                </c:pt>
                <c:pt idx="204">
                  <c:v>11616.629999999941</c:v>
                </c:pt>
                <c:pt idx="205">
                  <c:v>11616.629999999941</c:v>
                </c:pt>
                <c:pt idx="206">
                  <c:v>11616.629999999941</c:v>
                </c:pt>
                <c:pt idx="207">
                  <c:v>11616.629999999956</c:v>
                </c:pt>
                <c:pt idx="208">
                  <c:v>11368.679999999955</c:v>
                </c:pt>
                <c:pt idx="209">
                  <c:v>11368.679999999955</c:v>
                </c:pt>
                <c:pt idx="210">
                  <c:v>11368.679999999955</c:v>
                </c:pt>
                <c:pt idx="211">
                  <c:v>11368.679999999955</c:v>
                </c:pt>
                <c:pt idx="212">
                  <c:v>11368.67999999996</c:v>
                </c:pt>
                <c:pt idx="213">
                  <c:v>11597.24999999996</c:v>
                </c:pt>
                <c:pt idx="214">
                  <c:v>11881.109999999962</c:v>
                </c:pt>
                <c:pt idx="215">
                  <c:v>11934.689999999962</c:v>
                </c:pt>
                <c:pt idx="216">
                  <c:v>11837.789999999961</c:v>
                </c:pt>
                <c:pt idx="217">
                  <c:v>11870.84999999996</c:v>
                </c:pt>
                <c:pt idx="218">
                  <c:v>11870.849999999951</c:v>
                </c:pt>
                <c:pt idx="219">
                  <c:v>11928.989999999951</c:v>
                </c:pt>
                <c:pt idx="220">
                  <c:v>12016.769999999951</c:v>
                </c:pt>
                <c:pt idx="221">
                  <c:v>11835.509999999951</c:v>
                </c:pt>
                <c:pt idx="222">
                  <c:v>11835.509999999951</c:v>
                </c:pt>
                <c:pt idx="223">
                  <c:v>11835.509999999951</c:v>
                </c:pt>
                <c:pt idx="224">
                  <c:v>11835.509999999951</c:v>
                </c:pt>
                <c:pt idx="225">
                  <c:v>11835.509999999944</c:v>
                </c:pt>
                <c:pt idx="226">
                  <c:v>11709.559999999943</c:v>
                </c:pt>
                <c:pt idx="227">
                  <c:v>11547.309999999945</c:v>
                </c:pt>
                <c:pt idx="228">
                  <c:v>11137.009999999944</c:v>
                </c:pt>
                <c:pt idx="229">
                  <c:v>11137.009999999944</c:v>
                </c:pt>
                <c:pt idx="230">
                  <c:v>11137.009999999944</c:v>
                </c:pt>
                <c:pt idx="231">
                  <c:v>11137.009999999944</c:v>
                </c:pt>
                <c:pt idx="232">
                  <c:v>11137.009999999933</c:v>
                </c:pt>
                <c:pt idx="233">
                  <c:v>11067.159999999934</c:v>
                </c:pt>
                <c:pt idx="234">
                  <c:v>11067.159999999934</c:v>
                </c:pt>
                <c:pt idx="235">
                  <c:v>11067.159999999934</c:v>
                </c:pt>
                <c:pt idx="236">
                  <c:v>11067.159999999934</c:v>
                </c:pt>
                <c:pt idx="237">
                  <c:v>11067.159999999934</c:v>
                </c:pt>
                <c:pt idx="238">
                  <c:v>10826.319999999934</c:v>
                </c:pt>
                <c:pt idx="239">
                  <c:v>10879.779999999935</c:v>
                </c:pt>
                <c:pt idx="240">
                  <c:v>11023.959999999934</c:v>
                </c:pt>
                <c:pt idx="241">
                  <c:v>11023.959999999928</c:v>
                </c:pt>
                <c:pt idx="242">
                  <c:v>11018.559999999929</c:v>
                </c:pt>
                <c:pt idx="243">
                  <c:v>11114.139999999927</c:v>
                </c:pt>
                <c:pt idx="244">
                  <c:v>10895.979999999927</c:v>
                </c:pt>
                <c:pt idx="245">
                  <c:v>10895.979999999927</c:v>
                </c:pt>
                <c:pt idx="246">
                  <c:v>10895.979999999927</c:v>
                </c:pt>
                <c:pt idx="247">
                  <c:v>10895.979999999927</c:v>
                </c:pt>
                <c:pt idx="248">
                  <c:v>10895.979999999927</c:v>
                </c:pt>
                <c:pt idx="249">
                  <c:v>10895.979999999927</c:v>
                </c:pt>
                <c:pt idx="250">
                  <c:v>10895.979999999938</c:v>
                </c:pt>
                <c:pt idx="251">
                  <c:v>10992.859999999937</c:v>
                </c:pt>
                <c:pt idx="252">
                  <c:v>10719.579999999938</c:v>
                </c:pt>
                <c:pt idx="253">
                  <c:v>10719.579999999938</c:v>
                </c:pt>
                <c:pt idx="254">
                  <c:v>10719.579999999938</c:v>
                </c:pt>
                <c:pt idx="255">
                  <c:v>10719.579999999938</c:v>
                </c:pt>
                <c:pt idx="256">
                  <c:v>10719.579999999938</c:v>
                </c:pt>
                <c:pt idx="257">
                  <c:v>10719.579999999938</c:v>
                </c:pt>
                <c:pt idx="258">
                  <c:v>10719.579999999944</c:v>
                </c:pt>
                <c:pt idx="259">
                  <c:v>10515.739999999945</c:v>
                </c:pt>
                <c:pt idx="260">
                  <c:v>10487.739999999945</c:v>
                </c:pt>
                <c:pt idx="261">
                  <c:v>10860.139999999943</c:v>
                </c:pt>
                <c:pt idx="262">
                  <c:v>10970.459999999945</c:v>
                </c:pt>
                <c:pt idx="263">
                  <c:v>11167.019999999944</c:v>
                </c:pt>
                <c:pt idx="264">
                  <c:v>11137.339999999946</c:v>
                </c:pt>
                <c:pt idx="265">
                  <c:v>10770.539999999944</c:v>
                </c:pt>
                <c:pt idx="266">
                  <c:v>10770.539999999944</c:v>
                </c:pt>
                <c:pt idx="267">
                  <c:v>10770.539999999944</c:v>
                </c:pt>
                <c:pt idx="268">
                  <c:v>10770.539999999944</c:v>
                </c:pt>
                <c:pt idx="269">
                  <c:v>10770.539999999944</c:v>
                </c:pt>
                <c:pt idx="270">
                  <c:v>10770.539999999932</c:v>
                </c:pt>
                <c:pt idx="271">
                  <c:v>11186.639999999934</c:v>
                </c:pt>
                <c:pt idx="272">
                  <c:v>11137.619999999932</c:v>
                </c:pt>
                <c:pt idx="273">
                  <c:v>11131.349999999933</c:v>
                </c:pt>
                <c:pt idx="274">
                  <c:v>11145.599999999933</c:v>
                </c:pt>
                <c:pt idx="275">
                  <c:v>11145.599999999944</c:v>
                </c:pt>
                <c:pt idx="276">
                  <c:v>11175.839999999944</c:v>
                </c:pt>
                <c:pt idx="277">
                  <c:v>11113.679999999946</c:v>
                </c:pt>
                <c:pt idx="278">
                  <c:v>11388.639999999945</c:v>
                </c:pt>
                <c:pt idx="279">
                  <c:v>11402.079999999944</c:v>
                </c:pt>
                <c:pt idx="280">
                  <c:v>11741.439999999944</c:v>
                </c:pt>
                <c:pt idx="281">
                  <c:v>11680.399999999943</c:v>
                </c:pt>
                <c:pt idx="282">
                  <c:v>11722.399999999943</c:v>
                </c:pt>
                <c:pt idx="283">
                  <c:v>11996.239999999945</c:v>
                </c:pt>
                <c:pt idx="284">
                  <c:v>12342.879999999945</c:v>
                </c:pt>
                <c:pt idx="285">
                  <c:v>12354.639999999945</c:v>
                </c:pt>
                <c:pt idx="286">
                  <c:v>12071.279999999944</c:v>
                </c:pt>
                <c:pt idx="287">
                  <c:v>12015.839999999944</c:v>
                </c:pt>
                <c:pt idx="288">
                  <c:v>12015.839999999944</c:v>
                </c:pt>
                <c:pt idx="289">
                  <c:v>12015.839999999953</c:v>
                </c:pt>
                <c:pt idx="290">
                  <c:v>12003.359999999953</c:v>
                </c:pt>
                <c:pt idx="291">
                  <c:v>12120.879999999954</c:v>
                </c:pt>
                <c:pt idx="292">
                  <c:v>12238.919999999953</c:v>
                </c:pt>
                <c:pt idx="293">
                  <c:v>12165.599999999953</c:v>
                </c:pt>
                <c:pt idx="294">
                  <c:v>12158.319999999952</c:v>
                </c:pt>
                <c:pt idx="295">
                  <c:v>12151.039999999954</c:v>
                </c:pt>
                <c:pt idx="296">
                  <c:v>12151.039999999954</c:v>
                </c:pt>
                <c:pt idx="297">
                  <c:v>12040.369999999954</c:v>
                </c:pt>
                <c:pt idx="298">
                  <c:v>12182.149999999954</c:v>
                </c:pt>
                <c:pt idx="299">
                  <c:v>12457.549999999954</c:v>
                </c:pt>
                <c:pt idx="300">
                  <c:v>12507.019999999953</c:v>
                </c:pt>
                <c:pt idx="301">
                  <c:v>12720.709999999954</c:v>
                </c:pt>
                <c:pt idx="302">
                  <c:v>13010.899999999954</c:v>
                </c:pt>
                <c:pt idx="303">
                  <c:v>13003.759999999953</c:v>
                </c:pt>
                <c:pt idx="304">
                  <c:v>12903.799999999954</c:v>
                </c:pt>
                <c:pt idx="305">
                  <c:v>12926.239999999952</c:v>
                </c:pt>
                <c:pt idx="306">
                  <c:v>12926.239999999952</c:v>
                </c:pt>
                <c:pt idx="307">
                  <c:v>12926.239999999952</c:v>
                </c:pt>
                <c:pt idx="308">
                  <c:v>12926.239999999952</c:v>
                </c:pt>
                <c:pt idx="309">
                  <c:v>12926.239999999962</c:v>
                </c:pt>
                <c:pt idx="310">
                  <c:v>12915.01999999996</c:v>
                </c:pt>
                <c:pt idx="311">
                  <c:v>12915.019999999946</c:v>
                </c:pt>
                <c:pt idx="312">
                  <c:v>12900.519999999946</c:v>
                </c:pt>
                <c:pt idx="313">
                  <c:v>13130.519999999946</c:v>
                </c:pt>
                <c:pt idx="314">
                  <c:v>13486.519999999946</c:v>
                </c:pt>
                <c:pt idx="315">
                  <c:v>13488.019999999946</c:v>
                </c:pt>
                <c:pt idx="316">
                  <c:v>14056.519999999948</c:v>
                </c:pt>
                <c:pt idx="317">
                  <c:v>14075.519999999946</c:v>
                </c:pt>
                <c:pt idx="318">
                  <c:v>14014.519999999946</c:v>
                </c:pt>
                <c:pt idx="319">
                  <c:v>13474.019999999946</c:v>
                </c:pt>
                <c:pt idx="320">
                  <c:v>13474.019999999946</c:v>
                </c:pt>
                <c:pt idx="321">
                  <c:v>13474.019999999946</c:v>
                </c:pt>
                <c:pt idx="322">
                  <c:v>13474.019999999937</c:v>
                </c:pt>
                <c:pt idx="323">
                  <c:v>12615.539999999937</c:v>
                </c:pt>
                <c:pt idx="324">
                  <c:v>12615.539999999937</c:v>
                </c:pt>
                <c:pt idx="325">
                  <c:v>12615.539999999937</c:v>
                </c:pt>
                <c:pt idx="326">
                  <c:v>12615.539999999937</c:v>
                </c:pt>
                <c:pt idx="327">
                  <c:v>12615.539999999937</c:v>
                </c:pt>
                <c:pt idx="328">
                  <c:v>12615.539999999952</c:v>
                </c:pt>
                <c:pt idx="329">
                  <c:v>12670.039999999952</c:v>
                </c:pt>
                <c:pt idx="330">
                  <c:v>12652.039999999952</c:v>
                </c:pt>
                <c:pt idx="331">
                  <c:v>12521.039999999952</c:v>
                </c:pt>
                <c:pt idx="332">
                  <c:v>12521.039999999952</c:v>
                </c:pt>
                <c:pt idx="333">
                  <c:v>12521.039999999952</c:v>
                </c:pt>
                <c:pt idx="334">
                  <c:v>12521.039999999952</c:v>
                </c:pt>
                <c:pt idx="335">
                  <c:v>12521.039999999952</c:v>
                </c:pt>
                <c:pt idx="336">
                  <c:v>12521.039999999952</c:v>
                </c:pt>
                <c:pt idx="337">
                  <c:v>12412.079999999951</c:v>
                </c:pt>
                <c:pt idx="338">
                  <c:v>12715.439999999953</c:v>
                </c:pt>
                <c:pt idx="339">
                  <c:v>12689.039999999952</c:v>
                </c:pt>
                <c:pt idx="340">
                  <c:v>12709.199999999952</c:v>
                </c:pt>
                <c:pt idx="341">
                  <c:v>12169.679999999951</c:v>
                </c:pt>
                <c:pt idx="342">
                  <c:v>12169.679999999951</c:v>
                </c:pt>
                <c:pt idx="343">
                  <c:v>12169.679999999951</c:v>
                </c:pt>
                <c:pt idx="344">
                  <c:v>12169.679999999957</c:v>
                </c:pt>
                <c:pt idx="345">
                  <c:v>12494.439999999957</c:v>
                </c:pt>
                <c:pt idx="346">
                  <c:v>12827.019999999955</c:v>
                </c:pt>
                <c:pt idx="347">
                  <c:v>12823.799999999956</c:v>
                </c:pt>
                <c:pt idx="348">
                  <c:v>12848.639999999958</c:v>
                </c:pt>
                <c:pt idx="349">
                  <c:v>12866.119999999957</c:v>
                </c:pt>
                <c:pt idx="350">
                  <c:v>13796.239999999954</c:v>
                </c:pt>
                <c:pt idx="351">
                  <c:v>14034.519999999955</c:v>
                </c:pt>
                <c:pt idx="352">
                  <c:v>13634.319999999956</c:v>
                </c:pt>
                <c:pt idx="353">
                  <c:v>13804.519999999955</c:v>
                </c:pt>
                <c:pt idx="354">
                  <c:v>13981.159999999956</c:v>
                </c:pt>
                <c:pt idx="355">
                  <c:v>13981.159999999963</c:v>
                </c:pt>
                <c:pt idx="356">
                  <c:v>13819.239999999963</c:v>
                </c:pt>
                <c:pt idx="357">
                  <c:v>13296.959999999963</c:v>
                </c:pt>
                <c:pt idx="358">
                  <c:v>13296.959999999963</c:v>
                </c:pt>
                <c:pt idx="359">
                  <c:v>13296.959999999963</c:v>
                </c:pt>
                <c:pt idx="360">
                  <c:v>13296.959999999963</c:v>
                </c:pt>
                <c:pt idx="361">
                  <c:v>13528.839999999962</c:v>
                </c:pt>
                <c:pt idx="362">
                  <c:v>13396.399999999961</c:v>
                </c:pt>
                <c:pt idx="363">
                  <c:v>13532.359999999964</c:v>
                </c:pt>
                <c:pt idx="364">
                  <c:v>13639.279999999962</c:v>
                </c:pt>
                <c:pt idx="365">
                  <c:v>13892.719999999963</c:v>
                </c:pt>
                <c:pt idx="366">
                  <c:v>13733.439999999964</c:v>
                </c:pt>
                <c:pt idx="367">
                  <c:v>13665.679999999962</c:v>
                </c:pt>
                <c:pt idx="368">
                  <c:v>13905.039999999963</c:v>
                </c:pt>
                <c:pt idx="369">
                  <c:v>14290.479999999961</c:v>
                </c:pt>
                <c:pt idx="370">
                  <c:v>14117.119999999963</c:v>
                </c:pt>
                <c:pt idx="371">
                  <c:v>13770.839999999962</c:v>
                </c:pt>
                <c:pt idx="372">
                  <c:v>13770.839999999962</c:v>
                </c:pt>
                <c:pt idx="373">
                  <c:v>13770.839999999962</c:v>
                </c:pt>
                <c:pt idx="374">
                  <c:v>13770.839999999962</c:v>
                </c:pt>
                <c:pt idx="375">
                  <c:v>13770.839999999955</c:v>
                </c:pt>
                <c:pt idx="376">
                  <c:v>13937.159999999956</c:v>
                </c:pt>
                <c:pt idx="377">
                  <c:v>13848.119999999955</c:v>
                </c:pt>
                <c:pt idx="378">
                  <c:v>13919.939999999955</c:v>
                </c:pt>
                <c:pt idx="379">
                  <c:v>13544.879999999954</c:v>
                </c:pt>
                <c:pt idx="380">
                  <c:v>13544.879999999954</c:v>
                </c:pt>
                <c:pt idx="381">
                  <c:v>13544.879999999954</c:v>
                </c:pt>
                <c:pt idx="382">
                  <c:v>13544.879999999954</c:v>
                </c:pt>
                <c:pt idx="383">
                  <c:v>13544.879999999954</c:v>
                </c:pt>
                <c:pt idx="384">
                  <c:v>13544.879999999945</c:v>
                </c:pt>
                <c:pt idx="385">
                  <c:v>13265.809999999945</c:v>
                </c:pt>
                <c:pt idx="386">
                  <c:v>13265.809999999945</c:v>
                </c:pt>
                <c:pt idx="387">
                  <c:v>13265.809999999947</c:v>
                </c:pt>
                <c:pt idx="388">
                  <c:v>13606.519999999948</c:v>
                </c:pt>
                <c:pt idx="389">
                  <c:v>14014.879999999948</c:v>
                </c:pt>
                <c:pt idx="390">
                  <c:v>14257.189999999948</c:v>
                </c:pt>
                <c:pt idx="391">
                  <c:v>14230.949999999948</c:v>
                </c:pt>
                <c:pt idx="392">
                  <c:v>14209.629999999948</c:v>
                </c:pt>
                <c:pt idx="393">
                  <c:v>14515.899999999947</c:v>
                </c:pt>
                <c:pt idx="394">
                  <c:v>14742.629999999948</c:v>
                </c:pt>
                <c:pt idx="395">
                  <c:v>15021.429999999948</c:v>
                </c:pt>
                <c:pt idx="396">
                  <c:v>15445.779999999948</c:v>
                </c:pt>
                <c:pt idx="397">
                  <c:v>14925.899999999947</c:v>
                </c:pt>
                <c:pt idx="398">
                  <c:v>14995.189999999948</c:v>
                </c:pt>
                <c:pt idx="399">
                  <c:v>14995.189999999937</c:v>
                </c:pt>
                <c:pt idx="400">
                  <c:v>15178.879999999939</c:v>
                </c:pt>
                <c:pt idx="401">
                  <c:v>14971.399999999936</c:v>
                </c:pt>
                <c:pt idx="402">
                  <c:v>14817.739999999936</c:v>
                </c:pt>
                <c:pt idx="403">
                  <c:v>14817.739999999936</c:v>
                </c:pt>
                <c:pt idx="404">
                  <c:v>14817.739999999936</c:v>
                </c:pt>
                <c:pt idx="405">
                  <c:v>14817.739999999943</c:v>
                </c:pt>
                <c:pt idx="406">
                  <c:v>15059.929999999946</c:v>
                </c:pt>
                <c:pt idx="407">
                  <c:v>15092.689999999944</c:v>
                </c:pt>
                <c:pt idx="408">
                  <c:v>14860.249999999945</c:v>
                </c:pt>
                <c:pt idx="409">
                  <c:v>14270.569999999945</c:v>
                </c:pt>
                <c:pt idx="410">
                  <c:v>14270.569999999945</c:v>
                </c:pt>
                <c:pt idx="411">
                  <c:v>14270.569999999945</c:v>
                </c:pt>
                <c:pt idx="412">
                  <c:v>14270.569999999945</c:v>
                </c:pt>
                <c:pt idx="413">
                  <c:v>14270.569999999945</c:v>
                </c:pt>
                <c:pt idx="414">
                  <c:v>14270.569999999945</c:v>
                </c:pt>
                <c:pt idx="415">
                  <c:v>14270.569999999945</c:v>
                </c:pt>
                <c:pt idx="416">
                  <c:v>14270.569999999945</c:v>
                </c:pt>
                <c:pt idx="417">
                  <c:v>14270.569999999945</c:v>
                </c:pt>
                <c:pt idx="418">
                  <c:v>14270.569999999952</c:v>
                </c:pt>
                <c:pt idx="419">
                  <c:v>14369.46999999995</c:v>
                </c:pt>
                <c:pt idx="420">
                  <c:v>14106.739999999952</c:v>
                </c:pt>
                <c:pt idx="421">
                  <c:v>14294.649999999951</c:v>
                </c:pt>
                <c:pt idx="422">
                  <c:v>13941.619999999952</c:v>
                </c:pt>
                <c:pt idx="423">
                  <c:v>13941.619999999959</c:v>
                </c:pt>
                <c:pt idx="424">
                  <c:v>13816.459999999959</c:v>
                </c:pt>
                <c:pt idx="425">
                  <c:v>13816.459999999957</c:v>
                </c:pt>
                <c:pt idx="426">
                  <c:v>13754.139999999956</c:v>
                </c:pt>
                <c:pt idx="427">
                  <c:v>14333.059999999956</c:v>
                </c:pt>
                <c:pt idx="428">
                  <c:v>14213.339999999956</c:v>
                </c:pt>
                <c:pt idx="429">
                  <c:v>14387.589999999956</c:v>
                </c:pt>
                <c:pt idx="430">
                  <c:v>14002.599999999955</c:v>
                </c:pt>
                <c:pt idx="431">
                  <c:v>14002.599999999955</c:v>
                </c:pt>
                <c:pt idx="432">
                  <c:v>14002.599999999955</c:v>
                </c:pt>
                <c:pt idx="433">
                  <c:v>14002.599999999955</c:v>
                </c:pt>
                <c:pt idx="434">
                  <c:v>14002.599999999955</c:v>
                </c:pt>
                <c:pt idx="435">
                  <c:v>14002.599999999949</c:v>
                </c:pt>
                <c:pt idx="436">
                  <c:v>14395.399999999952</c:v>
                </c:pt>
                <c:pt idx="437">
                  <c:v>14325.799999999952</c:v>
                </c:pt>
                <c:pt idx="438">
                  <c:v>14727.799999999952</c:v>
                </c:pt>
                <c:pt idx="439">
                  <c:v>14660.19999999995</c:v>
                </c:pt>
                <c:pt idx="440">
                  <c:v>14334.999999999951</c:v>
                </c:pt>
                <c:pt idx="441">
                  <c:v>14433.79999999995</c:v>
                </c:pt>
                <c:pt idx="442">
                  <c:v>14433.799999999961</c:v>
                </c:pt>
                <c:pt idx="443">
                  <c:v>14376.469999999959</c:v>
                </c:pt>
                <c:pt idx="444">
                  <c:v>14399.089999999962</c:v>
                </c:pt>
                <c:pt idx="445">
                  <c:v>13970.479999999961</c:v>
                </c:pt>
                <c:pt idx="446">
                  <c:v>13970.479999999961</c:v>
                </c:pt>
                <c:pt idx="447">
                  <c:v>13970.479999999961</c:v>
                </c:pt>
                <c:pt idx="448">
                  <c:v>13970.479999999961</c:v>
                </c:pt>
                <c:pt idx="449">
                  <c:v>13970.479999999949</c:v>
                </c:pt>
                <c:pt idx="450">
                  <c:v>13976.71999999995</c:v>
                </c:pt>
                <c:pt idx="451">
                  <c:v>13786.399999999951</c:v>
                </c:pt>
                <c:pt idx="452">
                  <c:v>13693.189999999951</c:v>
                </c:pt>
                <c:pt idx="453">
                  <c:v>13693.189999999951</c:v>
                </c:pt>
                <c:pt idx="454">
                  <c:v>13693.189999999944</c:v>
                </c:pt>
                <c:pt idx="455">
                  <c:v>13796.549999999943</c:v>
                </c:pt>
                <c:pt idx="456">
                  <c:v>13777.549999999943</c:v>
                </c:pt>
                <c:pt idx="457">
                  <c:v>13556.769999999942</c:v>
                </c:pt>
                <c:pt idx="458">
                  <c:v>13556.769999999942</c:v>
                </c:pt>
                <c:pt idx="459">
                  <c:v>13556.769999999942</c:v>
                </c:pt>
                <c:pt idx="460">
                  <c:v>13556.769999999942</c:v>
                </c:pt>
                <c:pt idx="461">
                  <c:v>13556.76999999994</c:v>
                </c:pt>
                <c:pt idx="462">
                  <c:v>13521.98999999994</c:v>
                </c:pt>
                <c:pt idx="463">
                  <c:v>13650.74999999994</c:v>
                </c:pt>
                <c:pt idx="464">
                  <c:v>14072.91999999994</c:v>
                </c:pt>
                <c:pt idx="465">
                  <c:v>14153.209999999939</c:v>
                </c:pt>
                <c:pt idx="466">
                  <c:v>14345.23999999994</c:v>
                </c:pt>
                <c:pt idx="467">
                  <c:v>13978.93999999994</c:v>
                </c:pt>
                <c:pt idx="468">
                  <c:v>13978.93999999994</c:v>
                </c:pt>
                <c:pt idx="469">
                  <c:v>13978.93999999994</c:v>
                </c:pt>
                <c:pt idx="470">
                  <c:v>13978.93999999994</c:v>
                </c:pt>
                <c:pt idx="471">
                  <c:v>13978.93999999994</c:v>
                </c:pt>
                <c:pt idx="472">
                  <c:v>13978.93999999994</c:v>
                </c:pt>
                <c:pt idx="473">
                  <c:v>13978.93999999994</c:v>
                </c:pt>
                <c:pt idx="474">
                  <c:v>13978.93999999994</c:v>
                </c:pt>
                <c:pt idx="475">
                  <c:v>13978.93999999994</c:v>
                </c:pt>
                <c:pt idx="476">
                  <c:v>13978.939999999933</c:v>
                </c:pt>
                <c:pt idx="477">
                  <c:v>14243.339999999933</c:v>
                </c:pt>
                <c:pt idx="478">
                  <c:v>14518.139999999934</c:v>
                </c:pt>
                <c:pt idx="479">
                  <c:v>14530.939999999933</c:v>
                </c:pt>
                <c:pt idx="480">
                  <c:v>14592.939999999935</c:v>
                </c:pt>
                <c:pt idx="481">
                  <c:v>14035.339999999935</c:v>
                </c:pt>
                <c:pt idx="482">
                  <c:v>14035.339999999929</c:v>
                </c:pt>
                <c:pt idx="483">
                  <c:v>13996.729999999932</c:v>
                </c:pt>
                <c:pt idx="484">
                  <c:v>13996.729999999925</c:v>
                </c:pt>
                <c:pt idx="485">
                  <c:v>13992.439999999924</c:v>
                </c:pt>
                <c:pt idx="486">
                  <c:v>13992.439999999924</c:v>
                </c:pt>
                <c:pt idx="487">
                  <c:v>13992.439999999924</c:v>
                </c:pt>
                <c:pt idx="488">
                  <c:v>14144.539999999923</c:v>
                </c:pt>
                <c:pt idx="489">
                  <c:v>13838.779999999924</c:v>
                </c:pt>
                <c:pt idx="490">
                  <c:v>13577.089999999926</c:v>
                </c:pt>
                <c:pt idx="491">
                  <c:v>13577.089999999926</c:v>
                </c:pt>
                <c:pt idx="492">
                  <c:v>13577.089999999926</c:v>
                </c:pt>
                <c:pt idx="493">
                  <c:v>13577.089999999926</c:v>
                </c:pt>
                <c:pt idx="494">
                  <c:v>13577.089999999926</c:v>
                </c:pt>
                <c:pt idx="495">
                  <c:v>13577.089999999926</c:v>
                </c:pt>
                <c:pt idx="496">
                  <c:v>13577.089999999926</c:v>
                </c:pt>
                <c:pt idx="497">
                  <c:v>13577.089999999918</c:v>
                </c:pt>
                <c:pt idx="498">
                  <c:v>13159.089999999918</c:v>
                </c:pt>
                <c:pt idx="499">
                  <c:v>12286.289999999919</c:v>
                </c:pt>
                <c:pt idx="500">
                  <c:v>12286.289999999919</c:v>
                </c:pt>
                <c:pt idx="501">
                  <c:v>12286.289999999919</c:v>
                </c:pt>
                <c:pt idx="502">
                  <c:v>12286.289999999924</c:v>
                </c:pt>
                <c:pt idx="503">
                  <c:v>12219.889999999923</c:v>
                </c:pt>
                <c:pt idx="504">
                  <c:v>12219.88999999993</c:v>
                </c:pt>
                <c:pt idx="505">
                  <c:v>12219.88999999993</c:v>
                </c:pt>
                <c:pt idx="506">
                  <c:v>12219.889999999938</c:v>
                </c:pt>
                <c:pt idx="507">
                  <c:v>11965.289999999939</c:v>
                </c:pt>
                <c:pt idx="508">
                  <c:v>12064.089999999938</c:v>
                </c:pt>
                <c:pt idx="509">
                  <c:v>12109.689999999939</c:v>
                </c:pt>
                <c:pt idx="510">
                  <c:v>12109.689999999944</c:v>
                </c:pt>
                <c:pt idx="511">
                  <c:v>11869.909999999945</c:v>
                </c:pt>
                <c:pt idx="512">
                  <c:v>11869.909999999945</c:v>
                </c:pt>
                <c:pt idx="513">
                  <c:v>11677.139999999947</c:v>
                </c:pt>
                <c:pt idx="514">
                  <c:v>11677.139999999952</c:v>
                </c:pt>
                <c:pt idx="515">
                  <c:v>11723.759999999951</c:v>
                </c:pt>
                <c:pt idx="516">
                  <c:v>11723.759999999957</c:v>
                </c:pt>
                <c:pt idx="517">
                  <c:v>11363.399999999956</c:v>
                </c:pt>
                <c:pt idx="518">
                  <c:v>11363.399999999956</c:v>
                </c:pt>
                <c:pt idx="519">
                  <c:v>11363.399999999956</c:v>
                </c:pt>
                <c:pt idx="520">
                  <c:v>11363.399999999956</c:v>
                </c:pt>
                <c:pt idx="521">
                  <c:v>11363.399999999956</c:v>
                </c:pt>
                <c:pt idx="522">
                  <c:v>11363.399999999951</c:v>
                </c:pt>
                <c:pt idx="523">
                  <c:v>11290.679999999949</c:v>
                </c:pt>
                <c:pt idx="524">
                  <c:v>11430.71999999995</c:v>
                </c:pt>
                <c:pt idx="525">
                  <c:v>11926.79999999995</c:v>
                </c:pt>
                <c:pt idx="526">
                  <c:v>12363.119999999948</c:v>
                </c:pt>
                <c:pt idx="527">
                  <c:v>12291.119999999948</c:v>
                </c:pt>
                <c:pt idx="528">
                  <c:v>12250.079999999949</c:v>
                </c:pt>
                <c:pt idx="529">
                  <c:v>12450.239999999949</c:v>
                </c:pt>
                <c:pt idx="530">
                  <c:v>12285.35999999995</c:v>
                </c:pt>
                <c:pt idx="531">
                  <c:v>12285.35999999995</c:v>
                </c:pt>
                <c:pt idx="532">
                  <c:v>12285.35999999995</c:v>
                </c:pt>
                <c:pt idx="533">
                  <c:v>12285.35999999995</c:v>
                </c:pt>
                <c:pt idx="534">
                  <c:v>12285.35999999995</c:v>
                </c:pt>
                <c:pt idx="535">
                  <c:v>12285.35999999995</c:v>
                </c:pt>
                <c:pt idx="536">
                  <c:v>12285.35999999995</c:v>
                </c:pt>
                <c:pt idx="537">
                  <c:v>12285.35999999995</c:v>
                </c:pt>
                <c:pt idx="538">
                  <c:v>12285.35999999995</c:v>
                </c:pt>
                <c:pt idx="539">
                  <c:v>12285.359999999946</c:v>
                </c:pt>
                <c:pt idx="540">
                  <c:v>12160.719999999947</c:v>
                </c:pt>
                <c:pt idx="541">
                  <c:v>12060.779999999946</c:v>
                </c:pt>
                <c:pt idx="542">
                  <c:v>12135.259999999946</c:v>
                </c:pt>
                <c:pt idx="543">
                  <c:v>12135.259999999949</c:v>
                </c:pt>
                <c:pt idx="544">
                  <c:v>12037.339999999949</c:v>
                </c:pt>
                <c:pt idx="545">
                  <c:v>12077.29999999995</c:v>
                </c:pt>
                <c:pt idx="546">
                  <c:v>12190.699999999948</c:v>
                </c:pt>
                <c:pt idx="547">
                  <c:v>12128.419999999951</c:v>
                </c:pt>
                <c:pt idx="548">
                  <c:v>12266.659999999949</c:v>
                </c:pt>
                <c:pt idx="549">
                  <c:v>12522.259999999949</c:v>
                </c:pt>
                <c:pt idx="550">
                  <c:v>12429.01999999995</c:v>
                </c:pt>
                <c:pt idx="551">
                  <c:v>12625.219999999948</c:v>
                </c:pt>
                <c:pt idx="552">
                  <c:v>12680.659999999949</c:v>
                </c:pt>
                <c:pt idx="553">
                  <c:v>12724.93999999995</c:v>
                </c:pt>
                <c:pt idx="554">
                  <c:v>12476.539999999948</c:v>
                </c:pt>
                <c:pt idx="555">
                  <c:v>12476.539999999948</c:v>
                </c:pt>
                <c:pt idx="556">
                  <c:v>12476.539999999948</c:v>
                </c:pt>
                <c:pt idx="557">
                  <c:v>12476.539999999944</c:v>
                </c:pt>
                <c:pt idx="558">
                  <c:v>12346.689999999944</c:v>
                </c:pt>
                <c:pt idx="559">
                  <c:v>12643.839999999946</c:v>
                </c:pt>
                <c:pt idx="560">
                  <c:v>12466.739999999945</c:v>
                </c:pt>
                <c:pt idx="561">
                  <c:v>12466.739999999945</c:v>
                </c:pt>
                <c:pt idx="562">
                  <c:v>12466.739999999945</c:v>
                </c:pt>
                <c:pt idx="563">
                  <c:v>12466.739999999945</c:v>
                </c:pt>
                <c:pt idx="564">
                  <c:v>12466.739999999945</c:v>
                </c:pt>
                <c:pt idx="565">
                  <c:v>11395.019999999946</c:v>
                </c:pt>
                <c:pt idx="566">
                  <c:v>11395.019999999946</c:v>
                </c:pt>
                <c:pt idx="567">
                  <c:v>11395.019999999946</c:v>
                </c:pt>
                <c:pt idx="568">
                  <c:v>11395.01999999995</c:v>
                </c:pt>
                <c:pt idx="569">
                  <c:v>11347.76999999995</c:v>
                </c:pt>
                <c:pt idx="570">
                  <c:v>11759.194999999949</c:v>
                </c:pt>
                <c:pt idx="571">
                  <c:v>11809.069999999949</c:v>
                </c:pt>
                <c:pt idx="572">
                  <c:v>11783.869999999948</c:v>
                </c:pt>
                <c:pt idx="573">
                  <c:v>11732.419999999949</c:v>
                </c:pt>
                <c:pt idx="574">
                  <c:v>11732.419999999947</c:v>
                </c:pt>
                <c:pt idx="575">
                  <c:v>11926.459999999946</c:v>
                </c:pt>
                <c:pt idx="576">
                  <c:v>12103.669999999947</c:v>
                </c:pt>
                <c:pt idx="577">
                  <c:v>11891.479999999947</c:v>
                </c:pt>
                <c:pt idx="578">
                  <c:v>11629.789999999946</c:v>
                </c:pt>
                <c:pt idx="579">
                  <c:v>11629.789999999946</c:v>
                </c:pt>
                <c:pt idx="580">
                  <c:v>11629.789999999946</c:v>
                </c:pt>
                <c:pt idx="581">
                  <c:v>11629.789999999946</c:v>
                </c:pt>
                <c:pt idx="582">
                  <c:v>11629.789999999946</c:v>
                </c:pt>
                <c:pt idx="583">
                  <c:v>11629.789999999946</c:v>
                </c:pt>
                <c:pt idx="584">
                  <c:v>11629.789999999946</c:v>
                </c:pt>
                <c:pt idx="585">
                  <c:v>11629.789999999946</c:v>
                </c:pt>
                <c:pt idx="586">
                  <c:v>11629.789999999941</c:v>
                </c:pt>
                <c:pt idx="587">
                  <c:v>11508.67999999994</c:v>
                </c:pt>
                <c:pt idx="588">
                  <c:v>11006.74999999994</c:v>
                </c:pt>
                <c:pt idx="589">
                  <c:v>11006.74999999994</c:v>
                </c:pt>
                <c:pt idx="590">
                  <c:v>11006.74999999994</c:v>
                </c:pt>
                <c:pt idx="591">
                  <c:v>11006.74999999994</c:v>
                </c:pt>
                <c:pt idx="592">
                  <c:v>11006.74999999994</c:v>
                </c:pt>
                <c:pt idx="593">
                  <c:v>11006.74999999994</c:v>
                </c:pt>
                <c:pt idx="594">
                  <c:v>11006.74999999994</c:v>
                </c:pt>
                <c:pt idx="595">
                  <c:v>11006.74999999994</c:v>
                </c:pt>
                <c:pt idx="596">
                  <c:v>11006.74999999994</c:v>
                </c:pt>
                <c:pt idx="597">
                  <c:v>11006.74999999994</c:v>
                </c:pt>
                <c:pt idx="598">
                  <c:v>11006.74999999994</c:v>
                </c:pt>
                <c:pt idx="599">
                  <c:v>11006.74999999994</c:v>
                </c:pt>
                <c:pt idx="600">
                  <c:v>11006.74999999994</c:v>
                </c:pt>
                <c:pt idx="601">
                  <c:v>11006.749999999938</c:v>
                </c:pt>
                <c:pt idx="602">
                  <c:v>11802.559999999939</c:v>
                </c:pt>
                <c:pt idx="603">
                  <c:v>12572.539999999939</c:v>
                </c:pt>
                <c:pt idx="604">
                  <c:v>12309.319999999942</c:v>
                </c:pt>
                <c:pt idx="605">
                  <c:v>11914.07999999994</c:v>
                </c:pt>
                <c:pt idx="606">
                  <c:v>12530.719999999939</c:v>
                </c:pt>
                <c:pt idx="607">
                  <c:v>12530.719999999932</c:v>
                </c:pt>
                <c:pt idx="608">
                  <c:v>12249.86999999993</c:v>
                </c:pt>
                <c:pt idx="609">
                  <c:v>12506.52999999993</c:v>
                </c:pt>
                <c:pt idx="610">
                  <c:v>12506.52999999993</c:v>
                </c:pt>
                <c:pt idx="611">
                  <c:v>12506.52999999993</c:v>
                </c:pt>
                <c:pt idx="612">
                  <c:v>12506.52999999993</c:v>
                </c:pt>
                <c:pt idx="613">
                  <c:v>12506.529999999932</c:v>
                </c:pt>
                <c:pt idx="614">
                  <c:v>12103.089999999933</c:v>
                </c:pt>
                <c:pt idx="615">
                  <c:v>11821.419999999933</c:v>
                </c:pt>
                <c:pt idx="616">
                  <c:v>11821.419999999933</c:v>
                </c:pt>
                <c:pt idx="617">
                  <c:v>11821.419999999933</c:v>
                </c:pt>
                <c:pt idx="618">
                  <c:v>11821.419999999944</c:v>
                </c:pt>
                <c:pt idx="619">
                  <c:v>12173.814999999944</c:v>
                </c:pt>
                <c:pt idx="620">
                  <c:v>12166.639999999945</c:v>
                </c:pt>
                <c:pt idx="621">
                  <c:v>12413.459999999945</c:v>
                </c:pt>
                <c:pt idx="622">
                  <c:v>12463.889999999945</c:v>
                </c:pt>
                <c:pt idx="623">
                  <c:v>11779.189999999944</c:v>
                </c:pt>
                <c:pt idx="624">
                  <c:v>11779.189999999944</c:v>
                </c:pt>
                <c:pt idx="625">
                  <c:v>11779.189999999931</c:v>
                </c:pt>
                <c:pt idx="626">
                  <c:v>11748.789999999934</c:v>
                </c:pt>
                <c:pt idx="627">
                  <c:v>11934.229999999934</c:v>
                </c:pt>
                <c:pt idx="628">
                  <c:v>11864.689999999931</c:v>
                </c:pt>
                <c:pt idx="629">
                  <c:v>11714.209999999934</c:v>
                </c:pt>
                <c:pt idx="630">
                  <c:v>11714.209999999934</c:v>
                </c:pt>
                <c:pt idx="631">
                  <c:v>11714.209999999934</c:v>
                </c:pt>
                <c:pt idx="632">
                  <c:v>11714.209999999934</c:v>
                </c:pt>
                <c:pt idx="633">
                  <c:v>11714.209999999934</c:v>
                </c:pt>
                <c:pt idx="634">
                  <c:v>11714.209999999934</c:v>
                </c:pt>
                <c:pt idx="635">
                  <c:v>11714.209999999934</c:v>
                </c:pt>
                <c:pt idx="636">
                  <c:v>11714.209999999934</c:v>
                </c:pt>
                <c:pt idx="637">
                  <c:v>11714.209999999939</c:v>
                </c:pt>
                <c:pt idx="638">
                  <c:v>11664.18999999994</c:v>
                </c:pt>
                <c:pt idx="639">
                  <c:v>11664.189999999931</c:v>
                </c:pt>
                <c:pt idx="640">
                  <c:v>11865.499999999931</c:v>
                </c:pt>
                <c:pt idx="641">
                  <c:v>12191.859999999931</c:v>
                </c:pt>
                <c:pt idx="642">
                  <c:v>11905.269999999931</c:v>
                </c:pt>
                <c:pt idx="643">
                  <c:v>12195.95999999993</c:v>
                </c:pt>
                <c:pt idx="644">
                  <c:v>12397.679999999931</c:v>
                </c:pt>
                <c:pt idx="645">
                  <c:v>12167.669999999931</c:v>
                </c:pt>
                <c:pt idx="646">
                  <c:v>13330.839999999931</c:v>
                </c:pt>
                <c:pt idx="647">
                  <c:v>13191.02999999993</c:v>
                </c:pt>
                <c:pt idx="648">
                  <c:v>13255.399999999932</c:v>
                </c:pt>
                <c:pt idx="649">
                  <c:v>13847.439999999931</c:v>
                </c:pt>
                <c:pt idx="650">
                  <c:v>14284.909999999931</c:v>
                </c:pt>
                <c:pt idx="651">
                  <c:v>14367.319999999931</c:v>
                </c:pt>
                <c:pt idx="652">
                  <c:v>14897.859999999931</c:v>
                </c:pt>
                <c:pt idx="653">
                  <c:v>14916.309999999932</c:v>
                </c:pt>
                <c:pt idx="654">
                  <c:v>15435.36999999993</c:v>
                </c:pt>
                <c:pt idx="655">
                  <c:v>14685.889999999932</c:v>
                </c:pt>
                <c:pt idx="656">
                  <c:v>14685.889999999939</c:v>
                </c:pt>
                <c:pt idx="657">
                  <c:v>14097.489999999938</c:v>
                </c:pt>
                <c:pt idx="658">
                  <c:v>14097.489999999938</c:v>
                </c:pt>
                <c:pt idx="659">
                  <c:v>14097.489999999938</c:v>
                </c:pt>
                <c:pt idx="660">
                  <c:v>14097.489999999938</c:v>
                </c:pt>
                <c:pt idx="661">
                  <c:v>14097.489999999938</c:v>
                </c:pt>
                <c:pt idx="662">
                  <c:v>14314.689999999939</c:v>
                </c:pt>
                <c:pt idx="663">
                  <c:v>14035.489999999938</c:v>
                </c:pt>
                <c:pt idx="664">
                  <c:v>13720.289999999937</c:v>
                </c:pt>
                <c:pt idx="665">
                  <c:v>13720.289999999937</c:v>
                </c:pt>
                <c:pt idx="666">
                  <c:v>13720.289999999937</c:v>
                </c:pt>
                <c:pt idx="667">
                  <c:v>13720.289999999937</c:v>
                </c:pt>
                <c:pt idx="668">
                  <c:v>13720.28999999993</c:v>
                </c:pt>
                <c:pt idx="669">
                  <c:v>13890.569999999931</c:v>
                </c:pt>
                <c:pt idx="670">
                  <c:v>13739.639999999928</c:v>
                </c:pt>
                <c:pt idx="671">
                  <c:v>13642.889999999928</c:v>
                </c:pt>
                <c:pt idx="672">
                  <c:v>13642.889999999928</c:v>
                </c:pt>
                <c:pt idx="673">
                  <c:v>13642.889999999928</c:v>
                </c:pt>
                <c:pt idx="674">
                  <c:v>13642.889999999925</c:v>
                </c:pt>
                <c:pt idx="675">
                  <c:v>13691.609999999926</c:v>
                </c:pt>
                <c:pt idx="676">
                  <c:v>13539.569999999925</c:v>
                </c:pt>
                <c:pt idx="677">
                  <c:v>13260.269999999924</c:v>
                </c:pt>
                <c:pt idx="678">
                  <c:v>13260.269999999924</c:v>
                </c:pt>
                <c:pt idx="679">
                  <c:v>13260.269999999924</c:v>
                </c:pt>
                <c:pt idx="680">
                  <c:v>13260.269999999924</c:v>
                </c:pt>
                <c:pt idx="681">
                  <c:v>13260.269999999933</c:v>
                </c:pt>
                <c:pt idx="682">
                  <c:v>12853.059999999934</c:v>
                </c:pt>
                <c:pt idx="683">
                  <c:v>12853.059999999934</c:v>
                </c:pt>
                <c:pt idx="684">
                  <c:v>12853.059999999934</c:v>
                </c:pt>
                <c:pt idx="685">
                  <c:v>12853.059999999929</c:v>
                </c:pt>
                <c:pt idx="686">
                  <c:v>14898.45999999993</c:v>
                </c:pt>
                <c:pt idx="687">
                  <c:v>14840.919999999931</c:v>
                </c:pt>
                <c:pt idx="688">
                  <c:v>14581.35999999993</c:v>
                </c:pt>
                <c:pt idx="689">
                  <c:v>16159.71999999993</c:v>
                </c:pt>
                <c:pt idx="690">
                  <c:v>15772.059999999929</c:v>
                </c:pt>
                <c:pt idx="691">
                  <c:v>15020.679999999929</c:v>
                </c:pt>
                <c:pt idx="692">
                  <c:v>15148.35999999993</c:v>
                </c:pt>
                <c:pt idx="693">
                  <c:v>15148.35999999993</c:v>
                </c:pt>
                <c:pt idx="694">
                  <c:v>15148.35999999993</c:v>
                </c:pt>
                <c:pt idx="695">
                  <c:v>15148.35999999993</c:v>
                </c:pt>
                <c:pt idx="696">
                  <c:v>15148.35999999993</c:v>
                </c:pt>
                <c:pt idx="697">
                  <c:v>15148.35999999993</c:v>
                </c:pt>
                <c:pt idx="698">
                  <c:v>15148.35999999993</c:v>
                </c:pt>
                <c:pt idx="699">
                  <c:v>15148.35999999993</c:v>
                </c:pt>
                <c:pt idx="700">
                  <c:v>15148.359999999939</c:v>
                </c:pt>
                <c:pt idx="701">
                  <c:v>15075.97999999994</c:v>
                </c:pt>
                <c:pt idx="702">
                  <c:v>15203.819999999938</c:v>
                </c:pt>
                <c:pt idx="703">
                  <c:v>15036.969999999937</c:v>
                </c:pt>
                <c:pt idx="704">
                  <c:v>15036.969999999937</c:v>
                </c:pt>
                <c:pt idx="705">
                  <c:v>15036.969999999937</c:v>
                </c:pt>
                <c:pt idx="706">
                  <c:v>15036.969999999937</c:v>
                </c:pt>
                <c:pt idx="707">
                  <c:v>15036.969999999937</c:v>
                </c:pt>
                <c:pt idx="708">
                  <c:v>15036.969999999937</c:v>
                </c:pt>
                <c:pt idx="709">
                  <c:v>15036.969999999937</c:v>
                </c:pt>
                <c:pt idx="710">
                  <c:v>15036.969999999937</c:v>
                </c:pt>
                <c:pt idx="711">
                  <c:v>15036.969999999937</c:v>
                </c:pt>
                <c:pt idx="712">
                  <c:v>15036.969999999937</c:v>
                </c:pt>
                <c:pt idx="713">
                  <c:v>14721.849999999937</c:v>
                </c:pt>
                <c:pt idx="714">
                  <c:v>14721.84999999992</c:v>
                </c:pt>
                <c:pt idx="715">
                  <c:v>14667.849999999917</c:v>
                </c:pt>
                <c:pt idx="716">
                  <c:v>14954.849999999919</c:v>
                </c:pt>
                <c:pt idx="717">
                  <c:v>14936.849999999917</c:v>
                </c:pt>
                <c:pt idx="718">
                  <c:v>14442.849999999917</c:v>
                </c:pt>
                <c:pt idx="719">
                  <c:v>14442.8499999999</c:v>
                </c:pt>
                <c:pt idx="720">
                  <c:v>14409.729999999901</c:v>
                </c:pt>
                <c:pt idx="721">
                  <c:v>14446.689999999904</c:v>
                </c:pt>
                <c:pt idx="722">
                  <c:v>14474.529999999901</c:v>
                </c:pt>
                <c:pt idx="723">
                  <c:v>14537.409999999902</c:v>
                </c:pt>
                <c:pt idx="724">
                  <c:v>14949.729999999901</c:v>
                </c:pt>
                <c:pt idx="725">
                  <c:v>14850.8499999999</c:v>
                </c:pt>
                <c:pt idx="726">
                  <c:v>12798.8499999999</c:v>
                </c:pt>
                <c:pt idx="727">
                  <c:v>12798.849999999893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5A-4A84-9235-1BA478F49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921263"/>
        <c:axId val="312920015"/>
      </c:scatterChart>
      <c:valAx>
        <c:axId val="312921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20015"/>
        <c:crosses val="autoZero"/>
        <c:crossBetween val="midCat"/>
      </c:valAx>
      <c:valAx>
        <c:axId val="312920015"/>
        <c:scaling>
          <c:orientation val="minMax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21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C$1" horiz="1" max="30" min="1" page="10" val="12"/>
</file>

<file path=xl/ctrlProps/ctrlProp2.xml><?xml version="1.0" encoding="utf-8"?>
<formControlPr xmlns="http://schemas.microsoft.com/office/spreadsheetml/2009/9/main" objectType="Scroll" dx="22" fmlaLink="$D$1" horiz="1" max="30" page="10" val="3"/>
</file>

<file path=xl/ctrlProps/ctrlProp3.xml><?xml version="1.0" encoding="utf-8"?>
<formControlPr xmlns="http://schemas.microsoft.com/office/spreadsheetml/2009/9/main" objectType="Scroll" dx="22" fmlaLink="$C$1" horiz="1" max="30" min="1" page="10" val="12"/>
</file>

<file path=xl/ctrlProps/ctrlProp4.xml><?xml version="1.0" encoding="utf-8"?>
<formControlPr xmlns="http://schemas.microsoft.com/office/spreadsheetml/2009/9/main" objectType="Scroll" dx="22" fmlaLink="$D$1" horiz="1" max="30" page="10" val="3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273843</xdr:colOff>
      <xdr:row>1</xdr:row>
      <xdr:rowOff>54767</xdr:rowOff>
    </xdr:from>
    <xdr:to>
      <xdr:col>28</xdr:col>
      <xdr:colOff>488154</xdr:colOff>
      <xdr:row>24</xdr:row>
      <xdr:rowOff>107154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95250</xdr:rowOff>
        </xdr:from>
        <xdr:to>
          <xdr:col>5</xdr:col>
          <xdr:colOff>542925</xdr:colOff>
          <xdr:row>3</xdr:row>
          <xdr:rowOff>152400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4</xdr:row>
          <xdr:rowOff>180975</xdr:rowOff>
        </xdr:from>
        <xdr:to>
          <xdr:col>5</xdr:col>
          <xdr:colOff>523875</xdr:colOff>
          <xdr:row>6</xdr:row>
          <xdr:rowOff>47625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297654</xdr:colOff>
      <xdr:row>24</xdr:row>
      <xdr:rowOff>183355</xdr:rowOff>
    </xdr:from>
    <xdr:to>
      <xdr:col>28</xdr:col>
      <xdr:colOff>476248</xdr:colOff>
      <xdr:row>45</xdr:row>
      <xdr:rowOff>142874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DEB38B4-FDBF-4014-AD29-8D08DB6860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273843</xdr:colOff>
      <xdr:row>1</xdr:row>
      <xdr:rowOff>54767</xdr:rowOff>
    </xdr:from>
    <xdr:to>
      <xdr:col>28</xdr:col>
      <xdr:colOff>488154</xdr:colOff>
      <xdr:row>24</xdr:row>
      <xdr:rowOff>107154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32A926-7414-4593-91D6-B0982F462B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95250</xdr:rowOff>
        </xdr:from>
        <xdr:to>
          <xdr:col>5</xdr:col>
          <xdr:colOff>542925</xdr:colOff>
          <xdr:row>3</xdr:row>
          <xdr:rowOff>152400</xdr:rowOff>
        </xdr:to>
        <xdr:sp macro="" textlink="">
          <xdr:nvSpPr>
            <xdr:cNvPr id="2049" name="Scroll Ba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AF47214C-97D4-4111-A047-BEA465E2DA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4</xdr:row>
          <xdr:rowOff>180975</xdr:rowOff>
        </xdr:from>
        <xdr:to>
          <xdr:col>5</xdr:col>
          <xdr:colOff>523875</xdr:colOff>
          <xdr:row>6</xdr:row>
          <xdr:rowOff>47625</xdr:rowOff>
        </xdr:to>
        <xdr:sp macro="" textlink="">
          <xdr:nvSpPr>
            <xdr:cNvPr id="2050" name="Scroll Ba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57CB058-B3D6-46A8-BAAF-D2B38BED7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297654</xdr:colOff>
      <xdr:row>24</xdr:row>
      <xdr:rowOff>183355</xdr:rowOff>
    </xdr:from>
    <xdr:to>
      <xdr:col>28</xdr:col>
      <xdr:colOff>476248</xdr:colOff>
      <xdr:row>45</xdr:row>
      <xdr:rowOff>142874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15D1D17-8ADA-49E1-86B9-BBEDE397B8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273843</xdr:colOff>
      <xdr:row>2</xdr:row>
      <xdr:rowOff>54767</xdr:rowOff>
    </xdr:from>
    <xdr:to>
      <xdr:col>28</xdr:col>
      <xdr:colOff>488154</xdr:colOff>
      <xdr:row>25</xdr:row>
      <xdr:rowOff>107154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093276-1E4A-471B-8179-7A8F45951E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297654</xdr:colOff>
      <xdr:row>25</xdr:row>
      <xdr:rowOff>183355</xdr:rowOff>
    </xdr:from>
    <xdr:to>
      <xdr:col>28</xdr:col>
      <xdr:colOff>476248</xdr:colOff>
      <xdr:row>46</xdr:row>
      <xdr:rowOff>142874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77FB564-801D-4B02-88EE-8662EE803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535781</xdr:colOff>
      <xdr:row>3</xdr:row>
      <xdr:rowOff>42861</xdr:rowOff>
    </xdr:from>
    <xdr:to>
      <xdr:col>35</xdr:col>
      <xdr:colOff>142874</xdr:colOff>
      <xdr:row>37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A9540B-57B4-4B9D-A2AA-D2B86A58B6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523872</xdr:colOff>
      <xdr:row>33</xdr:row>
      <xdr:rowOff>178594</xdr:rowOff>
    </xdr:from>
    <xdr:to>
      <xdr:col>35</xdr:col>
      <xdr:colOff>95248</xdr:colOff>
      <xdr:row>50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BE6C81A-8B03-45D8-9708-A5A9CA297D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1</cdr:x>
      <cdr:y>0.21749</cdr:y>
    </cdr:from>
    <cdr:to>
      <cdr:x>1</cdr:x>
      <cdr:y>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5AC57E85-5F9C-46FC-9627-2BA6D019AFD2}"/>
            </a:ext>
          </a:extLst>
        </cdr:cNvPr>
        <cdr:cNvCxnSpPr/>
      </cdr:nvCxnSpPr>
      <cdr:spPr>
        <a:xfrm xmlns:a="http://schemas.openxmlformats.org/drawingml/2006/main">
          <a:off x="12159457" y="1503363"/>
          <a:ext cx="0" cy="5072062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accent6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58"/>
  <sheetViews>
    <sheetView zoomScale="80" zoomScaleNormal="80" workbookViewId="0">
      <selection activeCell="D30" sqref="D30"/>
    </sheetView>
  </sheetViews>
  <sheetFormatPr defaultRowHeight="15"/>
  <cols>
    <col min="1" max="1" width="11.5703125" bestFit="1" customWidth="1"/>
    <col min="3" max="4" width="13.42578125" bestFit="1" customWidth="1"/>
  </cols>
  <sheetData>
    <row r="1" spans="1:11">
      <c r="C1">
        <v>12</v>
      </c>
      <c r="D1">
        <v>3</v>
      </c>
    </row>
    <row r="2" spans="1:11">
      <c r="A2" t="s">
        <v>0</v>
      </c>
      <c r="B2" t="s">
        <v>1</v>
      </c>
      <c r="C2" t="str">
        <f>TEXT(C1,"0")&amp;"-average"</f>
        <v>12-average</v>
      </c>
      <c r="D2" t="str">
        <f>TEXT(D1,"0")&amp;"-average"</f>
        <v>3-average</v>
      </c>
    </row>
    <row r="3" spans="1:11">
      <c r="A3" s="1">
        <v>42292</v>
      </c>
      <c r="B3">
        <v>221.31</v>
      </c>
      <c r="D3" s="2"/>
    </row>
    <row r="4" spans="1:11">
      <c r="A4" s="1">
        <v>42293</v>
      </c>
      <c r="B4">
        <v>227.01</v>
      </c>
      <c r="D4" s="2"/>
    </row>
    <row r="5" spans="1:11">
      <c r="A5" s="1">
        <v>42296</v>
      </c>
      <c r="B5">
        <v>228.1</v>
      </c>
      <c r="D5" s="2"/>
    </row>
    <row r="6" spans="1:11">
      <c r="A6" s="1">
        <v>42297</v>
      </c>
      <c r="B6">
        <v>213.03</v>
      </c>
      <c r="D6" s="2"/>
    </row>
    <row r="7" spans="1:11">
      <c r="A7" s="1">
        <v>42298</v>
      </c>
      <c r="B7">
        <v>210.09</v>
      </c>
      <c r="D7" s="2"/>
    </row>
    <row r="8" spans="1:11">
      <c r="A8" s="1">
        <v>42299</v>
      </c>
      <c r="B8">
        <v>211.72</v>
      </c>
      <c r="D8" s="2"/>
    </row>
    <row r="9" spans="1:11">
      <c r="A9" s="1">
        <v>42300</v>
      </c>
      <c r="B9">
        <v>209.09</v>
      </c>
      <c r="D9" s="2"/>
    </row>
    <row r="10" spans="1:11">
      <c r="A10" s="1">
        <v>42303</v>
      </c>
      <c r="B10">
        <v>215.26</v>
      </c>
      <c r="D10" s="2"/>
    </row>
    <row r="11" spans="1:11">
      <c r="A11" s="1">
        <v>42304</v>
      </c>
      <c r="B11">
        <v>210.35</v>
      </c>
      <c r="C11" s="2"/>
      <c r="D11" s="2"/>
    </row>
    <row r="12" spans="1:11">
      <c r="A12" s="1">
        <v>42305</v>
      </c>
      <c r="B12">
        <v>212.96</v>
      </c>
      <c r="C12" s="2"/>
      <c r="D12" s="2"/>
    </row>
    <row r="13" spans="1:11">
      <c r="A13" s="1">
        <v>42306</v>
      </c>
      <c r="B13">
        <v>211.63</v>
      </c>
      <c r="C13" s="2"/>
      <c r="D13" s="2"/>
    </row>
    <row r="14" spans="1:11">
      <c r="A14" s="1">
        <v>42307</v>
      </c>
      <c r="B14">
        <v>206.93</v>
      </c>
      <c r="C14" s="2"/>
      <c r="D14" s="2"/>
    </row>
    <row r="15" spans="1:11">
      <c r="A15" s="1">
        <v>42310</v>
      </c>
      <c r="B15">
        <v>213.79</v>
      </c>
      <c r="C15" s="2"/>
      <c r="D15" s="2"/>
      <c r="K15">
        <f>K16/H21</f>
        <v>0.47996800000001294</v>
      </c>
    </row>
    <row r="16" spans="1:11">
      <c r="A16" s="1">
        <v>42311</v>
      </c>
      <c r="B16">
        <v>208.35</v>
      </c>
      <c r="C16" s="2"/>
      <c r="D16" s="2"/>
      <c r="J16" t="s">
        <v>8</v>
      </c>
      <c r="K16">
        <f>K21-H21</f>
        <v>4799.6800000001294</v>
      </c>
    </row>
    <row r="17" spans="1:11">
      <c r="A17" s="1">
        <v>42312</v>
      </c>
      <c r="B17">
        <v>231.63</v>
      </c>
      <c r="C17" s="2"/>
      <c r="D17" s="2"/>
    </row>
    <row r="18" spans="1:11">
      <c r="A18" s="1">
        <v>42313</v>
      </c>
      <c r="B18">
        <v>231.77</v>
      </c>
      <c r="C18" s="2"/>
      <c r="D18" s="2"/>
    </row>
    <row r="19" spans="1:11">
      <c r="A19" s="1">
        <v>42314</v>
      </c>
      <c r="B19">
        <v>232.36</v>
      </c>
      <c r="C19" s="2"/>
      <c r="D19" s="2"/>
      <c r="F19" t="s">
        <v>2</v>
      </c>
      <c r="G19" t="s">
        <v>3</v>
      </c>
      <c r="H19" t="s">
        <v>4</v>
      </c>
      <c r="I19" t="s">
        <v>5</v>
      </c>
      <c r="J19" t="s">
        <v>6</v>
      </c>
      <c r="K19" t="s">
        <v>7</v>
      </c>
    </row>
    <row r="20" spans="1:11">
      <c r="A20" s="1">
        <v>42317</v>
      </c>
      <c r="B20">
        <v>225.33</v>
      </c>
      <c r="C20" s="2"/>
      <c r="D20" s="2"/>
    </row>
    <row r="21" spans="1:11">
      <c r="A21" s="1">
        <v>42318</v>
      </c>
      <c r="B21">
        <v>216.5</v>
      </c>
      <c r="C21" s="2"/>
      <c r="D21" s="2"/>
      <c r="F21" s="2">
        <v>10000</v>
      </c>
      <c r="G21">
        <v>0</v>
      </c>
      <c r="H21">
        <f>G21+F21</f>
        <v>10000</v>
      </c>
      <c r="I21">
        <f>MAX(H21:H758)</f>
        <v>20911.620000000064</v>
      </c>
      <c r="J21">
        <f>MIN(H21:H758)</f>
        <v>9541.619999999999</v>
      </c>
      <c r="K21">
        <f>H750</f>
        <v>14799.680000000129</v>
      </c>
    </row>
    <row r="22" spans="1:11">
      <c r="A22" s="1">
        <v>42319</v>
      </c>
      <c r="B22">
        <v>219.08</v>
      </c>
      <c r="C22" s="2"/>
      <c r="D22" s="2"/>
      <c r="F22">
        <v>10000</v>
      </c>
      <c r="G22">
        <v>0</v>
      </c>
      <c r="H22">
        <f t="shared" ref="H22:H85" si="0">G22+F22</f>
        <v>10000</v>
      </c>
    </row>
    <row r="23" spans="1:11">
      <c r="A23" s="1">
        <v>42320</v>
      </c>
      <c r="B23">
        <v>212.94</v>
      </c>
      <c r="C23" s="2"/>
      <c r="D23" s="2"/>
      <c r="F23">
        <v>10000</v>
      </c>
      <c r="G23">
        <v>0</v>
      </c>
      <c r="H23">
        <f t="shared" si="0"/>
        <v>10000</v>
      </c>
    </row>
    <row r="24" spans="1:11">
      <c r="A24" s="1">
        <v>42321</v>
      </c>
      <c r="B24">
        <v>207.19</v>
      </c>
      <c r="C24" s="2"/>
      <c r="D24" s="2"/>
      <c r="F24">
        <v>10000</v>
      </c>
      <c r="G24">
        <v>0</v>
      </c>
      <c r="H24">
        <f t="shared" si="0"/>
        <v>10000</v>
      </c>
    </row>
    <row r="25" spans="1:11">
      <c r="A25" s="1">
        <v>42324</v>
      </c>
      <c r="B25">
        <v>214.31</v>
      </c>
      <c r="C25" s="2"/>
      <c r="D25" s="2"/>
      <c r="F25">
        <v>10000</v>
      </c>
      <c r="G25">
        <v>0</v>
      </c>
      <c r="H25">
        <f t="shared" si="0"/>
        <v>10000</v>
      </c>
    </row>
    <row r="26" spans="1:11">
      <c r="A26" s="1">
        <v>42325</v>
      </c>
      <c r="B26">
        <v>214</v>
      </c>
      <c r="C26" s="2"/>
      <c r="D26" s="2"/>
      <c r="F26">
        <v>10000</v>
      </c>
      <c r="G26">
        <v>0</v>
      </c>
      <c r="H26">
        <f t="shared" si="0"/>
        <v>10000</v>
      </c>
    </row>
    <row r="27" spans="1:11">
      <c r="A27" s="1">
        <v>42326</v>
      </c>
      <c r="B27">
        <v>221.07</v>
      </c>
      <c r="C27" s="2"/>
      <c r="D27" s="2"/>
      <c r="F27">
        <v>10000</v>
      </c>
      <c r="G27">
        <v>0</v>
      </c>
      <c r="H27">
        <f t="shared" si="0"/>
        <v>10000</v>
      </c>
    </row>
    <row r="28" spans="1:11">
      <c r="A28" s="1">
        <v>42327</v>
      </c>
      <c r="B28">
        <v>221.8</v>
      </c>
      <c r="C28" s="2"/>
      <c r="D28" s="2">
        <f t="shared" ref="D21:D68" ca="1" si="1">AVERAGE(INDIRECT(ADDRESS(ROW()-$D$1,COLUMN()-2)&amp;":"&amp;ADDRESS(ROW()-1,COLUMN()-2)))</f>
        <v>216.46</v>
      </c>
      <c r="F28">
        <v>10000</v>
      </c>
      <c r="G28">
        <v>0</v>
      </c>
      <c r="H28">
        <f t="shared" si="0"/>
        <v>10000</v>
      </c>
    </row>
    <row r="29" spans="1:11">
      <c r="A29" s="1">
        <v>42328</v>
      </c>
      <c r="B29">
        <v>220.01</v>
      </c>
      <c r="C29" s="2"/>
      <c r="D29" s="2">
        <f t="shared" ca="1" si="1"/>
        <v>218.95666666666668</v>
      </c>
      <c r="F29">
        <v>10000</v>
      </c>
      <c r="G29">
        <v>0</v>
      </c>
      <c r="H29">
        <f t="shared" si="0"/>
        <v>10000</v>
      </c>
    </row>
    <row r="30" spans="1:11">
      <c r="A30" s="1">
        <v>42331</v>
      </c>
      <c r="B30">
        <v>217.75</v>
      </c>
      <c r="C30" s="2"/>
      <c r="D30" s="2">
        <f t="shared" ca="1" si="1"/>
        <v>220.96</v>
      </c>
      <c r="F30">
        <v>10000</v>
      </c>
      <c r="G30">
        <v>0</v>
      </c>
      <c r="H30">
        <f t="shared" si="0"/>
        <v>10000</v>
      </c>
    </row>
    <row r="31" spans="1:11">
      <c r="A31" s="1">
        <v>42332</v>
      </c>
      <c r="B31">
        <v>218.25</v>
      </c>
      <c r="C31" s="2"/>
      <c r="D31" s="2">
        <f t="shared" ca="1" si="1"/>
        <v>219.85333333333332</v>
      </c>
      <c r="F31">
        <v>10000</v>
      </c>
      <c r="G31">
        <v>0</v>
      </c>
      <c r="H31">
        <f t="shared" si="0"/>
        <v>10000</v>
      </c>
    </row>
    <row r="32" spans="1:11">
      <c r="A32" s="1">
        <v>42333</v>
      </c>
      <c r="B32">
        <v>229.64</v>
      </c>
      <c r="C32" s="2"/>
      <c r="D32" s="2">
        <f t="shared" ca="1" si="1"/>
        <v>218.67</v>
      </c>
      <c r="F32">
        <v>10000</v>
      </c>
      <c r="G32">
        <v>0</v>
      </c>
      <c r="H32">
        <f t="shared" si="0"/>
        <v>10000</v>
      </c>
    </row>
    <row r="33" spans="1:8">
      <c r="A33" s="1">
        <v>42335</v>
      </c>
      <c r="B33">
        <v>231.61</v>
      </c>
      <c r="C33" s="2"/>
      <c r="D33" s="2">
        <f t="shared" ca="1" si="1"/>
        <v>221.88</v>
      </c>
      <c r="F33">
        <v>10000</v>
      </c>
      <c r="G33">
        <v>0</v>
      </c>
      <c r="H33">
        <f t="shared" si="0"/>
        <v>10000</v>
      </c>
    </row>
    <row r="34" spans="1:8">
      <c r="A34" s="1">
        <v>42338</v>
      </c>
      <c r="B34">
        <v>230.26</v>
      </c>
      <c r="C34" s="2"/>
      <c r="D34" s="2">
        <f t="shared" ca="1" si="1"/>
        <v>226.5</v>
      </c>
      <c r="F34">
        <v>10000</v>
      </c>
      <c r="G34">
        <v>0</v>
      </c>
      <c r="H34">
        <f t="shared" si="0"/>
        <v>10000</v>
      </c>
    </row>
    <row r="35" spans="1:8">
      <c r="A35" s="1">
        <v>42339</v>
      </c>
      <c r="B35">
        <v>237.19</v>
      </c>
      <c r="C35" s="2"/>
      <c r="D35" s="2">
        <f t="shared" ca="1" si="1"/>
        <v>230.50333333333333</v>
      </c>
      <c r="F35">
        <v>10000</v>
      </c>
      <c r="G35">
        <v>0</v>
      </c>
      <c r="H35">
        <f t="shared" si="0"/>
        <v>10000</v>
      </c>
    </row>
    <row r="36" spans="1:8">
      <c r="A36" s="1">
        <v>42340</v>
      </c>
      <c r="B36">
        <v>231.99</v>
      </c>
      <c r="C36" s="2"/>
      <c r="D36" s="2">
        <f t="shared" ca="1" si="1"/>
        <v>233.01999999999998</v>
      </c>
      <c r="F36">
        <v>10000</v>
      </c>
      <c r="G36">
        <v>0</v>
      </c>
      <c r="H36">
        <f t="shared" si="0"/>
        <v>10000</v>
      </c>
    </row>
    <row r="37" spans="1:8">
      <c r="A37" s="1">
        <v>42341</v>
      </c>
      <c r="B37">
        <v>232.71</v>
      </c>
      <c r="C37" s="2"/>
      <c r="D37" s="2">
        <f t="shared" ca="1" si="1"/>
        <v>233.14666666666668</v>
      </c>
      <c r="F37">
        <v>10000</v>
      </c>
      <c r="G37">
        <v>0</v>
      </c>
      <c r="H37">
        <f t="shared" si="0"/>
        <v>10000</v>
      </c>
    </row>
    <row r="38" spans="1:8">
      <c r="A38" s="1">
        <v>42342</v>
      </c>
      <c r="B38">
        <v>230.38</v>
      </c>
      <c r="C38" s="2"/>
      <c r="D38" s="2">
        <f t="shared" ca="1" si="1"/>
        <v>233.96333333333334</v>
      </c>
      <c r="F38">
        <v>10000</v>
      </c>
      <c r="G38">
        <v>0</v>
      </c>
      <c r="H38">
        <f t="shared" si="0"/>
        <v>10000</v>
      </c>
    </row>
    <row r="39" spans="1:8">
      <c r="A39" s="1">
        <v>42345</v>
      </c>
      <c r="B39">
        <v>231.13</v>
      </c>
      <c r="C39" s="2"/>
      <c r="D39" s="2">
        <f t="shared" ca="1" si="1"/>
        <v>231.69333333333336</v>
      </c>
      <c r="F39">
        <v>10000</v>
      </c>
      <c r="G39">
        <v>0</v>
      </c>
      <c r="H39">
        <f t="shared" si="0"/>
        <v>10000</v>
      </c>
    </row>
    <row r="40" spans="1:8">
      <c r="A40" s="1">
        <v>42346</v>
      </c>
      <c r="B40">
        <v>226.72</v>
      </c>
      <c r="C40" s="2"/>
      <c r="D40" s="2">
        <f t="shared" ca="1" si="1"/>
        <v>231.40666666666667</v>
      </c>
      <c r="F40">
        <v>10000</v>
      </c>
      <c r="G40">
        <v>0</v>
      </c>
      <c r="H40">
        <f t="shared" si="0"/>
        <v>10000</v>
      </c>
    </row>
    <row r="41" spans="1:8">
      <c r="A41" s="1">
        <v>42347</v>
      </c>
      <c r="B41">
        <v>224.52</v>
      </c>
      <c r="C41" s="2"/>
      <c r="D41" s="2">
        <f t="shared" ca="1" si="1"/>
        <v>229.41</v>
      </c>
      <c r="F41">
        <v>10000</v>
      </c>
      <c r="G41">
        <v>0</v>
      </c>
      <c r="H41">
        <f t="shared" si="0"/>
        <v>10000</v>
      </c>
    </row>
    <row r="42" spans="1:8">
      <c r="A42" s="1">
        <v>42348</v>
      </c>
      <c r="B42">
        <v>227.07</v>
      </c>
      <c r="C42" s="2"/>
      <c r="D42" s="2">
        <f t="shared" ca="1" si="1"/>
        <v>227.45666666666668</v>
      </c>
      <c r="F42">
        <v>10000</v>
      </c>
      <c r="G42">
        <v>0</v>
      </c>
      <c r="H42">
        <f t="shared" si="0"/>
        <v>10000</v>
      </c>
    </row>
    <row r="43" spans="1:8">
      <c r="A43" s="1">
        <v>42349</v>
      </c>
      <c r="B43">
        <v>217.02</v>
      </c>
      <c r="C43" s="2"/>
      <c r="D43" s="2">
        <f t="shared" ca="1" si="1"/>
        <v>226.10333333333332</v>
      </c>
      <c r="F43">
        <v>10000</v>
      </c>
      <c r="G43">
        <v>0</v>
      </c>
      <c r="H43">
        <f t="shared" si="0"/>
        <v>10000</v>
      </c>
    </row>
    <row r="44" spans="1:8">
      <c r="A44" s="1">
        <v>42352</v>
      </c>
      <c r="B44">
        <v>218.58</v>
      </c>
      <c r="C44" s="2"/>
      <c r="D44" s="2">
        <f t="shared" ca="1" si="1"/>
        <v>222.87</v>
      </c>
      <c r="F44">
        <v>10000</v>
      </c>
      <c r="G44">
        <v>0</v>
      </c>
      <c r="H44">
        <f t="shared" si="0"/>
        <v>10000</v>
      </c>
    </row>
    <row r="45" spans="1:8">
      <c r="A45" s="1">
        <v>42353</v>
      </c>
      <c r="B45">
        <v>221.09</v>
      </c>
      <c r="C45" s="2"/>
      <c r="D45" s="2">
        <f t="shared" ca="1" si="1"/>
        <v>220.89000000000001</v>
      </c>
      <c r="F45">
        <v>10000</v>
      </c>
      <c r="G45">
        <v>0</v>
      </c>
      <c r="H45">
        <f t="shared" si="0"/>
        <v>10000</v>
      </c>
    </row>
    <row r="46" spans="1:8">
      <c r="A46" s="1">
        <v>42354</v>
      </c>
      <c r="B46">
        <v>234.51</v>
      </c>
      <c r="C46" s="2"/>
      <c r="D46" s="2">
        <f t="shared" ca="1" si="1"/>
        <v>218.89666666666668</v>
      </c>
      <c r="F46">
        <v>10000</v>
      </c>
      <c r="G46">
        <v>0</v>
      </c>
      <c r="H46">
        <f t="shared" si="0"/>
        <v>10000</v>
      </c>
    </row>
    <row r="47" spans="1:8">
      <c r="A47" s="1">
        <v>42355</v>
      </c>
      <c r="B47">
        <v>233.39</v>
      </c>
      <c r="C47" s="2"/>
      <c r="D47" s="2">
        <f t="shared" ca="1" si="1"/>
        <v>224.72666666666669</v>
      </c>
      <c r="F47">
        <v>10000</v>
      </c>
      <c r="G47">
        <v>0</v>
      </c>
      <c r="H47">
        <f t="shared" si="0"/>
        <v>10000</v>
      </c>
    </row>
    <row r="48" spans="1:8">
      <c r="A48" s="1">
        <v>42356</v>
      </c>
      <c r="B48">
        <v>230.46</v>
      </c>
      <c r="C48" s="2"/>
      <c r="D48" s="2">
        <f t="shared" ca="1" si="1"/>
        <v>229.66333333333333</v>
      </c>
      <c r="F48">
        <v>10000</v>
      </c>
      <c r="G48">
        <v>0</v>
      </c>
      <c r="H48">
        <f t="shared" si="0"/>
        <v>10000</v>
      </c>
    </row>
    <row r="49" spans="1:8">
      <c r="A49" s="1">
        <v>42359</v>
      </c>
      <c r="B49">
        <v>232.56</v>
      </c>
      <c r="C49" s="2"/>
      <c r="D49" s="2">
        <f t="shared" ca="1" si="1"/>
        <v>232.78666666666666</v>
      </c>
      <c r="F49">
        <v>10000</v>
      </c>
      <c r="G49">
        <v>0</v>
      </c>
      <c r="H49">
        <f t="shared" si="0"/>
        <v>10000</v>
      </c>
    </row>
    <row r="50" spans="1:8">
      <c r="A50" s="1">
        <v>42360</v>
      </c>
      <c r="B50">
        <v>229.95</v>
      </c>
      <c r="C50" s="2"/>
      <c r="D50" s="2">
        <f t="shared" ca="1" si="1"/>
        <v>232.13666666666668</v>
      </c>
      <c r="F50">
        <v>10000</v>
      </c>
      <c r="G50">
        <v>0</v>
      </c>
      <c r="H50">
        <f t="shared" si="0"/>
        <v>10000</v>
      </c>
    </row>
    <row r="51" spans="1:8">
      <c r="A51" s="1">
        <v>42361</v>
      </c>
      <c r="B51">
        <v>229.7</v>
      </c>
      <c r="C51" s="2">
        <f t="shared" ref="C22:C85" ca="1" si="2">AVERAGE(INDIRECT(ADDRESS(ROW()-$C$1,COLUMN()-1)&amp;":"&amp;ADDRESS(ROW()-1,COLUMN()-1)))</f>
        <v>227.24999999999997</v>
      </c>
      <c r="D51" s="2">
        <f t="shared" ca="1" si="1"/>
        <v>230.99</v>
      </c>
      <c r="E51" t="b">
        <f ca="1">D51&gt;C51</f>
        <v>1</v>
      </c>
      <c r="F51">
        <v>122.89999999999952</v>
      </c>
      <c r="G51">
        <v>9877.1</v>
      </c>
      <c r="H51">
        <f t="shared" si="0"/>
        <v>10000</v>
      </c>
    </row>
    <row r="52" spans="1:8">
      <c r="A52" s="1">
        <v>42362</v>
      </c>
      <c r="B52">
        <v>230.57</v>
      </c>
      <c r="C52" s="2">
        <f t="shared" ca="1" si="2"/>
        <v>227.13083333333327</v>
      </c>
      <c r="D52" s="2">
        <f t="shared" ca="1" si="1"/>
        <v>230.73666666666668</v>
      </c>
      <c r="E52" t="b">
        <f t="shared" ref="E52:E115" ca="1" si="3">D52&gt;C52</f>
        <v>1</v>
      </c>
      <c r="F52">
        <v>122.89999999999952</v>
      </c>
      <c r="G52">
        <v>9914.51</v>
      </c>
      <c r="H52">
        <f t="shared" si="0"/>
        <v>10037.41</v>
      </c>
    </row>
    <row r="53" spans="1:8">
      <c r="A53" s="1">
        <v>42366</v>
      </c>
      <c r="B53">
        <v>228.95</v>
      </c>
      <c r="C53" s="2">
        <f t="shared" ca="1" si="2"/>
        <v>227.45166666666663</v>
      </c>
      <c r="D53" s="2">
        <f t="shared" ca="1" si="1"/>
        <v>230.07333333333335</v>
      </c>
      <c r="E53" t="b">
        <f t="shared" ca="1" si="3"/>
        <v>1</v>
      </c>
      <c r="F53">
        <v>122.89999999999952</v>
      </c>
      <c r="G53">
        <v>9844.85</v>
      </c>
      <c r="H53">
        <f t="shared" si="0"/>
        <v>9967.75</v>
      </c>
    </row>
    <row r="54" spans="1:8">
      <c r="A54" s="1">
        <v>42367</v>
      </c>
      <c r="B54">
        <v>237.19</v>
      </c>
      <c r="C54" s="2">
        <f t="shared" ca="1" si="2"/>
        <v>227.82083333333333</v>
      </c>
      <c r="D54" s="2">
        <f t="shared" ca="1" si="1"/>
        <v>229.74</v>
      </c>
      <c r="E54" t="b">
        <f t="shared" ca="1" si="3"/>
        <v>1</v>
      </c>
      <c r="F54">
        <v>122.89999999999952</v>
      </c>
      <c r="G54">
        <v>10199.17</v>
      </c>
      <c r="H54">
        <f t="shared" si="0"/>
        <v>10322.07</v>
      </c>
    </row>
    <row r="55" spans="1:8">
      <c r="A55" s="1">
        <v>42368</v>
      </c>
      <c r="B55">
        <v>238.09</v>
      </c>
      <c r="C55" s="2">
        <f t="shared" ca="1" si="2"/>
        <v>228.66416666666669</v>
      </c>
      <c r="D55" s="2">
        <f t="shared" ca="1" si="1"/>
        <v>232.23666666666668</v>
      </c>
      <c r="E55" t="b">
        <f t="shared" ca="1" si="3"/>
        <v>1</v>
      </c>
      <c r="F55">
        <v>122.89999999999952</v>
      </c>
      <c r="G55">
        <v>10237.870000000001</v>
      </c>
      <c r="H55">
        <f t="shared" si="0"/>
        <v>10360.77</v>
      </c>
    </row>
    <row r="56" spans="1:8">
      <c r="A56" s="1">
        <v>42369</v>
      </c>
      <c r="B56">
        <v>240.01</v>
      </c>
      <c r="C56" s="2">
        <f t="shared" ca="1" si="2"/>
        <v>230.42</v>
      </c>
      <c r="D56" s="2">
        <f t="shared" ca="1" si="1"/>
        <v>234.74333333333334</v>
      </c>
      <c r="E56" t="b">
        <f t="shared" ca="1" si="3"/>
        <v>1</v>
      </c>
      <c r="F56">
        <v>122.89999999999952</v>
      </c>
      <c r="G56">
        <v>10320.43</v>
      </c>
      <c r="H56">
        <f t="shared" si="0"/>
        <v>10443.33</v>
      </c>
    </row>
    <row r="57" spans="1:8">
      <c r="A57" s="1">
        <v>42373</v>
      </c>
      <c r="B57">
        <v>223.41</v>
      </c>
      <c r="C57" s="2">
        <f t="shared" ca="1" si="2"/>
        <v>232.20583333333335</v>
      </c>
      <c r="D57" s="2">
        <f t="shared" ca="1" si="1"/>
        <v>238.42999999999998</v>
      </c>
      <c r="E57" t="b">
        <f t="shared" ca="1" si="3"/>
        <v>1</v>
      </c>
      <c r="F57">
        <v>122.89999999999952</v>
      </c>
      <c r="G57">
        <v>9606.6299999999992</v>
      </c>
      <c r="H57">
        <f t="shared" si="0"/>
        <v>9729.5299999999988</v>
      </c>
    </row>
    <row r="58" spans="1:8">
      <c r="A58" s="1">
        <v>42374</v>
      </c>
      <c r="B58">
        <v>223.43</v>
      </c>
      <c r="C58" s="2">
        <f t="shared" ca="1" si="2"/>
        <v>232.39916666666667</v>
      </c>
      <c r="D58" s="2">
        <f t="shared" ca="1" si="1"/>
        <v>233.83666666666667</v>
      </c>
      <c r="E58" t="b">
        <f t="shared" ca="1" si="3"/>
        <v>1</v>
      </c>
      <c r="F58">
        <v>122.89999999999952</v>
      </c>
      <c r="G58">
        <v>9607.49</v>
      </c>
      <c r="H58">
        <f t="shared" si="0"/>
        <v>9730.39</v>
      </c>
    </row>
    <row r="59" spans="1:8">
      <c r="A59" s="1">
        <v>42375</v>
      </c>
      <c r="B59">
        <v>219.04</v>
      </c>
      <c r="C59" s="2">
        <f t="shared" ca="1" si="2"/>
        <v>231.4758333333333</v>
      </c>
      <c r="D59" s="2">
        <f t="shared" ca="1" si="1"/>
        <v>228.94999999999996</v>
      </c>
      <c r="E59" t="b">
        <f t="shared" ca="1" si="3"/>
        <v>0</v>
      </c>
      <c r="F59">
        <v>9541.619999999999</v>
      </c>
      <c r="G59">
        <v>0</v>
      </c>
      <c r="H59">
        <f t="shared" si="0"/>
        <v>9541.619999999999</v>
      </c>
    </row>
    <row r="60" spans="1:8">
      <c r="A60" s="1">
        <v>42376</v>
      </c>
      <c r="B60">
        <v>215.65</v>
      </c>
      <c r="C60" s="2">
        <f t="shared" ca="1" si="2"/>
        <v>230.27999999999997</v>
      </c>
      <c r="D60" s="2">
        <f t="shared" ca="1" si="1"/>
        <v>221.96</v>
      </c>
      <c r="E60" t="b">
        <f t="shared" ca="1" si="3"/>
        <v>0</v>
      </c>
      <c r="F60">
        <v>9541.619999999999</v>
      </c>
      <c r="G60">
        <v>0</v>
      </c>
      <c r="H60">
        <f t="shared" si="0"/>
        <v>9541.619999999999</v>
      </c>
    </row>
    <row r="61" spans="1:8">
      <c r="A61" s="1">
        <v>42377</v>
      </c>
      <c r="B61">
        <v>211</v>
      </c>
      <c r="C61" s="2">
        <f t="shared" ca="1" si="2"/>
        <v>229.04583333333332</v>
      </c>
      <c r="D61" s="2">
        <f t="shared" ca="1" si="1"/>
        <v>219.37333333333333</v>
      </c>
      <c r="E61" t="b">
        <f t="shared" ca="1" si="3"/>
        <v>0</v>
      </c>
      <c r="F61">
        <v>9541.619999999999</v>
      </c>
      <c r="G61">
        <v>0</v>
      </c>
      <c r="H61">
        <f t="shared" si="0"/>
        <v>9541.619999999999</v>
      </c>
    </row>
    <row r="62" spans="1:8">
      <c r="A62" s="1">
        <v>42380</v>
      </c>
      <c r="B62">
        <v>207.85</v>
      </c>
      <c r="C62" s="2">
        <f t="shared" ca="1" si="2"/>
        <v>227.2491666666667</v>
      </c>
      <c r="D62" s="2">
        <f t="shared" ca="1" si="1"/>
        <v>215.23000000000002</v>
      </c>
      <c r="E62" t="b">
        <f t="shared" ca="1" si="3"/>
        <v>0</v>
      </c>
      <c r="F62">
        <v>9541.619999999999</v>
      </c>
      <c r="G62">
        <v>0</v>
      </c>
      <c r="H62">
        <f t="shared" si="0"/>
        <v>9541.619999999999</v>
      </c>
    </row>
    <row r="63" spans="1:8">
      <c r="A63" s="1">
        <v>42381</v>
      </c>
      <c r="B63">
        <v>209.97</v>
      </c>
      <c r="C63" s="2">
        <f t="shared" ca="1" si="2"/>
        <v>225.40750000000003</v>
      </c>
      <c r="D63" s="2">
        <f t="shared" ca="1" si="1"/>
        <v>211.5</v>
      </c>
      <c r="E63" t="b">
        <f t="shared" ca="1" si="3"/>
        <v>0</v>
      </c>
      <c r="F63">
        <v>9541.619999999999</v>
      </c>
      <c r="G63">
        <v>0</v>
      </c>
      <c r="H63">
        <f t="shared" si="0"/>
        <v>9541.619999999999</v>
      </c>
    </row>
    <row r="64" spans="1:8">
      <c r="A64" s="1">
        <v>42382</v>
      </c>
      <c r="B64">
        <v>200.31</v>
      </c>
      <c r="C64" s="2">
        <f t="shared" ca="1" si="2"/>
        <v>223.76333333333332</v>
      </c>
      <c r="D64" s="2">
        <f t="shared" ca="1" si="1"/>
        <v>209.60666666666668</v>
      </c>
      <c r="E64" t="b">
        <f t="shared" ca="1" si="3"/>
        <v>0</v>
      </c>
      <c r="F64">
        <v>9541.619999999999</v>
      </c>
      <c r="G64">
        <v>0</v>
      </c>
      <c r="H64">
        <f t="shared" si="0"/>
        <v>9541.619999999999</v>
      </c>
    </row>
    <row r="65" spans="1:8">
      <c r="A65" s="1">
        <v>42383</v>
      </c>
      <c r="B65">
        <v>206.18</v>
      </c>
      <c r="C65" s="2">
        <f t="shared" ca="1" si="2"/>
        <v>221.24166666666667</v>
      </c>
      <c r="D65" s="2">
        <f t="shared" ca="1" si="1"/>
        <v>206.04333333333332</v>
      </c>
      <c r="E65" t="b">
        <f t="shared" ca="1" si="3"/>
        <v>0</v>
      </c>
      <c r="F65">
        <v>9541.619999999999</v>
      </c>
      <c r="G65">
        <v>0</v>
      </c>
      <c r="H65">
        <f t="shared" si="0"/>
        <v>9541.619999999999</v>
      </c>
    </row>
    <row r="66" spans="1:8">
      <c r="A66" s="1">
        <v>42384</v>
      </c>
      <c r="B66">
        <v>204.99</v>
      </c>
      <c r="C66" s="2">
        <f t="shared" ca="1" si="2"/>
        <v>219.34416666666664</v>
      </c>
      <c r="D66" s="2">
        <f t="shared" ca="1" si="1"/>
        <v>205.48666666666668</v>
      </c>
      <c r="E66" t="b">
        <f t="shared" ca="1" si="3"/>
        <v>0</v>
      </c>
      <c r="F66">
        <v>9541.619999999999</v>
      </c>
      <c r="G66">
        <v>0</v>
      </c>
      <c r="H66">
        <f t="shared" si="0"/>
        <v>9541.619999999999</v>
      </c>
    </row>
    <row r="67" spans="1:8">
      <c r="A67" s="1">
        <v>42388</v>
      </c>
      <c r="B67">
        <v>204.72</v>
      </c>
      <c r="C67" s="2">
        <f t="shared" ca="1" si="2"/>
        <v>216.66083333333336</v>
      </c>
      <c r="D67" s="2">
        <f t="shared" ca="1" si="1"/>
        <v>203.82666666666668</v>
      </c>
      <c r="E67" t="b">
        <f t="shared" ca="1" si="3"/>
        <v>0</v>
      </c>
      <c r="F67">
        <v>9541.619999999999</v>
      </c>
      <c r="G67">
        <v>0</v>
      </c>
      <c r="H67">
        <f t="shared" si="0"/>
        <v>9541.619999999999</v>
      </c>
    </row>
    <row r="68" spans="1:8">
      <c r="A68" s="1">
        <v>42389</v>
      </c>
      <c r="B68">
        <v>198.7</v>
      </c>
      <c r="C68" s="2">
        <f t="shared" ca="1" si="2"/>
        <v>213.88</v>
      </c>
      <c r="D68" s="2">
        <f t="shared" ca="1" si="1"/>
        <v>205.29666666666665</v>
      </c>
      <c r="E68" t="b">
        <f t="shared" ca="1" si="3"/>
        <v>0</v>
      </c>
      <c r="F68">
        <v>9541.619999999999</v>
      </c>
      <c r="G68">
        <v>0</v>
      </c>
      <c r="H68">
        <f t="shared" si="0"/>
        <v>9541.619999999999</v>
      </c>
    </row>
    <row r="69" spans="1:8">
      <c r="A69" s="1">
        <v>42390</v>
      </c>
      <c r="B69">
        <v>199.97</v>
      </c>
      <c r="C69" s="2">
        <f t="shared" ca="1" si="2"/>
        <v>210.43749999999997</v>
      </c>
      <c r="D69" s="2">
        <f t="shared" ref="D69:D132" ca="1" si="4">AVERAGE(INDIRECT(ADDRESS(ROW()-$D$1,COLUMN()-2)&amp;":"&amp;ADDRESS(ROW()-1,COLUMN()-2)))</f>
        <v>202.80333333333337</v>
      </c>
      <c r="E69" t="b">
        <f t="shared" ca="1" si="3"/>
        <v>0</v>
      </c>
      <c r="F69">
        <v>9541.619999999999</v>
      </c>
      <c r="G69">
        <v>0</v>
      </c>
      <c r="H69">
        <f t="shared" si="0"/>
        <v>9541.619999999999</v>
      </c>
    </row>
    <row r="70" spans="1:8">
      <c r="A70" s="1">
        <v>42391</v>
      </c>
      <c r="B70">
        <v>202.55</v>
      </c>
      <c r="C70" s="2">
        <f t="shared" ca="1" si="2"/>
        <v>208.48416666666662</v>
      </c>
      <c r="D70" s="2">
        <f t="shared" ca="1" si="4"/>
        <v>201.13</v>
      </c>
      <c r="E70" t="b">
        <f t="shared" ca="1" si="3"/>
        <v>0</v>
      </c>
      <c r="F70">
        <v>9541.619999999999</v>
      </c>
      <c r="G70">
        <v>0</v>
      </c>
      <c r="H70">
        <f t="shared" si="0"/>
        <v>9541.619999999999</v>
      </c>
    </row>
    <row r="71" spans="1:8">
      <c r="A71" s="1">
        <v>42394</v>
      </c>
      <c r="B71">
        <v>196.38</v>
      </c>
      <c r="C71" s="2">
        <f t="shared" ca="1" si="2"/>
        <v>206.74416666666664</v>
      </c>
      <c r="D71" s="2">
        <f t="shared" ca="1" si="4"/>
        <v>200.40666666666667</v>
      </c>
      <c r="E71" t="b">
        <f t="shared" ca="1" si="3"/>
        <v>0</v>
      </c>
      <c r="F71">
        <v>9541.619999999999</v>
      </c>
      <c r="G71">
        <v>0</v>
      </c>
      <c r="H71">
        <f t="shared" si="0"/>
        <v>9541.619999999999</v>
      </c>
    </row>
    <row r="72" spans="1:8">
      <c r="A72" s="1">
        <v>42395</v>
      </c>
      <c r="B72">
        <v>193.56</v>
      </c>
      <c r="C72" s="2">
        <f t="shared" ca="1" si="2"/>
        <v>204.85583333333338</v>
      </c>
      <c r="D72" s="2">
        <f t="shared" ca="1" si="4"/>
        <v>199.63333333333333</v>
      </c>
      <c r="E72" t="b">
        <f t="shared" ca="1" si="3"/>
        <v>0</v>
      </c>
      <c r="F72">
        <v>9541.619999999999</v>
      </c>
      <c r="G72">
        <v>0</v>
      </c>
      <c r="H72">
        <f t="shared" si="0"/>
        <v>9541.619999999999</v>
      </c>
    </row>
    <row r="73" spans="1:8">
      <c r="A73" s="1">
        <v>42396</v>
      </c>
      <c r="B73">
        <v>188.07</v>
      </c>
      <c r="C73" s="2">
        <f t="shared" ca="1" si="2"/>
        <v>203.01500000000001</v>
      </c>
      <c r="D73" s="2">
        <f t="shared" ca="1" si="4"/>
        <v>197.49666666666667</v>
      </c>
      <c r="E73" t="b">
        <f t="shared" ca="1" si="3"/>
        <v>0</v>
      </c>
      <c r="F73">
        <v>9541.619999999999</v>
      </c>
      <c r="G73">
        <v>0</v>
      </c>
      <c r="H73">
        <f t="shared" si="0"/>
        <v>9541.619999999999</v>
      </c>
    </row>
    <row r="74" spans="1:8">
      <c r="A74" s="1">
        <v>42397</v>
      </c>
      <c r="B74">
        <v>189.7</v>
      </c>
      <c r="C74" s="2">
        <f t="shared" ca="1" si="2"/>
        <v>201.10416666666666</v>
      </c>
      <c r="D74" s="2">
        <f t="shared" ca="1" si="4"/>
        <v>192.67</v>
      </c>
      <c r="E74" t="b">
        <f t="shared" ca="1" si="3"/>
        <v>0</v>
      </c>
      <c r="F74">
        <v>9541.619999999999</v>
      </c>
      <c r="G74">
        <v>0</v>
      </c>
      <c r="H74">
        <f t="shared" si="0"/>
        <v>9541.619999999999</v>
      </c>
    </row>
    <row r="75" spans="1:8">
      <c r="A75" s="1">
        <v>42398</v>
      </c>
      <c r="B75">
        <v>191.2</v>
      </c>
      <c r="C75" s="2">
        <f t="shared" ca="1" si="2"/>
        <v>199.59166666666667</v>
      </c>
      <c r="D75" s="2">
        <f t="shared" ca="1" si="4"/>
        <v>190.4433333333333</v>
      </c>
      <c r="E75" t="b">
        <f t="shared" ca="1" si="3"/>
        <v>0</v>
      </c>
      <c r="F75">
        <v>9541.619999999999</v>
      </c>
      <c r="G75">
        <v>0</v>
      </c>
      <c r="H75">
        <f t="shared" si="0"/>
        <v>9541.619999999999</v>
      </c>
    </row>
    <row r="76" spans="1:8">
      <c r="A76" s="1">
        <v>42401</v>
      </c>
      <c r="B76">
        <v>196.94</v>
      </c>
      <c r="C76" s="2">
        <f t="shared" ca="1" si="2"/>
        <v>198.0275</v>
      </c>
      <c r="D76" s="2">
        <f t="shared" ca="1" si="4"/>
        <v>189.65666666666667</v>
      </c>
      <c r="E76" t="b">
        <f t="shared" ca="1" si="3"/>
        <v>0</v>
      </c>
      <c r="F76">
        <v>9541.619999999999</v>
      </c>
      <c r="G76">
        <v>0</v>
      </c>
      <c r="H76">
        <f t="shared" si="0"/>
        <v>9541.619999999999</v>
      </c>
    </row>
    <row r="77" spans="1:8">
      <c r="A77" s="1">
        <v>42402</v>
      </c>
      <c r="B77">
        <v>182.78</v>
      </c>
      <c r="C77" s="2">
        <f t="shared" ca="1" si="2"/>
        <v>197.74666666666664</v>
      </c>
      <c r="D77" s="2">
        <f t="shared" ca="1" si="4"/>
        <v>192.61333333333332</v>
      </c>
      <c r="E77" t="b">
        <f t="shared" ca="1" si="3"/>
        <v>0</v>
      </c>
      <c r="F77">
        <v>9541.619999999999</v>
      </c>
      <c r="G77">
        <v>0</v>
      </c>
      <c r="H77">
        <f t="shared" si="0"/>
        <v>9541.619999999999</v>
      </c>
    </row>
    <row r="78" spans="1:8">
      <c r="A78" s="1">
        <v>42403</v>
      </c>
      <c r="B78">
        <v>173.48</v>
      </c>
      <c r="C78" s="2">
        <f t="shared" ca="1" si="2"/>
        <v>195.79666666666665</v>
      </c>
      <c r="D78" s="2">
        <f t="shared" ca="1" si="4"/>
        <v>190.30666666666664</v>
      </c>
      <c r="E78" t="b">
        <f t="shared" ca="1" si="3"/>
        <v>0</v>
      </c>
      <c r="F78">
        <v>9541.619999999999</v>
      </c>
      <c r="G78">
        <v>0</v>
      </c>
      <c r="H78">
        <f t="shared" si="0"/>
        <v>9541.619999999999</v>
      </c>
    </row>
    <row r="79" spans="1:8">
      <c r="A79" s="1">
        <v>42404</v>
      </c>
      <c r="B79">
        <v>175.33</v>
      </c>
      <c r="C79" s="2">
        <f t="shared" ca="1" si="2"/>
        <v>193.17083333333335</v>
      </c>
      <c r="D79" s="2">
        <f t="shared" ca="1" si="4"/>
        <v>184.4</v>
      </c>
      <c r="E79" t="b">
        <f t="shared" ca="1" si="3"/>
        <v>0</v>
      </c>
      <c r="F79">
        <v>9541.619999999999</v>
      </c>
      <c r="G79">
        <v>0</v>
      </c>
      <c r="H79">
        <f t="shared" si="0"/>
        <v>9541.619999999999</v>
      </c>
    </row>
    <row r="80" spans="1:8">
      <c r="A80" s="1">
        <v>42405</v>
      </c>
      <c r="B80">
        <v>162.6</v>
      </c>
      <c r="C80" s="2">
        <f t="shared" ca="1" si="2"/>
        <v>190.72166666666666</v>
      </c>
      <c r="D80" s="2">
        <f t="shared" ca="1" si="4"/>
        <v>177.19666666666669</v>
      </c>
      <c r="E80" t="b">
        <f t="shared" ca="1" si="3"/>
        <v>0</v>
      </c>
      <c r="F80">
        <v>9541.619999999999</v>
      </c>
      <c r="G80">
        <v>0</v>
      </c>
      <c r="H80">
        <f t="shared" si="0"/>
        <v>9541.619999999999</v>
      </c>
    </row>
    <row r="81" spans="1:8">
      <c r="A81" s="1">
        <v>42408</v>
      </c>
      <c r="B81">
        <v>147.99</v>
      </c>
      <c r="C81" s="2">
        <f t="shared" ca="1" si="2"/>
        <v>187.71333333333334</v>
      </c>
      <c r="D81" s="2">
        <f t="shared" ca="1" si="4"/>
        <v>170.47</v>
      </c>
      <c r="E81" t="b">
        <f t="shared" ca="1" si="3"/>
        <v>0</v>
      </c>
      <c r="F81">
        <v>9541.619999999999</v>
      </c>
      <c r="G81">
        <v>0</v>
      </c>
      <c r="H81">
        <f t="shared" si="0"/>
        <v>9541.619999999999</v>
      </c>
    </row>
    <row r="82" spans="1:8">
      <c r="A82" s="1">
        <v>42409</v>
      </c>
      <c r="B82">
        <v>148.25</v>
      </c>
      <c r="C82" s="2">
        <f t="shared" ca="1" si="2"/>
        <v>183.38166666666666</v>
      </c>
      <c r="D82" s="2">
        <f t="shared" ca="1" si="4"/>
        <v>161.97333333333333</v>
      </c>
      <c r="E82" t="b">
        <f t="shared" ca="1" si="3"/>
        <v>0</v>
      </c>
      <c r="F82">
        <v>9541.619999999999</v>
      </c>
      <c r="G82">
        <v>0</v>
      </c>
      <c r="H82">
        <f t="shared" si="0"/>
        <v>9541.619999999999</v>
      </c>
    </row>
    <row r="83" spans="1:8">
      <c r="A83" s="1">
        <v>42410</v>
      </c>
      <c r="B83">
        <v>143.66999999999999</v>
      </c>
      <c r="C83" s="2">
        <f t="shared" ca="1" si="2"/>
        <v>178.85666666666665</v>
      </c>
      <c r="D83" s="2">
        <f t="shared" ca="1" si="4"/>
        <v>152.94666666666669</v>
      </c>
      <c r="E83" t="b">
        <f t="shared" ca="1" si="3"/>
        <v>0</v>
      </c>
      <c r="F83">
        <v>9541.619999999999</v>
      </c>
      <c r="G83">
        <v>0</v>
      </c>
      <c r="H83">
        <f t="shared" si="0"/>
        <v>9541.619999999999</v>
      </c>
    </row>
    <row r="84" spans="1:8">
      <c r="A84" s="1">
        <v>42411</v>
      </c>
      <c r="B84">
        <v>150.47</v>
      </c>
      <c r="C84" s="2">
        <f t="shared" ca="1" si="2"/>
        <v>174.46416666666664</v>
      </c>
      <c r="D84" s="2">
        <f t="shared" ca="1" si="4"/>
        <v>146.63666666666666</v>
      </c>
      <c r="E84" t="b">
        <f t="shared" ca="1" si="3"/>
        <v>0</v>
      </c>
      <c r="F84">
        <v>9541.619999999999</v>
      </c>
      <c r="G84">
        <v>0</v>
      </c>
      <c r="H84">
        <f t="shared" si="0"/>
        <v>9541.619999999999</v>
      </c>
    </row>
    <row r="85" spans="1:8">
      <c r="A85" s="1">
        <v>42412</v>
      </c>
      <c r="B85">
        <v>151.04</v>
      </c>
      <c r="C85" s="2">
        <f t="shared" ca="1" si="2"/>
        <v>170.87333333333333</v>
      </c>
      <c r="D85" s="2">
        <f t="shared" ca="1" si="4"/>
        <v>147.46333333333334</v>
      </c>
      <c r="E85" t="b">
        <f t="shared" ca="1" si="3"/>
        <v>0</v>
      </c>
      <c r="F85">
        <v>9541.619999999999</v>
      </c>
      <c r="G85">
        <v>0</v>
      </c>
      <c r="H85">
        <f t="shared" si="0"/>
        <v>9541.619999999999</v>
      </c>
    </row>
    <row r="86" spans="1:8">
      <c r="A86" s="1">
        <v>42416</v>
      </c>
      <c r="B86">
        <v>155.16999999999999</v>
      </c>
      <c r="C86" s="2">
        <f t="shared" ref="C86:C149" ca="1" si="5">AVERAGE(INDIRECT(ADDRESS(ROW()-$C$1,COLUMN()-1)&amp;":"&amp;ADDRESS(ROW()-1,COLUMN()-1)))</f>
        <v>167.78749999999999</v>
      </c>
      <c r="D86" s="2">
        <f t="shared" ca="1" si="4"/>
        <v>148.39333333333332</v>
      </c>
      <c r="E86" t="b">
        <f t="shared" ca="1" si="3"/>
        <v>0</v>
      </c>
      <c r="F86">
        <v>9541.619999999999</v>
      </c>
      <c r="G86">
        <v>0</v>
      </c>
      <c r="H86">
        <f t="shared" ref="H86:H149" si="6">G86+F86</f>
        <v>9541.619999999999</v>
      </c>
    </row>
    <row r="87" spans="1:8">
      <c r="A87" s="1">
        <v>42417</v>
      </c>
      <c r="B87">
        <v>168.68</v>
      </c>
      <c r="C87" s="2">
        <f t="shared" ca="1" si="5"/>
        <v>164.91</v>
      </c>
      <c r="D87" s="2">
        <f t="shared" ca="1" si="4"/>
        <v>152.22666666666666</v>
      </c>
      <c r="E87" t="b">
        <f t="shared" ca="1" si="3"/>
        <v>0</v>
      </c>
      <c r="F87">
        <v>9541.619999999999</v>
      </c>
      <c r="G87">
        <v>0</v>
      </c>
      <c r="H87">
        <f t="shared" si="6"/>
        <v>9541.619999999999</v>
      </c>
    </row>
    <row r="88" spans="1:8">
      <c r="A88" s="1">
        <v>42418</v>
      </c>
      <c r="B88">
        <v>166.77</v>
      </c>
      <c r="C88" s="2">
        <f t="shared" ca="1" si="5"/>
        <v>163.03333333333336</v>
      </c>
      <c r="D88" s="2">
        <f t="shared" ca="1" si="4"/>
        <v>158.29666666666665</v>
      </c>
      <c r="E88" t="b">
        <f t="shared" ca="1" si="3"/>
        <v>0</v>
      </c>
      <c r="F88">
        <v>9541.619999999999</v>
      </c>
      <c r="G88">
        <v>0</v>
      </c>
      <c r="H88">
        <f t="shared" si="6"/>
        <v>9541.619999999999</v>
      </c>
    </row>
    <row r="89" spans="1:8">
      <c r="A89" s="1">
        <v>42419</v>
      </c>
      <c r="B89">
        <v>166.58</v>
      </c>
      <c r="C89" s="2">
        <f t="shared" ca="1" si="5"/>
        <v>160.51916666666668</v>
      </c>
      <c r="D89" s="2">
        <f t="shared" ca="1" si="4"/>
        <v>163.54</v>
      </c>
      <c r="E89" t="b">
        <f t="shared" ca="1" si="3"/>
        <v>1</v>
      </c>
      <c r="F89">
        <v>46.560000000002503</v>
      </c>
      <c r="G89">
        <v>9495.0600000000013</v>
      </c>
      <c r="H89">
        <f t="shared" si="6"/>
        <v>9541.6200000000044</v>
      </c>
    </row>
    <row r="90" spans="1:8">
      <c r="A90" s="1">
        <v>42422</v>
      </c>
      <c r="B90">
        <v>177.74</v>
      </c>
      <c r="C90" s="2">
        <f t="shared" ca="1" si="5"/>
        <v>159.16916666666665</v>
      </c>
      <c r="D90" s="2">
        <f t="shared" ca="1" si="4"/>
        <v>167.34333333333336</v>
      </c>
      <c r="E90" t="b">
        <f t="shared" ca="1" si="3"/>
        <v>1</v>
      </c>
      <c r="F90">
        <v>46.560000000002503</v>
      </c>
      <c r="G90">
        <v>10131.18</v>
      </c>
      <c r="H90">
        <f t="shared" si="6"/>
        <v>10177.740000000003</v>
      </c>
    </row>
    <row r="91" spans="1:8">
      <c r="A91" s="1">
        <v>42423</v>
      </c>
      <c r="B91">
        <v>177.21</v>
      </c>
      <c r="C91" s="2">
        <f t="shared" ca="1" si="5"/>
        <v>159.52416666666667</v>
      </c>
      <c r="D91" s="2">
        <f t="shared" ca="1" si="4"/>
        <v>170.36333333333334</v>
      </c>
      <c r="E91" t="b">
        <f t="shared" ca="1" si="3"/>
        <v>1</v>
      </c>
      <c r="F91">
        <v>46.560000000002503</v>
      </c>
      <c r="G91">
        <v>10100.970000000001</v>
      </c>
      <c r="H91">
        <f t="shared" si="6"/>
        <v>10147.530000000004</v>
      </c>
    </row>
    <row r="92" spans="1:8">
      <c r="A92" s="1">
        <v>42424</v>
      </c>
      <c r="B92">
        <v>179</v>
      </c>
      <c r="C92" s="2">
        <f t="shared" ca="1" si="5"/>
        <v>159.68083333333334</v>
      </c>
      <c r="D92" s="2">
        <f t="shared" ca="1" si="4"/>
        <v>173.84333333333336</v>
      </c>
      <c r="E92" t="b">
        <f t="shared" ca="1" si="3"/>
        <v>1</v>
      </c>
      <c r="F92">
        <v>46.560000000002503</v>
      </c>
      <c r="G92">
        <v>10203</v>
      </c>
      <c r="H92">
        <f t="shared" si="6"/>
        <v>10249.560000000003</v>
      </c>
    </row>
    <row r="93" spans="1:8">
      <c r="A93" s="1">
        <v>42425</v>
      </c>
      <c r="B93">
        <v>187.43</v>
      </c>
      <c r="C93" s="2">
        <f t="shared" ca="1" si="5"/>
        <v>161.04749999999999</v>
      </c>
      <c r="D93" s="2">
        <f t="shared" ca="1" si="4"/>
        <v>177.98333333333335</v>
      </c>
      <c r="E93" t="b">
        <f t="shared" ca="1" si="3"/>
        <v>1</v>
      </c>
      <c r="F93">
        <v>46.560000000002503</v>
      </c>
      <c r="G93">
        <v>10683.51</v>
      </c>
      <c r="H93">
        <f t="shared" si="6"/>
        <v>10730.070000000003</v>
      </c>
    </row>
    <row r="94" spans="1:8">
      <c r="A94" s="1">
        <v>42426</v>
      </c>
      <c r="B94">
        <v>190.34</v>
      </c>
      <c r="C94" s="2">
        <f t="shared" ca="1" si="5"/>
        <v>164.33416666666668</v>
      </c>
      <c r="D94" s="2">
        <f t="shared" ca="1" si="4"/>
        <v>181.21333333333337</v>
      </c>
      <c r="E94" t="b">
        <f t="shared" ca="1" si="3"/>
        <v>1</v>
      </c>
      <c r="F94">
        <v>46.560000000002503</v>
      </c>
      <c r="G94">
        <v>10849.380000000001</v>
      </c>
      <c r="H94">
        <f t="shared" si="6"/>
        <v>10895.940000000004</v>
      </c>
    </row>
    <row r="95" spans="1:8">
      <c r="A95" s="1">
        <v>42429</v>
      </c>
      <c r="B95">
        <v>191.93</v>
      </c>
      <c r="C95" s="2">
        <f t="shared" ca="1" si="5"/>
        <v>167.84166666666667</v>
      </c>
      <c r="D95" s="2">
        <f t="shared" ca="1" si="4"/>
        <v>185.59</v>
      </c>
      <c r="E95" t="b">
        <f t="shared" ca="1" si="3"/>
        <v>1</v>
      </c>
      <c r="F95">
        <v>46.560000000002503</v>
      </c>
      <c r="G95">
        <v>10940.01</v>
      </c>
      <c r="H95">
        <f t="shared" si="6"/>
        <v>10986.570000000003</v>
      </c>
    </row>
    <row r="96" spans="1:8">
      <c r="A96" s="1">
        <v>42430</v>
      </c>
      <c r="B96">
        <v>186.35</v>
      </c>
      <c r="C96" s="2">
        <f t="shared" ca="1" si="5"/>
        <v>171.86333333333332</v>
      </c>
      <c r="D96" s="2">
        <f t="shared" ca="1" si="4"/>
        <v>189.9</v>
      </c>
      <c r="E96" t="b">
        <f t="shared" ca="1" si="3"/>
        <v>1</v>
      </c>
      <c r="F96">
        <v>46.560000000002503</v>
      </c>
      <c r="G96">
        <v>10621.949999999999</v>
      </c>
      <c r="H96">
        <f t="shared" si="6"/>
        <v>10668.510000000002</v>
      </c>
    </row>
    <row r="97" spans="1:8">
      <c r="A97" s="1">
        <v>42431</v>
      </c>
      <c r="B97">
        <v>188.34</v>
      </c>
      <c r="C97" s="2">
        <f t="shared" ca="1" si="5"/>
        <v>174.85333333333335</v>
      </c>
      <c r="D97" s="2">
        <f t="shared" ca="1" si="4"/>
        <v>189.54</v>
      </c>
      <c r="E97" t="b">
        <f t="shared" ca="1" si="3"/>
        <v>1</v>
      </c>
      <c r="F97">
        <v>46.560000000002503</v>
      </c>
      <c r="G97">
        <v>10735.380000000001</v>
      </c>
      <c r="H97">
        <f t="shared" si="6"/>
        <v>10781.940000000004</v>
      </c>
    </row>
    <row r="98" spans="1:8">
      <c r="A98" s="1">
        <v>42432</v>
      </c>
      <c r="B98">
        <v>195.74</v>
      </c>
      <c r="C98" s="2">
        <f t="shared" ca="1" si="5"/>
        <v>177.96166666666667</v>
      </c>
      <c r="D98" s="2">
        <f t="shared" ca="1" si="4"/>
        <v>188.87333333333333</v>
      </c>
      <c r="E98" t="b">
        <f t="shared" ca="1" si="3"/>
        <v>1</v>
      </c>
      <c r="F98">
        <v>46.560000000002503</v>
      </c>
      <c r="G98">
        <v>11157.18</v>
      </c>
      <c r="H98">
        <f t="shared" si="6"/>
        <v>11203.740000000003</v>
      </c>
    </row>
    <row r="99" spans="1:8">
      <c r="A99" s="1">
        <v>42433</v>
      </c>
      <c r="B99">
        <v>201.04</v>
      </c>
      <c r="C99" s="2">
        <f t="shared" ca="1" si="5"/>
        <v>181.34249999999997</v>
      </c>
      <c r="D99" s="2">
        <f t="shared" ca="1" si="4"/>
        <v>190.14333333333335</v>
      </c>
      <c r="E99" t="b">
        <f t="shared" ca="1" si="3"/>
        <v>1</v>
      </c>
      <c r="F99">
        <v>46.560000000002503</v>
      </c>
      <c r="G99">
        <v>11459.279999999999</v>
      </c>
      <c r="H99">
        <f t="shared" si="6"/>
        <v>11505.840000000002</v>
      </c>
    </row>
    <row r="100" spans="1:8">
      <c r="A100" s="1">
        <v>42436</v>
      </c>
      <c r="B100">
        <v>205.29</v>
      </c>
      <c r="C100" s="2">
        <f t="shared" ca="1" si="5"/>
        <v>184.03916666666666</v>
      </c>
      <c r="D100" s="2">
        <f t="shared" ca="1" si="4"/>
        <v>195.04</v>
      </c>
      <c r="E100" t="b">
        <f t="shared" ca="1" si="3"/>
        <v>1</v>
      </c>
      <c r="F100">
        <v>46.560000000002503</v>
      </c>
      <c r="G100">
        <v>11701.529999999999</v>
      </c>
      <c r="H100">
        <f t="shared" si="6"/>
        <v>11748.090000000002</v>
      </c>
    </row>
    <row r="101" spans="1:8">
      <c r="A101" s="1">
        <v>42437</v>
      </c>
      <c r="B101">
        <v>202.6</v>
      </c>
      <c r="C101" s="2">
        <f t="shared" ca="1" si="5"/>
        <v>187.24916666666664</v>
      </c>
      <c r="D101" s="2">
        <f t="shared" ca="1" si="4"/>
        <v>200.68999999999997</v>
      </c>
      <c r="E101" t="b">
        <f t="shared" ca="1" si="3"/>
        <v>1</v>
      </c>
      <c r="F101">
        <v>46.560000000002503</v>
      </c>
      <c r="G101">
        <v>11548.199999999999</v>
      </c>
      <c r="H101">
        <f t="shared" si="6"/>
        <v>11594.760000000002</v>
      </c>
    </row>
    <row r="102" spans="1:8">
      <c r="A102" s="1">
        <v>42438</v>
      </c>
      <c r="B102">
        <v>208.72</v>
      </c>
      <c r="C102" s="2">
        <f t="shared" ca="1" si="5"/>
        <v>190.2508333333333</v>
      </c>
      <c r="D102" s="2">
        <f t="shared" ca="1" si="4"/>
        <v>202.97666666666666</v>
      </c>
      <c r="E102" t="b">
        <f t="shared" ca="1" si="3"/>
        <v>1</v>
      </c>
      <c r="F102">
        <v>46.560000000002503</v>
      </c>
      <c r="G102">
        <v>11897.039999999999</v>
      </c>
      <c r="H102">
        <f t="shared" si="6"/>
        <v>11943.600000000002</v>
      </c>
    </row>
    <row r="103" spans="1:8">
      <c r="A103" s="1">
        <v>42439</v>
      </c>
      <c r="B103">
        <v>205.18</v>
      </c>
      <c r="C103" s="2">
        <f t="shared" ca="1" si="5"/>
        <v>192.83249999999998</v>
      </c>
      <c r="D103" s="2">
        <f t="shared" ca="1" si="4"/>
        <v>205.53666666666666</v>
      </c>
      <c r="E103" t="b">
        <f t="shared" ca="1" si="3"/>
        <v>1</v>
      </c>
      <c r="F103">
        <v>46.560000000002503</v>
      </c>
      <c r="G103">
        <v>11695.26</v>
      </c>
      <c r="H103">
        <f t="shared" si="6"/>
        <v>11741.820000000003</v>
      </c>
    </row>
    <row r="104" spans="1:8">
      <c r="A104" s="1">
        <v>42440</v>
      </c>
      <c r="B104">
        <v>207.5</v>
      </c>
      <c r="C104" s="2">
        <f t="shared" ca="1" si="5"/>
        <v>195.1633333333333</v>
      </c>
      <c r="D104" s="2">
        <f t="shared" ca="1" si="4"/>
        <v>205.5</v>
      </c>
      <c r="E104" t="b">
        <f t="shared" ca="1" si="3"/>
        <v>1</v>
      </c>
      <c r="F104">
        <v>46.560000000002503</v>
      </c>
      <c r="G104">
        <v>11827.5</v>
      </c>
      <c r="H104">
        <f t="shared" si="6"/>
        <v>11874.060000000003</v>
      </c>
    </row>
    <row r="105" spans="1:8">
      <c r="A105" s="1">
        <v>42443</v>
      </c>
      <c r="B105">
        <v>215.15</v>
      </c>
      <c r="C105" s="2">
        <f t="shared" ca="1" si="5"/>
        <v>197.53833333333333</v>
      </c>
      <c r="D105" s="2">
        <f t="shared" ca="1" si="4"/>
        <v>207.13333333333333</v>
      </c>
      <c r="E105" t="b">
        <f t="shared" ca="1" si="3"/>
        <v>1</v>
      </c>
      <c r="F105">
        <v>46.560000000002503</v>
      </c>
      <c r="G105">
        <v>12263.550000000001</v>
      </c>
      <c r="H105">
        <f t="shared" si="6"/>
        <v>12310.110000000004</v>
      </c>
    </row>
    <row r="106" spans="1:8">
      <c r="A106" s="1">
        <v>42444</v>
      </c>
      <c r="B106">
        <v>218.34</v>
      </c>
      <c r="C106" s="2">
        <f t="shared" ca="1" si="5"/>
        <v>199.84833333333333</v>
      </c>
      <c r="D106" s="2">
        <f t="shared" ca="1" si="4"/>
        <v>209.27666666666667</v>
      </c>
      <c r="E106" t="b">
        <f t="shared" ca="1" si="3"/>
        <v>1</v>
      </c>
      <c r="F106">
        <v>46.560000000002503</v>
      </c>
      <c r="G106">
        <v>12445.380000000001</v>
      </c>
      <c r="H106">
        <f t="shared" si="6"/>
        <v>12491.940000000004</v>
      </c>
    </row>
    <row r="107" spans="1:8">
      <c r="A107" s="1">
        <v>42445</v>
      </c>
      <c r="B107">
        <v>221.93</v>
      </c>
      <c r="C107" s="2">
        <f t="shared" ca="1" si="5"/>
        <v>202.1816666666667</v>
      </c>
      <c r="D107" s="2">
        <f t="shared" ca="1" si="4"/>
        <v>213.66333333333333</v>
      </c>
      <c r="E107" t="b">
        <f t="shared" ca="1" si="3"/>
        <v>1</v>
      </c>
      <c r="F107">
        <v>46.560000000002503</v>
      </c>
      <c r="G107">
        <v>12650.01</v>
      </c>
      <c r="H107">
        <f t="shared" si="6"/>
        <v>12696.570000000003</v>
      </c>
    </row>
    <row r="108" spans="1:8">
      <c r="A108" s="1">
        <v>42446</v>
      </c>
      <c r="B108">
        <v>226.38</v>
      </c>
      <c r="C108" s="2">
        <f t="shared" ca="1" si="5"/>
        <v>204.68166666666664</v>
      </c>
      <c r="D108" s="2">
        <f t="shared" ca="1" si="4"/>
        <v>218.47333333333336</v>
      </c>
      <c r="E108" t="b">
        <f t="shared" ca="1" si="3"/>
        <v>1</v>
      </c>
      <c r="F108">
        <v>46.560000000002503</v>
      </c>
      <c r="G108">
        <v>12903.66</v>
      </c>
      <c r="H108">
        <f t="shared" si="6"/>
        <v>12950.220000000003</v>
      </c>
    </row>
    <row r="109" spans="1:8">
      <c r="A109" s="1">
        <v>42447</v>
      </c>
      <c r="B109">
        <v>232.74</v>
      </c>
      <c r="C109" s="2">
        <f t="shared" ca="1" si="5"/>
        <v>208.01750000000001</v>
      </c>
      <c r="D109" s="2">
        <f t="shared" ca="1" si="4"/>
        <v>222.21666666666667</v>
      </c>
      <c r="E109" t="b">
        <f t="shared" ca="1" si="3"/>
        <v>1</v>
      </c>
      <c r="F109">
        <v>46.560000000002503</v>
      </c>
      <c r="G109">
        <v>13266.18</v>
      </c>
      <c r="H109">
        <f t="shared" si="6"/>
        <v>13312.740000000003</v>
      </c>
    </row>
    <row r="110" spans="1:8">
      <c r="A110" s="1">
        <v>42450</v>
      </c>
      <c r="B110">
        <v>238.32</v>
      </c>
      <c r="C110" s="2">
        <f t="shared" ca="1" si="5"/>
        <v>211.71749999999997</v>
      </c>
      <c r="D110" s="2">
        <f t="shared" ca="1" si="4"/>
        <v>227.01666666666665</v>
      </c>
      <c r="E110" t="b">
        <f t="shared" ca="1" si="3"/>
        <v>1</v>
      </c>
      <c r="F110">
        <v>46.560000000002503</v>
      </c>
      <c r="G110">
        <v>13584.24</v>
      </c>
      <c r="H110">
        <f t="shared" si="6"/>
        <v>13630.800000000003</v>
      </c>
    </row>
    <row r="111" spans="1:8">
      <c r="A111" s="1">
        <v>42451</v>
      </c>
      <c r="B111">
        <v>234.24</v>
      </c>
      <c r="C111" s="2">
        <f t="shared" ca="1" si="5"/>
        <v>215.26583333333335</v>
      </c>
      <c r="D111" s="2">
        <f t="shared" ca="1" si="4"/>
        <v>232.48000000000002</v>
      </c>
      <c r="E111" t="b">
        <f t="shared" ca="1" si="3"/>
        <v>1</v>
      </c>
      <c r="F111">
        <v>46.560000000002503</v>
      </c>
      <c r="G111">
        <v>13351.68</v>
      </c>
      <c r="H111">
        <f t="shared" si="6"/>
        <v>13398.240000000003</v>
      </c>
    </row>
    <row r="112" spans="1:8">
      <c r="A112" s="1">
        <v>42452</v>
      </c>
      <c r="B112">
        <v>222.58</v>
      </c>
      <c r="C112" s="2">
        <f t="shared" ca="1" si="5"/>
        <v>218.03250000000003</v>
      </c>
      <c r="D112" s="2">
        <f t="shared" ca="1" si="4"/>
        <v>235.1</v>
      </c>
      <c r="E112" t="b">
        <f t="shared" ca="1" si="3"/>
        <v>1</v>
      </c>
      <c r="F112">
        <v>46.560000000002503</v>
      </c>
      <c r="G112">
        <v>12687.060000000001</v>
      </c>
      <c r="H112">
        <f t="shared" si="6"/>
        <v>12733.620000000004</v>
      </c>
    </row>
    <row r="113" spans="1:8">
      <c r="A113" s="1">
        <v>42453</v>
      </c>
      <c r="B113">
        <v>227.75</v>
      </c>
      <c r="C113" s="2">
        <f t="shared" ca="1" si="5"/>
        <v>219.47333333333336</v>
      </c>
      <c r="D113" s="2">
        <f t="shared" ca="1" si="4"/>
        <v>231.71333333333334</v>
      </c>
      <c r="E113" t="b">
        <f t="shared" ca="1" si="3"/>
        <v>1</v>
      </c>
      <c r="F113">
        <v>46.560000000002503</v>
      </c>
      <c r="G113">
        <v>12981.75</v>
      </c>
      <c r="H113">
        <f t="shared" si="6"/>
        <v>13028.310000000003</v>
      </c>
    </row>
    <row r="114" spans="1:8">
      <c r="A114" s="1">
        <v>42457</v>
      </c>
      <c r="B114">
        <v>230.26</v>
      </c>
      <c r="C114" s="2">
        <f t="shared" ca="1" si="5"/>
        <v>221.56916666666666</v>
      </c>
      <c r="D114" s="2">
        <f t="shared" ca="1" si="4"/>
        <v>228.19000000000003</v>
      </c>
      <c r="E114" t="b">
        <f t="shared" ca="1" si="3"/>
        <v>1</v>
      </c>
      <c r="F114">
        <v>46.560000000002503</v>
      </c>
      <c r="G114">
        <v>13124.82</v>
      </c>
      <c r="H114">
        <f t="shared" si="6"/>
        <v>13171.380000000003</v>
      </c>
    </row>
    <row r="115" spans="1:8">
      <c r="A115" s="1">
        <v>42458</v>
      </c>
      <c r="B115">
        <v>230.13</v>
      </c>
      <c r="C115" s="2">
        <f t="shared" ca="1" si="5"/>
        <v>223.36416666666665</v>
      </c>
      <c r="D115" s="2">
        <f t="shared" ca="1" si="4"/>
        <v>226.86333333333334</v>
      </c>
      <c r="E115" t="b">
        <f t="shared" ca="1" si="3"/>
        <v>1</v>
      </c>
      <c r="F115">
        <v>46.560000000002503</v>
      </c>
      <c r="G115">
        <v>13117.41</v>
      </c>
      <c r="H115">
        <f t="shared" si="6"/>
        <v>13163.970000000003</v>
      </c>
    </row>
    <row r="116" spans="1:8">
      <c r="A116" s="1">
        <v>42459</v>
      </c>
      <c r="B116">
        <v>226.89</v>
      </c>
      <c r="C116" s="2">
        <f t="shared" ca="1" si="5"/>
        <v>225.44333333333338</v>
      </c>
      <c r="D116" s="2">
        <f t="shared" ca="1" si="4"/>
        <v>229.38</v>
      </c>
      <c r="E116" t="b">
        <f t="shared" ref="E116:E179" ca="1" si="7">D116&gt;C116</f>
        <v>1</v>
      </c>
      <c r="F116">
        <v>46.560000000002503</v>
      </c>
      <c r="G116">
        <v>12932.73</v>
      </c>
      <c r="H116">
        <f t="shared" si="6"/>
        <v>12979.290000000003</v>
      </c>
    </row>
    <row r="117" spans="1:8">
      <c r="A117" s="1">
        <v>42460</v>
      </c>
      <c r="B117">
        <v>229.77</v>
      </c>
      <c r="C117" s="2">
        <f t="shared" ca="1" si="5"/>
        <v>227.05916666666664</v>
      </c>
      <c r="D117" s="2">
        <f t="shared" ca="1" si="4"/>
        <v>229.09333333333333</v>
      </c>
      <c r="E117" t="b">
        <f t="shared" ca="1" si="7"/>
        <v>1</v>
      </c>
      <c r="F117">
        <v>46.560000000002503</v>
      </c>
      <c r="G117">
        <v>13096.890000000001</v>
      </c>
      <c r="H117">
        <f t="shared" si="6"/>
        <v>13143.450000000004</v>
      </c>
    </row>
    <row r="118" spans="1:8">
      <c r="A118" s="1">
        <v>42461</v>
      </c>
      <c r="B118">
        <v>237.59</v>
      </c>
      <c r="C118" s="2">
        <f t="shared" ca="1" si="5"/>
        <v>228.2775</v>
      </c>
      <c r="D118" s="2">
        <f t="shared" ca="1" si="4"/>
        <v>228.92999999999998</v>
      </c>
      <c r="E118" t="b">
        <f t="shared" ca="1" si="7"/>
        <v>1</v>
      </c>
      <c r="F118">
        <v>46.560000000002503</v>
      </c>
      <c r="G118">
        <v>13542.630000000001</v>
      </c>
      <c r="H118">
        <f t="shared" si="6"/>
        <v>13589.190000000004</v>
      </c>
    </row>
    <row r="119" spans="1:8">
      <c r="A119" s="1">
        <v>42464</v>
      </c>
      <c r="B119">
        <v>246.99</v>
      </c>
      <c r="C119" s="2">
        <f t="shared" ca="1" si="5"/>
        <v>229.88166666666666</v>
      </c>
      <c r="D119" s="2">
        <f t="shared" ca="1" si="4"/>
        <v>231.41666666666666</v>
      </c>
      <c r="E119" t="b">
        <f t="shared" ca="1" si="7"/>
        <v>1</v>
      </c>
      <c r="F119">
        <v>46.560000000002503</v>
      </c>
      <c r="G119">
        <v>14078.43</v>
      </c>
      <c r="H119">
        <f t="shared" si="6"/>
        <v>14124.990000000003</v>
      </c>
    </row>
    <row r="120" spans="1:8">
      <c r="A120" s="1">
        <v>42465</v>
      </c>
      <c r="B120">
        <v>255.47</v>
      </c>
      <c r="C120" s="2">
        <f t="shared" ca="1" si="5"/>
        <v>231.97000000000003</v>
      </c>
      <c r="D120" s="2">
        <f t="shared" ca="1" si="4"/>
        <v>238.11666666666667</v>
      </c>
      <c r="E120" t="b">
        <f t="shared" ca="1" si="7"/>
        <v>1</v>
      </c>
      <c r="F120">
        <v>46.560000000002503</v>
      </c>
      <c r="G120">
        <v>14561.789999999999</v>
      </c>
      <c r="H120">
        <f t="shared" si="6"/>
        <v>14608.350000000002</v>
      </c>
    </row>
    <row r="121" spans="1:8">
      <c r="A121" s="1">
        <v>42466</v>
      </c>
      <c r="B121">
        <v>265.42</v>
      </c>
      <c r="C121" s="2">
        <f t="shared" ca="1" si="5"/>
        <v>234.39416666666668</v>
      </c>
      <c r="D121" s="2">
        <f t="shared" ca="1" si="4"/>
        <v>246.68333333333337</v>
      </c>
      <c r="E121" t="b">
        <f t="shared" ca="1" si="7"/>
        <v>1</v>
      </c>
      <c r="F121">
        <v>46.560000000002503</v>
      </c>
      <c r="G121">
        <v>15128.94</v>
      </c>
      <c r="H121">
        <f t="shared" si="6"/>
        <v>15175.500000000004</v>
      </c>
    </row>
    <row r="122" spans="1:8">
      <c r="A122" s="1">
        <v>42467</v>
      </c>
      <c r="B122">
        <v>257.2</v>
      </c>
      <c r="C122" s="2">
        <f t="shared" ca="1" si="5"/>
        <v>237.11750000000004</v>
      </c>
      <c r="D122" s="2">
        <f t="shared" ca="1" si="4"/>
        <v>255.96000000000004</v>
      </c>
      <c r="E122" t="b">
        <f t="shared" ca="1" si="7"/>
        <v>1</v>
      </c>
      <c r="F122">
        <v>46.560000000002503</v>
      </c>
      <c r="G122">
        <v>14660.4</v>
      </c>
      <c r="H122">
        <f t="shared" si="6"/>
        <v>14706.960000000003</v>
      </c>
    </row>
    <row r="123" spans="1:8">
      <c r="A123" s="1">
        <v>42468</v>
      </c>
      <c r="B123">
        <v>250.07</v>
      </c>
      <c r="C123" s="2">
        <f t="shared" ca="1" si="5"/>
        <v>238.6908333333333</v>
      </c>
      <c r="D123" s="2">
        <f t="shared" ca="1" si="4"/>
        <v>259.36333333333329</v>
      </c>
      <c r="E123" t="b">
        <f t="shared" ca="1" si="7"/>
        <v>1</v>
      </c>
      <c r="F123">
        <v>46.560000000002503</v>
      </c>
      <c r="G123">
        <v>14253.99</v>
      </c>
      <c r="H123">
        <f t="shared" si="6"/>
        <v>14300.550000000003</v>
      </c>
    </row>
    <row r="124" spans="1:8">
      <c r="A124" s="1">
        <v>42471</v>
      </c>
      <c r="B124">
        <v>249.92</v>
      </c>
      <c r="C124" s="2">
        <f t="shared" ca="1" si="5"/>
        <v>240.01</v>
      </c>
      <c r="D124" s="2">
        <f t="shared" ca="1" si="4"/>
        <v>257.56333333333333</v>
      </c>
      <c r="E124" t="b">
        <f t="shared" ca="1" si="7"/>
        <v>1</v>
      </c>
      <c r="F124">
        <v>46.560000000002503</v>
      </c>
      <c r="G124">
        <v>14245.439999999999</v>
      </c>
      <c r="H124">
        <f t="shared" si="6"/>
        <v>14292.000000000002</v>
      </c>
    </row>
    <row r="125" spans="1:8">
      <c r="A125" s="1">
        <v>42472</v>
      </c>
      <c r="B125">
        <v>247.82</v>
      </c>
      <c r="C125" s="2">
        <f t="shared" ca="1" si="5"/>
        <v>242.28833333333333</v>
      </c>
      <c r="D125" s="2">
        <f t="shared" ca="1" si="4"/>
        <v>252.39666666666665</v>
      </c>
      <c r="E125" t="b">
        <f t="shared" ca="1" si="7"/>
        <v>1</v>
      </c>
      <c r="F125">
        <v>46.560000000002503</v>
      </c>
      <c r="G125">
        <v>14125.74</v>
      </c>
      <c r="H125">
        <f t="shared" si="6"/>
        <v>14172.300000000003</v>
      </c>
    </row>
    <row r="126" spans="1:8">
      <c r="A126" s="1">
        <v>42473</v>
      </c>
      <c r="B126">
        <v>254.53</v>
      </c>
      <c r="C126" s="2">
        <f t="shared" ca="1" si="5"/>
        <v>243.96083333333334</v>
      </c>
      <c r="D126" s="2">
        <f t="shared" ca="1" si="4"/>
        <v>249.26999999999998</v>
      </c>
      <c r="E126" t="b">
        <f t="shared" ca="1" si="7"/>
        <v>1</v>
      </c>
      <c r="F126">
        <v>46.560000000002503</v>
      </c>
      <c r="G126">
        <v>14508.210000000001</v>
      </c>
      <c r="H126">
        <f t="shared" si="6"/>
        <v>14554.770000000004</v>
      </c>
    </row>
    <row r="127" spans="1:8">
      <c r="A127" s="1">
        <v>42474</v>
      </c>
      <c r="B127">
        <v>251.86</v>
      </c>
      <c r="C127" s="2">
        <f t="shared" ca="1" si="5"/>
        <v>245.98333333333338</v>
      </c>
      <c r="D127" s="2">
        <f t="shared" ca="1" si="4"/>
        <v>250.75666666666666</v>
      </c>
      <c r="E127" t="b">
        <f t="shared" ca="1" si="7"/>
        <v>1</v>
      </c>
      <c r="F127">
        <v>46.560000000002503</v>
      </c>
      <c r="G127">
        <v>14356.02</v>
      </c>
      <c r="H127">
        <f t="shared" si="6"/>
        <v>14402.580000000004</v>
      </c>
    </row>
    <row r="128" spans="1:8">
      <c r="A128" s="1">
        <v>42475</v>
      </c>
      <c r="B128">
        <v>254.51</v>
      </c>
      <c r="C128" s="2">
        <f t="shared" ca="1" si="5"/>
        <v>247.79416666666671</v>
      </c>
      <c r="D128" s="2">
        <f t="shared" ca="1" si="4"/>
        <v>251.40333333333334</v>
      </c>
      <c r="E128" t="b">
        <f t="shared" ca="1" si="7"/>
        <v>1</v>
      </c>
      <c r="F128">
        <v>46.560000000002503</v>
      </c>
      <c r="G128">
        <v>14507.07</v>
      </c>
      <c r="H128">
        <f t="shared" si="6"/>
        <v>14553.630000000003</v>
      </c>
    </row>
    <row r="129" spans="1:8">
      <c r="A129" s="1">
        <v>42478</v>
      </c>
      <c r="B129">
        <v>253.88</v>
      </c>
      <c r="C129" s="2">
        <f t="shared" ca="1" si="5"/>
        <v>250.09583333333339</v>
      </c>
      <c r="D129" s="2">
        <f t="shared" ca="1" si="4"/>
        <v>253.63333333333333</v>
      </c>
      <c r="E129" t="b">
        <f t="shared" ca="1" si="7"/>
        <v>1</v>
      </c>
      <c r="F129">
        <v>46.560000000002503</v>
      </c>
      <c r="G129">
        <v>14471.16</v>
      </c>
      <c r="H129">
        <f t="shared" si="6"/>
        <v>14517.720000000003</v>
      </c>
    </row>
    <row r="130" spans="1:8">
      <c r="A130" s="1">
        <v>42479</v>
      </c>
      <c r="B130">
        <v>247.37</v>
      </c>
      <c r="C130" s="2">
        <f t="shared" ca="1" si="5"/>
        <v>252.10500000000002</v>
      </c>
      <c r="D130" s="2">
        <f t="shared" ca="1" si="4"/>
        <v>253.41666666666666</v>
      </c>
      <c r="E130" t="b">
        <f t="shared" ca="1" si="7"/>
        <v>1</v>
      </c>
      <c r="F130">
        <v>46.560000000002503</v>
      </c>
      <c r="G130">
        <v>14100.09</v>
      </c>
      <c r="H130">
        <f t="shared" si="6"/>
        <v>14146.650000000003</v>
      </c>
    </row>
    <row r="131" spans="1:8">
      <c r="A131" s="1">
        <v>42480</v>
      </c>
      <c r="B131">
        <v>249.97</v>
      </c>
      <c r="C131" s="2">
        <f t="shared" ca="1" si="5"/>
        <v>252.92</v>
      </c>
      <c r="D131" s="2">
        <f t="shared" ca="1" si="4"/>
        <v>251.92</v>
      </c>
      <c r="E131" t="b">
        <f t="shared" ca="1" si="7"/>
        <v>0</v>
      </c>
      <c r="F131">
        <v>14294.850000000002</v>
      </c>
      <c r="G131">
        <v>0</v>
      </c>
      <c r="H131">
        <f t="shared" si="6"/>
        <v>14294.850000000002</v>
      </c>
    </row>
    <row r="132" spans="1:8">
      <c r="A132" s="1">
        <v>42481</v>
      </c>
      <c r="B132">
        <v>248.29</v>
      </c>
      <c r="C132" s="2">
        <f t="shared" ca="1" si="5"/>
        <v>253.16833333333332</v>
      </c>
      <c r="D132" s="2">
        <f t="shared" ca="1" si="4"/>
        <v>250.40666666666667</v>
      </c>
      <c r="E132" t="b">
        <f t="shared" ca="1" si="7"/>
        <v>0</v>
      </c>
      <c r="F132">
        <v>14294.850000000002</v>
      </c>
      <c r="G132">
        <v>0</v>
      </c>
      <c r="H132">
        <f t="shared" si="6"/>
        <v>14294.850000000002</v>
      </c>
    </row>
    <row r="133" spans="1:8">
      <c r="A133" s="1">
        <v>42482</v>
      </c>
      <c r="B133">
        <v>253.75</v>
      </c>
      <c r="C133" s="2">
        <f t="shared" ca="1" si="5"/>
        <v>252.56999999999996</v>
      </c>
      <c r="D133" s="2">
        <f t="shared" ref="D133:D196" ca="1" si="8">AVERAGE(INDIRECT(ADDRESS(ROW()-$D$1,COLUMN()-2)&amp;":"&amp;ADDRESS(ROW()-1,COLUMN()-2)))</f>
        <v>248.54333333333332</v>
      </c>
      <c r="E133" t="b">
        <f t="shared" ca="1" si="7"/>
        <v>0</v>
      </c>
      <c r="F133">
        <v>14294.850000000002</v>
      </c>
      <c r="G133">
        <v>0</v>
      </c>
      <c r="H133">
        <f t="shared" si="6"/>
        <v>14294.850000000002</v>
      </c>
    </row>
    <row r="134" spans="1:8">
      <c r="A134" s="1">
        <v>42485</v>
      </c>
      <c r="B134">
        <v>251.82</v>
      </c>
      <c r="C134" s="2">
        <f t="shared" ca="1" si="5"/>
        <v>251.59749999999997</v>
      </c>
      <c r="D134" s="2">
        <f t="shared" ca="1" si="8"/>
        <v>250.67</v>
      </c>
      <c r="E134" t="b">
        <f t="shared" ca="1" si="7"/>
        <v>0</v>
      </c>
      <c r="F134">
        <v>14294.850000000002</v>
      </c>
      <c r="G134">
        <v>0</v>
      </c>
      <c r="H134">
        <f t="shared" si="6"/>
        <v>14294.850000000002</v>
      </c>
    </row>
    <row r="135" spans="1:8">
      <c r="A135" s="1">
        <v>42486</v>
      </c>
      <c r="B135">
        <v>253.74</v>
      </c>
      <c r="C135" s="2">
        <f t="shared" ca="1" si="5"/>
        <v>251.14916666666662</v>
      </c>
      <c r="D135" s="2">
        <f t="shared" ca="1" si="8"/>
        <v>251.28666666666663</v>
      </c>
      <c r="E135" t="b">
        <f t="shared" ca="1" si="7"/>
        <v>1</v>
      </c>
      <c r="F135">
        <v>85.410000000012587</v>
      </c>
      <c r="G135">
        <v>14209.44</v>
      </c>
      <c r="H135">
        <f t="shared" si="6"/>
        <v>14294.850000000013</v>
      </c>
    </row>
    <row r="136" spans="1:8">
      <c r="A136" s="1">
        <v>42487</v>
      </c>
      <c r="B136">
        <v>251.47</v>
      </c>
      <c r="C136" s="2">
        <f t="shared" ca="1" si="5"/>
        <v>251.45500000000001</v>
      </c>
      <c r="D136" s="2">
        <f t="shared" ca="1" si="8"/>
        <v>253.10333333333332</v>
      </c>
      <c r="E136" t="b">
        <f t="shared" ca="1" si="7"/>
        <v>1</v>
      </c>
      <c r="F136">
        <v>85.410000000012587</v>
      </c>
      <c r="G136">
        <v>14082.32</v>
      </c>
      <c r="H136">
        <f t="shared" si="6"/>
        <v>14167.730000000012</v>
      </c>
    </row>
    <row r="137" spans="1:8">
      <c r="A137" s="1">
        <v>42488</v>
      </c>
      <c r="B137">
        <v>247.71</v>
      </c>
      <c r="C137" s="2">
        <f t="shared" ca="1" si="5"/>
        <v>251.58416666666665</v>
      </c>
      <c r="D137" s="2">
        <f t="shared" ca="1" si="8"/>
        <v>252.34333333333333</v>
      </c>
      <c r="E137" t="b">
        <f t="shared" ca="1" si="7"/>
        <v>1</v>
      </c>
      <c r="F137">
        <v>85.410000000012587</v>
      </c>
      <c r="G137">
        <v>13871.76</v>
      </c>
      <c r="H137">
        <f t="shared" si="6"/>
        <v>13957.170000000013</v>
      </c>
    </row>
    <row r="138" spans="1:8">
      <c r="A138" s="1">
        <v>42489</v>
      </c>
      <c r="B138">
        <v>240.76</v>
      </c>
      <c r="C138" s="2">
        <f t="shared" ca="1" si="5"/>
        <v>251.57500000000002</v>
      </c>
      <c r="D138" s="2">
        <f t="shared" ca="1" si="8"/>
        <v>250.97333333333336</v>
      </c>
      <c r="E138" t="b">
        <f t="shared" ca="1" si="7"/>
        <v>0</v>
      </c>
      <c r="F138">
        <v>13567.970000000012</v>
      </c>
      <c r="G138">
        <v>0</v>
      </c>
      <c r="H138">
        <f t="shared" si="6"/>
        <v>13567.970000000012</v>
      </c>
    </row>
    <row r="139" spans="1:8">
      <c r="A139" s="1">
        <v>42492</v>
      </c>
      <c r="B139">
        <v>241.8</v>
      </c>
      <c r="C139" s="2">
        <f t="shared" ca="1" si="5"/>
        <v>250.42749999999992</v>
      </c>
      <c r="D139" s="2">
        <f t="shared" ca="1" si="8"/>
        <v>246.64666666666668</v>
      </c>
      <c r="E139" t="b">
        <f t="shared" ca="1" si="7"/>
        <v>0</v>
      </c>
      <c r="F139">
        <v>13567.970000000012</v>
      </c>
      <c r="G139">
        <v>0</v>
      </c>
      <c r="H139">
        <f t="shared" si="6"/>
        <v>13567.970000000012</v>
      </c>
    </row>
    <row r="140" spans="1:8">
      <c r="A140" s="1">
        <v>42493</v>
      </c>
      <c r="B140">
        <v>232.32</v>
      </c>
      <c r="C140" s="2">
        <f t="shared" ca="1" si="5"/>
        <v>249.58916666666664</v>
      </c>
      <c r="D140" s="2">
        <f t="shared" ca="1" si="8"/>
        <v>243.42333333333332</v>
      </c>
      <c r="E140" t="b">
        <f t="shared" ca="1" si="7"/>
        <v>0</v>
      </c>
      <c r="F140">
        <v>13567.970000000012</v>
      </c>
      <c r="G140">
        <v>0</v>
      </c>
      <c r="H140">
        <f t="shared" si="6"/>
        <v>13567.970000000012</v>
      </c>
    </row>
    <row r="141" spans="1:8">
      <c r="A141" s="1">
        <v>42494</v>
      </c>
      <c r="B141">
        <v>222.56</v>
      </c>
      <c r="C141" s="2">
        <f t="shared" ca="1" si="5"/>
        <v>247.74000000000004</v>
      </c>
      <c r="D141" s="2">
        <f t="shared" ca="1" si="8"/>
        <v>238.29333333333332</v>
      </c>
      <c r="E141" t="b">
        <f t="shared" ca="1" si="7"/>
        <v>0</v>
      </c>
      <c r="F141">
        <v>13567.970000000012</v>
      </c>
      <c r="G141">
        <v>0</v>
      </c>
      <c r="H141">
        <f t="shared" si="6"/>
        <v>13567.970000000012</v>
      </c>
    </row>
    <row r="142" spans="1:8">
      <c r="A142" s="1">
        <v>42495</v>
      </c>
      <c r="B142">
        <v>211.53</v>
      </c>
      <c r="C142" s="2">
        <f t="shared" ca="1" si="5"/>
        <v>245.13000000000002</v>
      </c>
      <c r="D142" s="2">
        <f t="shared" ca="1" si="8"/>
        <v>232.22666666666669</v>
      </c>
      <c r="E142" t="b">
        <f t="shared" ca="1" si="7"/>
        <v>0</v>
      </c>
      <c r="F142">
        <v>13567.970000000012</v>
      </c>
      <c r="G142">
        <v>0</v>
      </c>
      <c r="H142">
        <f t="shared" si="6"/>
        <v>13567.970000000012</v>
      </c>
    </row>
    <row r="143" spans="1:8">
      <c r="A143" s="1">
        <v>42496</v>
      </c>
      <c r="B143">
        <v>214.93</v>
      </c>
      <c r="C143" s="2">
        <f t="shared" ca="1" si="5"/>
        <v>242.14333333333335</v>
      </c>
      <c r="D143" s="2">
        <f t="shared" ca="1" si="8"/>
        <v>222.13666666666666</v>
      </c>
      <c r="E143" t="b">
        <f t="shared" ca="1" si="7"/>
        <v>0</v>
      </c>
      <c r="F143">
        <v>13567.970000000012</v>
      </c>
      <c r="G143">
        <v>0</v>
      </c>
      <c r="H143">
        <f t="shared" si="6"/>
        <v>13567.970000000012</v>
      </c>
    </row>
    <row r="144" spans="1:8">
      <c r="A144" s="1">
        <v>42499</v>
      </c>
      <c r="B144">
        <v>208.92</v>
      </c>
      <c r="C144" s="2">
        <f t="shared" ca="1" si="5"/>
        <v>239.22333333333333</v>
      </c>
      <c r="D144" s="2">
        <f t="shared" ca="1" si="8"/>
        <v>216.34</v>
      </c>
      <c r="E144" t="b">
        <f t="shared" ca="1" si="7"/>
        <v>0</v>
      </c>
      <c r="F144">
        <v>13567.970000000012</v>
      </c>
      <c r="G144">
        <v>0</v>
      </c>
      <c r="H144">
        <f t="shared" si="6"/>
        <v>13567.970000000012</v>
      </c>
    </row>
    <row r="145" spans="1:8">
      <c r="A145" s="1">
        <v>42500</v>
      </c>
      <c r="B145">
        <v>208.69</v>
      </c>
      <c r="C145" s="2">
        <f t="shared" ca="1" si="5"/>
        <v>235.9425</v>
      </c>
      <c r="D145" s="2">
        <f t="shared" ca="1" si="8"/>
        <v>211.79333333333332</v>
      </c>
      <c r="E145" t="b">
        <f t="shared" ca="1" si="7"/>
        <v>0</v>
      </c>
      <c r="F145">
        <v>13567.970000000012</v>
      </c>
      <c r="G145">
        <v>0</v>
      </c>
      <c r="H145">
        <f t="shared" si="6"/>
        <v>13567.970000000012</v>
      </c>
    </row>
    <row r="146" spans="1:8">
      <c r="A146" s="1">
        <v>42501</v>
      </c>
      <c r="B146">
        <v>208.96</v>
      </c>
      <c r="C146" s="2">
        <f t="shared" ca="1" si="5"/>
        <v>232.1875</v>
      </c>
      <c r="D146" s="2">
        <f t="shared" ca="1" si="8"/>
        <v>210.84666666666666</v>
      </c>
      <c r="E146" t="b">
        <f t="shared" ca="1" si="7"/>
        <v>0</v>
      </c>
      <c r="F146">
        <v>13567.970000000012</v>
      </c>
      <c r="G146">
        <v>0</v>
      </c>
      <c r="H146">
        <f t="shared" si="6"/>
        <v>13567.970000000012</v>
      </c>
    </row>
    <row r="147" spans="1:8">
      <c r="A147" s="1">
        <v>42502</v>
      </c>
      <c r="B147">
        <v>207.28</v>
      </c>
      <c r="C147" s="2">
        <f t="shared" ca="1" si="5"/>
        <v>228.61583333333331</v>
      </c>
      <c r="D147" s="2">
        <f t="shared" ca="1" si="8"/>
        <v>208.85666666666668</v>
      </c>
      <c r="E147" t="b">
        <f t="shared" ca="1" si="7"/>
        <v>0</v>
      </c>
      <c r="F147">
        <v>13567.970000000012</v>
      </c>
      <c r="G147">
        <v>0</v>
      </c>
      <c r="H147">
        <f t="shared" si="6"/>
        <v>13567.970000000012</v>
      </c>
    </row>
    <row r="148" spans="1:8">
      <c r="A148" s="1">
        <v>42503</v>
      </c>
      <c r="B148">
        <v>207.61</v>
      </c>
      <c r="C148" s="2">
        <f t="shared" ca="1" si="5"/>
        <v>224.7441666666667</v>
      </c>
      <c r="D148" s="2">
        <f t="shared" ca="1" si="8"/>
        <v>208.30999999999997</v>
      </c>
      <c r="E148" t="b">
        <f t="shared" ca="1" si="7"/>
        <v>0</v>
      </c>
      <c r="F148">
        <v>13567.970000000012</v>
      </c>
      <c r="G148">
        <v>0</v>
      </c>
      <c r="H148">
        <f t="shared" si="6"/>
        <v>13567.970000000012</v>
      </c>
    </row>
    <row r="149" spans="1:8">
      <c r="A149" s="1">
        <v>42506</v>
      </c>
      <c r="B149">
        <v>208.29</v>
      </c>
      <c r="C149" s="2">
        <f t="shared" ca="1" si="5"/>
        <v>221.08916666666667</v>
      </c>
      <c r="D149" s="2">
        <f t="shared" ca="1" si="8"/>
        <v>207.95000000000002</v>
      </c>
      <c r="E149" t="b">
        <f t="shared" ca="1" si="7"/>
        <v>0</v>
      </c>
      <c r="F149">
        <v>13567.970000000012</v>
      </c>
      <c r="G149">
        <v>0</v>
      </c>
      <c r="H149">
        <f t="shared" si="6"/>
        <v>13567.970000000012</v>
      </c>
    </row>
    <row r="150" spans="1:8">
      <c r="A150" s="1">
        <v>42507</v>
      </c>
      <c r="B150">
        <v>204.66</v>
      </c>
      <c r="C150" s="2">
        <f t="shared" ref="C150:C213" ca="1" si="9">AVERAGE(INDIRECT(ADDRESS(ROW()-$C$1,COLUMN()-1)&amp;":"&amp;ADDRESS(ROW()-1,COLUMN()-1)))</f>
        <v>217.8041666666667</v>
      </c>
      <c r="D150" s="2">
        <f t="shared" ca="1" si="8"/>
        <v>207.72666666666666</v>
      </c>
      <c r="E150" t="b">
        <f t="shared" ca="1" si="7"/>
        <v>0</v>
      </c>
      <c r="F150">
        <v>13567.970000000012</v>
      </c>
      <c r="G150">
        <v>0</v>
      </c>
      <c r="H150">
        <f t="shared" ref="H150:H213" si="10">G150+F150</f>
        <v>13567.970000000012</v>
      </c>
    </row>
    <row r="151" spans="1:8">
      <c r="A151" s="1">
        <v>42508</v>
      </c>
      <c r="B151">
        <v>211.17</v>
      </c>
      <c r="C151" s="2">
        <f t="shared" ca="1" si="9"/>
        <v>214.79583333333335</v>
      </c>
      <c r="D151" s="2">
        <f t="shared" ca="1" si="8"/>
        <v>206.85333333333332</v>
      </c>
      <c r="E151" t="b">
        <f t="shared" ca="1" si="7"/>
        <v>0</v>
      </c>
      <c r="F151">
        <v>13567.970000000012</v>
      </c>
      <c r="G151">
        <v>0</v>
      </c>
      <c r="H151">
        <f t="shared" si="10"/>
        <v>13567.970000000012</v>
      </c>
    </row>
    <row r="152" spans="1:8">
      <c r="A152" s="1">
        <v>42509</v>
      </c>
      <c r="B152">
        <v>215.21</v>
      </c>
      <c r="C152" s="2">
        <f t="shared" ca="1" si="9"/>
        <v>212.24333333333334</v>
      </c>
      <c r="D152" s="2">
        <f t="shared" ca="1" si="8"/>
        <v>208.04</v>
      </c>
      <c r="E152" t="b">
        <f t="shared" ca="1" si="7"/>
        <v>0</v>
      </c>
      <c r="F152">
        <v>13567.970000000012</v>
      </c>
      <c r="G152">
        <v>0</v>
      </c>
      <c r="H152">
        <f t="shared" si="10"/>
        <v>13567.970000000012</v>
      </c>
    </row>
    <row r="153" spans="1:8">
      <c r="A153" s="1">
        <v>42510</v>
      </c>
      <c r="B153">
        <v>220.28</v>
      </c>
      <c r="C153" s="2">
        <f t="shared" ca="1" si="9"/>
        <v>210.8175</v>
      </c>
      <c r="D153" s="2">
        <f t="shared" ca="1" si="8"/>
        <v>210.34666666666666</v>
      </c>
      <c r="E153" t="b">
        <f t="shared" ca="1" si="7"/>
        <v>0</v>
      </c>
      <c r="F153">
        <v>13567.970000000012</v>
      </c>
      <c r="G153">
        <v>0</v>
      </c>
      <c r="H153">
        <f t="shared" si="10"/>
        <v>13567.970000000012</v>
      </c>
    </row>
    <row r="154" spans="1:8">
      <c r="A154" s="1">
        <v>42513</v>
      </c>
      <c r="B154">
        <v>216.22</v>
      </c>
      <c r="C154" s="2">
        <f t="shared" ca="1" si="9"/>
        <v>210.62750000000003</v>
      </c>
      <c r="D154" s="2">
        <f t="shared" ca="1" si="8"/>
        <v>215.55333333333331</v>
      </c>
      <c r="E154" t="b">
        <f t="shared" ca="1" si="7"/>
        <v>1</v>
      </c>
      <c r="F154">
        <v>162.33000000002474</v>
      </c>
      <c r="G154">
        <v>13405.64</v>
      </c>
      <c r="H154">
        <f t="shared" si="10"/>
        <v>13567.970000000025</v>
      </c>
    </row>
    <row r="155" spans="1:8">
      <c r="A155" s="1">
        <v>42514</v>
      </c>
      <c r="B155">
        <v>217.91</v>
      </c>
      <c r="C155" s="2">
        <f t="shared" ca="1" si="9"/>
        <v>211.01833333333332</v>
      </c>
      <c r="D155" s="2">
        <f t="shared" ca="1" si="8"/>
        <v>217.23666666666668</v>
      </c>
      <c r="E155" t="b">
        <f t="shared" ca="1" si="7"/>
        <v>1</v>
      </c>
      <c r="F155">
        <v>162.33000000002474</v>
      </c>
      <c r="G155">
        <v>13510.42</v>
      </c>
      <c r="H155">
        <f t="shared" si="10"/>
        <v>13672.750000000025</v>
      </c>
    </row>
    <row r="156" spans="1:8">
      <c r="A156" s="1">
        <v>42515</v>
      </c>
      <c r="B156">
        <v>219.58</v>
      </c>
      <c r="C156" s="2">
        <f t="shared" ca="1" si="9"/>
        <v>211.26666666666665</v>
      </c>
      <c r="D156" s="2">
        <f t="shared" ca="1" si="8"/>
        <v>218.13666666666666</v>
      </c>
      <c r="E156" t="b">
        <f t="shared" ca="1" si="7"/>
        <v>1</v>
      </c>
      <c r="F156">
        <v>162.33000000002474</v>
      </c>
      <c r="G156">
        <v>13613.960000000001</v>
      </c>
      <c r="H156">
        <f t="shared" si="10"/>
        <v>13776.290000000026</v>
      </c>
    </row>
    <row r="157" spans="1:8">
      <c r="A157" s="1">
        <v>42516</v>
      </c>
      <c r="B157">
        <v>225.12</v>
      </c>
      <c r="C157" s="2">
        <f t="shared" ca="1" si="9"/>
        <v>212.15499999999997</v>
      </c>
      <c r="D157" s="2">
        <f t="shared" ca="1" si="8"/>
        <v>217.90333333333334</v>
      </c>
      <c r="E157" t="b">
        <f t="shared" ca="1" si="7"/>
        <v>1</v>
      </c>
      <c r="F157">
        <v>162.33000000002474</v>
      </c>
      <c r="G157">
        <v>13957.44</v>
      </c>
      <c r="H157">
        <f t="shared" si="10"/>
        <v>14119.770000000026</v>
      </c>
    </row>
    <row r="158" spans="1:8">
      <c r="A158" s="1">
        <v>42517</v>
      </c>
      <c r="B158">
        <v>223.04</v>
      </c>
      <c r="C158" s="2">
        <f t="shared" ca="1" si="9"/>
        <v>213.52416666666667</v>
      </c>
      <c r="D158" s="2">
        <f t="shared" ca="1" si="8"/>
        <v>220.87</v>
      </c>
      <c r="E158" t="b">
        <f t="shared" ca="1" si="7"/>
        <v>1</v>
      </c>
      <c r="F158">
        <v>162.33000000002474</v>
      </c>
      <c r="G158">
        <v>13828.48</v>
      </c>
      <c r="H158">
        <f t="shared" si="10"/>
        <v>13990.810000000025</v>
      </c>
    </row>
    <row r="159" spans="1:8">
      <c r="A159" s="1">
        <v>42521</v>
      </c>
      <c r="B159">
        <v>223.23</v>
      </c>
      <c r="C159" s="2">
        <f t="shared" ca="1" si="9"/>
        <v>214.69749999999999</v>
      </c>
      <c r="D159" s="2">
        <f t="shared" ca="1" si="8"/>
        <v>222.58</v>
      </c>
      <c r="E159" t="b">
        <f t="shared" ca="1" si="7"/>
        <v>1</v>
      </c>
      <c r="F159">
        <v>162.33000000002474</v>
      </c>
      <c r="G159">
        <v>13840.26</v>
      </c>
      <c r="H159">
        <f t="shared" si="10"/>
        <v>14002.590000000026</v>
      </c>
    </row>
    <row r="160" spans="1:8">
      <c r="A160" s="1">
        <v>42522</v>
      </c>
      <c r="B160">
        <v>219.56</v>
      </c>
      <c r="C160" s="2">
        <f t="shared" ca="1" si="9"/>
        <v>216.02666666666664</v>
      </c>
      <c r="D160" s="2">
        <f t="shared" ca="1" si="8"/>
        <v>223.79666666666665</v>
      </c>
      <c r="E160" t="b">
        <f t="shared" ca="1" si="7"/>
        <v>1</v>
      </c>
      <c r="F160">
        <v>162.33000000002474</v>
      </c>
      <c r="G160">
        <v>13612.72</v>
      </c>
      <c r="H160">
        <f t="shared" si="10"/>
        <v>13775.050000000025</v>
      </c>
    </row>
    <row r="161" spans="1:8">
      <c r="A161" s="1">
        <v>42523</v>
      </c>
      <c r="B161">
        <v>218.96</v>
      </c>
      <c r="C161" s="2">
        <f t="shared" ca="1" si="9"/>
        <v>217.02250000000001</v>
      </c>
      <c r="D161" s="2">
        <f t="shared" ca="1" si="8"/>
        <v>221.9433333333333</v>
      </c>
      <c r="E161" t="b">
        <f t="shared" ca="1" si="7"/>
        <v>1</v>
      </c>
      <c r="F161">
        <v>162.33000000002474</v>
      </c>
      <c r="G161">
        <v>13575.52</v>
      </c>
      <c r="H161">
        <f t="shared" si="10"/>
        <v>13737.850000000026</v>
      </c>
    </row>
    <row r="162" spans="1:8">
      <c r="A162" s="1">
        <v>42524</v>
      </c>
      <c r="B162">
        <v>218.99</v>
      </c>
      <c r="C162" s="2">
        <f t="shared" ca="1" si="9"/>
        <v>217.91166666666666</v>
      </c>
      <c r="D162" s="2">
        <f t="shared" ca="1" si="8"/>
        <v>220.58333333333334</v>
      </c>
      <c r="E162" t="b">
        <f t="shared" ca="1" si="7"/>
        <v>1</v>
      </c>
      <c r="F162">
        <v>162.33000000002474</v>
      </c>
      <c r="G162">
        <v>13577.380000000001</v>
      </c>
      <c r="H162">
        <f t="shared" si="10"/>
        <v>13739.710000000026</v>
      </c>
    </row>
    <row r="163" spans="1:8">
      <c r="A163" s="1">
        <v>42527</v>
      </c>
      <c r="B163">
        <v>220.68</v>
      </c>
      <c r="C163" s="2">
        <f t="shared" ca="1" si="9"/>
        <v>219.10583333333329</v>
      </c>
      <c r="D163" s="2">
        <f t="shared" ca="1" si="8"/>
        <v>219.17</v>
      </c>
      <c r="E163" t="b">
        <f t="shared" ca="1" si="7"/>
        <v>1</v>
      </c>
      <c r="F163">
        <v>162.33000000002474</v>
      </c>
      <c r="G163">
        <v>13682.16</v>
      </c>
      <c r="H163">
        <f t="shared" si="10"/>
        <v>13844.490000000025</v>
      </c>
    </row>
    <row r="164" spans="1:8">
      <c r="A164" s="1">
        <v>42528</v>
      </c>
      <c r="B164">
        <v>232.34</v>
      </c>
      <c r="C164" s="2">
        <f t="shared" ca="1" si="9"/>
        <v>219.89833333333334</v>
      </c>
      <c r="D164" s="2">
        <f t="shared" ca="1" si="8"/>
        <v>219.54333333333338</v>
      </c>
      <c r="E164" t="b">
        <f t="shared" ca="1" si="7"/>
        <v>0</v>
      </c>
      <c r="F164">
        <v>14567.410000000025</v>
      </c>
      <c r="G164">
        <v>0</v>
      </c>
      <c r="H164">
        <f t="shared" si="10"/>
        <v>14567.410000000025</v>
      </c>
    </row>
    <row r="165" spans="1:8">
      <c r="A165" s="1">
        <v>42529</v>
      </c>
      <c r="B165">
        <v>235.52</v>
      </c>
      <c r="C165" s="2">
        <f t="shared" ca="1" si="9"/>
        <v>221.32583333333335</v>
      </c>
      <c r="D165" s="2">
        <f t="shared" ca="1" si="8"/>
        <v>224.00333333333333</v>
      </c>
      <c r="E165" t="b">
        <f t="shared" ca="1" si="7"/>
        <v>1</v>
      </c>
      <c r="F165">
        <v>200.69000000000639</v>
      </c>
      <c r="G165">
        <v>14366.720000000001</v>
      </c>
      <c r="H165">
        <f t="shared" si="10"/>
        <v>14567.410000000007</v>
      </c>
    </row>
    <row r="166" spans="1:8">
      <c r="A166" s="1">
        <v>42530</v>
      </c>
      <c r="B166">
        <v>229.36</v>
      </c>
      <c r="C166" s="2">
        <f t="shared" ca="1" si="9"/>
        <v>222.59583333333333</v>
      </c>
      <c r="D166" s="2">
        <f t="shared" ca="1" si="8"/>
        <v>229.51333333333332</v>
      </c>
      <c r="E166" t="b">
        <f t="shared" ca="1" si="7"/>
        <v>1</v>
      </c>
      <c r="F166">
        <v>200.69000000000639</v>
      </c>
      <c r="G166">
        <v>13990.960000000001</v>
      </c>
      <c r="H166">
        <f t="shared" si="10"/>
        <v>14191.650000000007</v>
      </c>
    </row>
    <row r="167" spans="1:8">
      <c r="A167" s="1">
        <v>42531</v>
      </c>
      <c r="B167">
        <v>218.79</v>
      </c>
      <c r="C167" s="2">
        <f t="shared" ca="1" si="9"/>
        <v>223.69083333333333</v>
      </c>
      <c r="D167" s="2">
        <f t="shared" ca="1" si="8"/>
        <v>232.40666666666667</v>
      </c>
      <c r="E167" t="b">
        <f t="shared" ca="1" si="7"/>
        <v>1</v>
      </c>
      <c r="F167">
        <v>200.69000000000639</v>
      </c>
      <c r="G167">
        <v>13346.189999999999</v>
      </c>
      <c r="H167">
        <f t="shared" si="10"/>
        <v>13546.880000000005</v>
      </c>
    </row>
    <row r="168" spans="1:8">
      <c r="A168" s="1">
        <v>42534</v>
      </c>
      <c r="B168">
        <v>217.87</v>
      </c>
      <c r="C168" s="2">
        <f t="shared" ca="1" si="9"/>
        <v>223.76416666666668</v>
      </c>
      <c r="D168" s="2">
        <f t="shared" ca="1" si="8"/>
        <v>227.89</v>
      </c>
      <c r="E168" t="b">
        <f t="shared" ca="1" si="7"/>
        <v>1</v>
      </c>
      <c r="F168">
        <v>200.69000000000639</v>
      </c>
      <c r="G168">
        <v>13290.07</v>
      </c>
      <c r="H168">
        <f t="shared" si="10"/>
        <v>13490.760000000006</v>
      </c>
    </row>
    <row r="169" spans="1:8">
      <c r="A169" s="1">
        <v>42535</v>
      </c>
      <c r="B169">
        <v>214.96</v>
      </c>
      <c r="C169" s="2">
        <f t="shared" ca="1" si="9"/>
        <v>223.62166666666667</v>
      </c>
      <c r="D169" s="2">
        <f t="shared" ca="1" si="8"/>
        <v>222.00666666666666</v>
      </c>
      <c r="E169" t="b">
        <f t="shared" ca="1" si="7"/>
        <v>0</v>
      </c>
      <c r="F169">
        <v>13313.250000000007</v>
      </c>
      <c r="G169">
        <v>0</v>
      </c>
      <c r="H169">
        <f t="shared" si="10"/>
        <v>13313.250000000007</v>
      </c>
    </row>
    <row r="170" spans="1:8">
      <c r="A170" s="1">
        <v>42536</v>
      </c>
      <c r="B170">
        <v>217.7</v>
      </c>
      <c r="C170" s="2">
        <f t="shared" ca="1" si="9"/>
        <v>222.77499999999998</v>
      </c>
      <c r="D170" s="2">
        <f t="shared" ca="1" si="8"/>
        <v>217.20666666666668</v>
      </c>
      <c r="E170" t="b">
        <f t="shared" ca="1" si="7"/>
        <v>0</v>
      </c>
      <c r="F170">
        <v>13313.250000000007</v>
      </c>
      <c r="G170">
        <v>0</v>
      </c>
      <c r="H170">
        <f t="shared" si="10"/>
        <v>13313.250000000007</v>
      </c>
    </row>
    <row r="171" spans="1:8">
      <c r="A171" s="1">
        <v>42537</v>
      </c>
      <c r="B171">
        <v>217.93</v>
      </c>
      <c r="C171" s="2">
        <f t="shared" ca="1" si="9"/>
        <v>222.32999999999996</v>
      </c>
      <c r="D171" s="2">
        <f t="shared" ca="1" si="8"/>
        <v>216.84333333333333</v>
      </c>
      <c r="E171" t="b">
        <f t="shared" ca="1" si="7"/>
        <v>0</v>
      </c>
      <c r="F171">
        <v>13313.250000000007</v>
      </c>
      <c r="G171">
        <v>0</v>
      </c>
      <c r="H171">
        <f t="shared" si="10"/>
        <v>13313.250000000007</v>
      </c>
    </row>
    <row r="172" spans="1:8">
      <c r="A172" s="1">
        <v>42538</v>
      </c>
      <c r="B172">
        <v>215.47</v>
      </c>
      <c r="C172" s="2">
        <f t="shared" ca="1" si="9"/>
        <v>221.88833333333329</v>
      </c>
      <c r="D172" s="2">
        <f t="shared" ca="1" si="8"/>
        <v>216.86333333333332</v>
      </c>
      <c r="E172" t="b">
        <f t="shared" ca="1" si="7"/>
        <v>0</v>
      </c>
      <c r="F172">
        <v>13313.250000000007</v>
      </c>
      <c r="G172">
        <v>0</v>
      </c>
      <c r="H172">
        <f t="shared" si="10"/>
        <v>13313.250000000007</v>
      </c>
    </row>
    <row r="173" spans="1:8">
      <c r="A173" s="1">
        <v>42541</v>
      </c>
      <c r="B173">
        <v>219.7</v>
      </c>
      <c r="C173" s="2">
        <f t="shared" ca="1" si="9"/>
        <v>221.54749999999999</v>
      </c>
      <c r="D173" s="2">
        <f t="shared" ca="1" si="8"/>
        <v>217.03333333333333</v>
      </c>
      <c r="E173" t="b">
        <f t="shared" ca="1" si="7"/>
        <v>0</v>
      </c>
      <c r="F173">
        <v>13313.250000000007</v>
      </c>
      <c r="G173">
        <v>0</v>
      </c>
      <c r="H173">
        <f t="shared" si="10"/>
        <v>13313.250000000007</v>
      </c>
    </row>
    <row r="174" spans="1:8">
      <c r="A174" s="1">
        <v>42542</v>
      </c>
      <c r="B174">
        <v>219.61</v>
      </c>
      <c r="C174" s="2">
        <f t="shared" ca="1" si="9"/>
        <v>221.60916666666662</v>
      </c>
      <c r="D174" s="2">
        <f t="shared" ca="1" si="8"/>
        <v>217.69999999999996</v>
      </c>
      <c r="E174" t="b">
        <f t="shared" ca="1" si="7"/>
        <v>0</v>
      </c>
      <c r="F174">
        <v>13313.250000000007</v>
      </c>
      <c r="G174">
        <v>0</v>
      </c>
      <c r="H174">
        <f t="shared" si="10"/>
        <v>13313.250000000007</v>
      </c>
    </row>
    <row r="175" spans="1:8">
      <c r="A175" s="1">
        <v>42543</v>
      </c>
      <c r="B175">
        <v>196.66</v>
      </c>
      <c r="C175" s="2">
        <f t="shared" ca="1" si="9"/>
        <v>221.66083333333333</v>
      </c>
      <c r="D175" s="2">
        <f t="shared" ca="1" si="8"/>
        <v>218.26</v>
      </c>
      <c r="E175" t="b">
        <f t="shared" ca="1" si="7"/>
        <v>0</v>
      </c>
      <c r="F175">
        <v>13313.250000000007</v>
      </c>
      <c r="G175">
        <v>0</v>
      </c>
      <c r="H175">
        <f t="shared" si="10"/>
        <v>13313.250000000007</v>
      </c>
    </row>
    <row r="176" spans="1:8">
      <c r="A176" s="1">
        <v>42544</v>
      </c>
      <c r="B176">
        <v>196.4</v>
      </c>
      <c r="C176" s="2">
        <f t="shared" ca="1" si="9"/>
        <v>219.65916666666669</v>
      </c>
      <c r="D176" s="2">
        <f t="shared" ca="1" si="8"/>
        <v>211.99</v>
      </c>
      <c r="E176" t="b">
        <f t="shared" ca="1" si="7"/>
        <v>0</v>
      </c>
      <c r="F176">
        <v>13313.250000000007</v>
      </c>
      <c r="G176">
        <v>0</v>
      </c>
      <c r="H176">
        <f t="shared" si="10"/>
        <v>13313.250000000007</v>
      </c>
    </row>
    <row r="177" spans="1:8">
      <c r="A177" s="1">
        <v>42545</v>
      </c>
      <c r="B177">
        <v>193.15</v>
      </c>
      <c r="C177" s="2">
        <f t="shared" ca="1" si="9"/>
        <v>216.66416666666669</v>
      </c>
      <c r="D177" s="2">
        <f t="shared" ca="1" si="8"/>
        <v>204.22333333333333</v>
      </c>
      <c r="E177" t="b">
        <f t="shared" ca="1" si="7"/>
        <v>0</v>
      </c>
      <c r="F177">
        <v>13313.250000000007</v>
      </c>
      <c r="G177">
        <v>0</v>
      </c>
      <c r="H177">
        <f t="shared" si="10"/>
        <v>13313.250000000007</v>
      </c>
    </row>
    <row r="178" spans="1:8">
      <c r="A178" s="1">
        <v>42548</v>
      </c>
      <c r="B178">
        <v>198.55</v>
      </c>
      <c r="C178" s="2">
        <f t="shared" ca="1" si="9"/>
        <v>213.13333333333335</v>
      </c>
      <c r="D178" s="2">
        <f t="shared" ca="1" si="8"/>
        <v>195.40333333333334</v>
      </c>
      <c r="E178" t="b">
        <f t="shared" ca="1" si="7"/>
        <v>0</v>
      </c>
      <c r="F178">
        <v>13313.250000000007</v>
      </c>
      <c r="G178">
        <v>0</v>
      </c>
      <c r="H178">
        <f t="shared" si="10"/>
        <v>13313.250000000007</v>
      </c>
    </row>
    <row r="179" spans="1:8">
      <c r="A179" s="1">
        <v>42549</v>
      </c>
      <c r="B179">
        <v>201.79</v>
      </c>
      <c r="C179" s="2">
        <f t="shared" ca="1" si="9"/>
        <v>210.56583333333336</v>
      </c>
      <c r="D179" s="2">
        <f t="shared" ca="1" si="8"/>
        <v>196.03333333333333</v>
      </c>
      <c r="E179" t="b">
        <f t="shared" ca="1" si="7"/>
        <v>0</v>
      </c>
      <c r="F179">
        <v>13313.250000000007</v>
      </c>
      <c r="G179">
        <v>0</v>
      </c>
      <c r="H179">
        <f t="shared" si="10"/>
        <v>13313.250000000007</v>
      </c>
    </row>
    <row r="180" spans="1:8">
      <c r="A180" s="1">
        <v>42550</v>
      </c>
      <c r="B180">
        <v>210.19</v>
      </c>
      <c r="C180" s="2">
        <f t="shared" ca="1" si="9"/>
        <v>209.1491666666667</v>
      </c>
      <c r="D180" s="2">
        <f t="shared" ca="1" si="8"/>
        <v>197.83</v>
      </c>
      <c r="E180" t="b">
        <f t="shared" ref="E180:E243" ca="1" si="11">D180&gt;C180</f>
        <v>0</v>
      </c>
      <c r="F180">
        <v>13313.250000000007</v>
      </c>
      <c r="G180">
        <v>0</v>
      </c>
      <c r="H180">
        <f t="shared" si="10"/>
        <v>13313.250000000007</v>
      </c>
    </row>
    <row r="181" spans="1:8">
      <c r="A181" s="1">
        <v>42551</v>
      </c>
      <c r="B181">
        <v>212.28</v>
      </c>
      <c r="C181" s="2">
        <f t="shared" ca="1" si="9"/>
        <v>208.50916666666669</v>
      </c>
      <c r="D181" s="2">
        <f t="shared" ca="1" si="8"/>
        <v>203.51</v>
      </c>
      <c r="E181" t="b">
        <f t="shared" ca="1" si="11"/>
        <v>0</v>
      </c>
      <c r="F181">
        <v>13313.250000000007</v>
      </c>
      <c r="G181">
        <v>0</v>
      </c>
      <c r="H181">
        <f t="shared" si="10"/>
        <v>13313.250000000007</v>
      </c>
    </row>
    <row r="182" spans="1:8">
      <c r="A182" s="1">
        <v>42552</v>
      </c>
      <c r="B182">
        <v>216.5</v>
      </c>
      <c r="C182" s="2">
        <f t="shared" ca="1" si="9"/>
        <v>208.28583333333336</v>
      </c>
      <c r="D182" s="2">
        <f t="shared" ca="1" si="8"/>
        <v>208.08666666666667</v>
      </c>
      <c r="E182" t="b">
        <f t="shared" ca="1" si="11"/>
        <v>0</v>
      </c>
      <c r="F182">
        <v>13313.250000000007</v>
      </c>
      <c r="G182">
        <v>0</v>
      </c>
      <c r="H182">
        <f t="shared" si="10"/>
        <v>13313.250000000007</v>
      </c>
    </row>
    <row r="183" spans="1:8">
      <c r="A183" s="1">
        <v>42556</v>
      </c>
      <c r="B183">
        <v>213.98</v>
      </c>
      <c r="C183" s="2">
        <f t="shared" ca="1" si="9"/>
        <v>208.18583333333333</v>
      </c>
      <c r="D183" s="2">
        <f t="shared" ca="1" si="8"/>
        <v>212.99</v>
      </c>
      <c r="E183" t="b">
        <f t="shared" ca="1" si="11"/>
        <v>1</v>
      </c>
      <c r="F183">
        <v>46.490000000025731</v>
      </c>
      <c r="G183">
        <v>13266.76</v>
      </c>
      <c r="H183">
        <f t="shared" si="10"/>
        <v>13313.250000000025</v>
      </c>
    </row>
    <row r="184" spans="1:8">
      <c r="A184" s="1">
        <v>42557</v>
      </c>
      <c r="B184">
        <v>214.44</v>
      </c>
      <c r="C184" s="2">
        <f t="shared" ca="1" si="9"/>
        <v>207.85666666666668</v>
      </c>
      <c r="D184" s="2">
        <f t="shared" ca="1" si="8"/>
        <v>214.25333333333333</v>
      </c>
      <c r="E184" t="b">
        <f t="shared" ca="1" si="11"/>
        <v>1</v>
      </c>
      <c r="F184">
        <v>46.490000000025731</v>
      </c>
      <c r="G184">
        <v>13295.28</v>
      </c>
      <c r="H184">
        <f t="shared" si="10"/>
        <v>13341.770000000026</v>
      </c>
    </row>
    <row r="185" spans="1:8">
      <c r="A185" s="1">
        <v>42558</v>
      </c>
      <c r="B185">
        <v>215.94</v>
      </c>
      <c r="C185" s="2">
        <f t="shared" ca="1" si="9"/>
        <v>207.77083333333334</v>
      </c>
      <c r="D185" s="2">
        <f t="shared" ca="1" si="8"/>
        <v>214.97333333333336</v>
      </c>
      <c r="E185" t="b">
        <f t="shared" ca="1" si="11"/>
        <v>1</v>
      </c>
      <c r="F185">
        <v>46.490000000025731</v>
      </c>
      <c r="G185">
        <v>13388.28</v>
      </c>
      <c r="H185">
        <f t="shared" si="10"/>
        <v>13434.770000000026</v>
      </c>
    </row>
    <row r="186" spans="1:8">
      <c r="A186" s="1">
        <v>42559</v>
      </c>
      <c r="B186">
        <v>216.78</v>
      </c>
      <c r="C186" s="2">
        <f t="shared" ca="1" si="9"/>
        <v>207.45749999999998</v>
      </c>
      <c r="D186" s="2">
        <f t="shared" ca="1" si="8"/>
        <v>214.78666666666663</v>
      </c>
      <c r="E186" t="b">
        <f t="shared" ca="1" si="11"/>
        <v>1</v>
      </c>
      <c r="F186">
        <v>46.490000000025731</v>
      </c>
      <c r="G186">
        <v>13440.36</v>
      </c>
      <c r="H186">
        <f t="shared" si="10"/>
        <v>13486.850000000026</v>
      </c>
    </row>
    <row r="187" spans="1:8">
      <c r="A187" s="1">
        <v>42562</v>
      </c>
      <c r="B187">
        <v>224.78</v>
      </c>
      <c r="C187" s="2">
        <f t="shared" ca="1" si="9"/>
        <v>207.22166666666669</v>
      </c>
      <c r="D187" s="2">
        <f t="shared" ca="1" si="8"/>
        <v>215.72</v>
      </c>
      <c r="E187" t="b">
        <f t="shared" ca="1" si="11"/>
        <v>1</v>
      </c>
      <c r="F187">
        <v>46.490000000025731</v>
      </c>
      <c r="G187">
        <v>13936.36</v>
      </c>
      <c r="H187">
        <f t="shared" si="10"/>
        <v>13982.850000000026</v>
      </c>
    </row>
    <row r="188" spans="1:8">
      <c r="A188" s="1">
        <v>42563</v>
      </c>
      <c r="B188">
        <v>224.65</v>
      </c>
      <c r="C188" s="2">
        <f t="shared" ca="1" si="9"/>
        <v>209.56500000000003</v>
      </c>
      <c r="D188" s="2">
        <f t="shared" ca="1" si="8"/>
        <v>219.16666666666666</v>
      </c>
      <c r="E188" t="b">
        <f t="shared" ca="1" si="11"/>
        <v>1</v>
      </c>
      <c r="F188">
        <v>46.490000000025731</v>
      </c>
      <c r="G188">
        <v>13928.300000000001</v>
      </c>
      <c r="H188">
        <f t="shared" si="10"/>
        <v>13974.790000000026</v>
      </c>
    </row>
    <row r="189" spans="1:8">
      <c r="A189" s="1">
        <v>42564</v>
      </c>
      <c r="B189">
        <v>222.53</v>
      </c>
      <c r="C189" s="2">
        <f t="shared" ca="1" si="9"/>
        <v>211.91916666666671</v>
      </c>
      <c r="D189" s="2">
        <f t="shared" ca="1" si="8"/>
        <v>222.07000000000002</v>
      </c>
      <c r="E189" t="b">
        <f t="shared" ca="1" si="11"/>
        <v>1</v>
      </c>
      <c r="F189">
        <v>46.490000000025731</v>
      </c>
      <c r="G189">
        <v>13796.86</v>
      </c>
      <c r="H189">
        <f t="shared" si="10"/>
        <v>13843.350000000026</v>
      </c>
    </row>
    <row r="190" spans="1:8">
      <c r="A190" s="1">
        <v>42565</v>
      </c>
      <c r="B190">
        <v>221.53</v>
      </c>
      <c r="C190" s="2">
        <f t="shared" ca="1" si="9"/>
        <v>214.36750000000004</v>
      </c>
      <c r="D190" s="2">
        <f t="shared" ca="1" si="8"/>
        <v>223.98666666666668</v>
      </c>
      <c r="E190" t="b">
        <f t="shared" ca="1" si="11"/>
        <v>1</v>
      </c>
      <c r="F190">
        <v>46.490000000025731</v>
      </c>
      <c r="G190">
        <v>13734.86</v>
      </c>
      <c r="H190">
        <f t="shared" si="10"/>
        <v>13781.350000000026</v>
      </c>
    </row>
    <row r="191" spans="1:8">
      <c r="A191" s="1">
        <v>42566</v>
      </c>
      <c r="B191">
        <v>220.4</v>
      </c>
      <c r="C191" s="2">
        <f t="shared" ca="1" si="9"/>
        <v>216.28250000000003</v>
      </c>
      <c r="D191" s="2">
        <f t="shared" ca="1" si="8"/>
        <v>222.90333333333334</v>
      </c>
      <c r="E191" t="b">
        <f t="shared" ca="1" si="11"/>
        <v>1</v>
      </c>
      <c r="F191">
        <v>46.490000000025731</v>
      </c>
      <c r="G191">
        <v>13664.800000000001</v>
      </c>
      <c r="H191">
        <f t="shared" si="10"/>
        <v>13711.290000000026</v>
      </c>
    </row>
    <row r="192" spans="1:8">
      <c r="A192" s="1">
        <v>42569</v>
      </c>
      <c r="B192">
        <v>226.25</v>
      </c>
      <c r="C192" s="2">
        <f t="shared" ca="1" si="9"/>
        <v>217.83333333333337</v>
      </c>
      <c r="D192" s="2">
        <f t="shared" ca="1" si="8"/>
        <v>221.48666666666668</v>
      </c>
      <c r="E192" t="b">
        <f t="shared" ca="1" si="11"/>
        <v>1</v>
      </c>
      <c r="F192">
        <v>46.490000000025731</v>
      </c>
      <c r="G192">
        <v>14027.5</v>
      </c>
      <c r="H192">
        <f t="shared" si="10"/>
        <v>14073.990000000025</v>
      </c>
    </row>
    <row r="193" spans="1:8">
      <c r="A193" s="1">
        <v>42570</v>
      </c>
      <c r="B193">
        <v>225.26</v>
      </c>
      <c r="C193" s="2">
        <f t="shared" ca="1" si="9"/>
        <v>219.17166666666671</v>
      </c>
      <c r="D193" s="2">
        <f t="shared" ca="1" si="8"/>
        <v>222.72666666666669</v>
      </c>
      <c r="E193" t="b">
        <f t="shared" ca="1" si="11"/>
        <v>1</v>
      </c>
      <c r="F193">
        <v>46.490000000025731</v>
      </c>
      <c r="G193">
        <v>13966.119999999999</v>
      </c>
      <c r="H193">
        <f t="shared" si="10"/>
        <v>14012.610000000024</v>
      </c>
    </row>
    <row r="194" spans="1:8">
      <c r="A194" s="1">
        <v>42571</v>
      </c>
      <c r="B194">
        <v>228.36</v>
      </c>
      <c r="C194" s="2">
        <f t="shared" ca="1" si="9"/>
        <v>220.25333333333333</v>
      </c>
      <c r="D194" s="2">
        <f t="shared" ca="1" si="8"/>
        <v>223.97</v>
      </c>
      <c r="E194" t="b">
        <f t="shared" ca="1" si="11"/>
        <v>1</v>
      </c>
      <c r="F194">
        <v>46.490000000025731</v>
      </c>
      <c r="G194">
        <v>14158.320000000002</v>
      </c>
      <c r="H194">
        <f t="shared" si="10"/>
        <v>14204.810000000027</v>
      </c>
    </row>
    <row r="195" spans="1:8">
      <c r="A195" s="1">
        <v>42572</v>
      </c>
      <c r="B195">
        <v>220.5</v>
      </c>
      <c r="C195" s="2">
        <f t="shared" ca="1" si="9"/>
        <v>221.24166666666667</v>
      </c>
      <c r="D195" s="2">
        <f t="shared" ca="1" si="8"/>
        <v>226.62333333333333</v>
      </c>
      <c r="E195" t="b">
        <f t="shared" ca="1" si="11"/>
        <v>1</v>
      </c>
      <c r="F195">
        <v>46.490000000025731</v>
      </c>
      <c r="G195">
        <v>13671</v>
      </c>
      <c r="H195">
        <f t="shared" si="10"/>
        <v>13717.490000000025</v>
      </c>
    </row>
    <row r="196" spans="1:8">
      <c r="A196" s="1">
        <v>42573</v>
      </c>
      <c r="B196">
        <v>222.27</v>
      </c>
      <c r="C196" s="2">
        <f t="shared" ca="1" si="9"/>
        <v>221.785</v>
      </c>
      <c r="D196" s="2">
        <f t="shared" ca="1" si="8"/>
        <v>224.70666666666668</v>
      </c>
      <c r="E196" t="b">
        <f t="shared" ca="1" si="11"/>
        <v>1</v>
      </c>
      <c r="F196">
        <v>46.490000000025731</v>
      </c>
      <c r="G196">
        <v>13780.74</v>
      </c>
      <c r="H196">
        <f t="shared" si="10"/>
        <v>13827.230000000025</v>
      </c>
    </row>
    <row r="197" spans="1:8">
      <c r="A197" s="1">
        <v>42576</v>
      </c>
      <c r="B197">
        <v>230.01</v>
      </c>
      <c r="C197" s="2">
        <f t="shared" ca="1" si="9"/>
        <v>222.4375</v>
      </c>
      <c r="D197" s="2">
        <f t="shared" ref="D197:D260" ca="1" si="12">AVERAGE(INDIRECT(ADDRESS(ROW()-$D$1,COLUMN()-2)&amp;":"&amp;ADDRESS(ROW()-1,COLUMN()-2)))</f>
        <v>223.71</v>
      </c>
      <c r="E197" t="b">
        <f t="shared" ca="1" si="11"/>
        <v>1</v>
      </c>
      <c r="F197">
        <v>46.490000000025731</v>
      </c>
      <c r="G197">
        <v>14260.619999999999</v>
      </c>
      <c r="H197">
        <f t="shared" si="10"/>
        <v>14307.110000000024</v>
      </c>
    </row>
    <row r="198" spans="1:8">
      <c r="A198" s="1">
        <v>42577</v>
      </c>
      <c r="B198">
        <v>229.51</v>
      </c>
      <c r="C198" s="2">
        <f t="shared" ca="1" si="9"/>
        <v>223.60999999999999</v>
      </c>
      <c r="D198" s="2">
        <f t="shared" ca="1" si="12"/>
        <v>224.26</v>
      </c>
      <c r="E198" t="b">
        <f t="shared" ca="1" si="11"/>
        <v>1</v>
      </c>
      <c r="F198">
        <v>46.490000000025731</v>
      </c>
      <c r="G198">
        <v>14229.619999999999</v>
      </c>
      <c r="H198">
        <f t="shared" si="10"/>
        <v>14276.110000000024</v>
      </c>
    </row>
    <row r="199" spans="1:8">
      <c r="A199" s="1">
        <v>42578</v>
      </c>
      <c r="B199">
        <v>228.49</v>
      </c>
      <c r="C199" s="2">
        <f t="shared" ca="1" si="9"/>
        <v>224.67083333333335</v>
      </c>
      <c r="D199" s="2">
        <f t="shared" ca="1" si="12"/>
        <v>227.26333333333332</v>
      </c>
      <c r="E199" t="b">
        <f t="shared" ca="1" si="11"/>
        <v>1</v>
      </c>
      <c r="F199">
        <v>46.490000000025731</v>
      </c>
      <c r="G199">
        <v>14166.380000000001</v>
      </c>
      <c r="H199">
        <f t="shared" si="10"/>
        <v>14212.870000000026</v>
      </c>
    </row>
    <row r="200" spans="1:8">
      <c r="A200" s="1">
        <v>42579</v>
      </c>
      <c r="B200">
        <v>230.61</v>
      </c>
      <c r="C200" s="2">
        <f t="shared" ca="1" si="9"/>
        <v>224.98000000000002</v>
      </c>
      <c r="D200" s="2">
        <f t="shared" ca="1" si="12"/>
        <v>229.33666666666667</v>
      </c>
      <c r="E200" t="b">
        <f t="shared" ca="1" si="11"/>
        <v>1</v>
      </c>
      <c r="F200">
        <v>46.490000000025731</v>
      </c>
      <c r="G200">
        <v>14297.820000000002</v>
      </c>
      <c r="H200">
        <f t="shared" si="10"/>
        <v>14344.310000000027</v>
      </c>
    </row>
    <row r="201" spans="1:8">
      <c r="A201" s="1">
        <v>42580</v>
      </c>
      <c r="B201">
        <v>234.79</v>
      </c>
      <c r="C201" s="2">
        <f t="shared" ca="1" si="9"/>
        <v>225.47666666666666</v>
      </c>
      <c r="D201" s="2">
        <f t="shared" ca="1" si="12"/>
        <v>229.53666666666666</v>
      </c>
      <c r="E201" t="b">
        <f t="shared" ca="1" si="11"/>
        <v>1</v>
      </c>
      <c r="F201">
        <v>46.490000000025731</v>
      </c>
      <c r="G201">
        <v>14556.98</v>
      </c>
      <c r="H201">
        <f t="shared" si="10"/>
        <v>14603.470000000025</v>
      </c>
    </row>
    <row r="202" spans="1:8">
      <c r="A202" s="1">
        <v>42583</v>
      </c>
      <c r="B202">
        <v>230.01</v>
      </c>
      <c r="C202" s="2">
        <f t="shared" ca="1" si="9"/>
        <v>226.49833333333333</v>
      </c>
      <c r="D202" s="2">
        <f t="shared" ca="1" si="12"/>
        <v>231.29666666666665</v>
      </c>
      <c r="E202" t="b">
        <f t="shared" ca="1" si="11"/>
        <v>1</v>
      </c>
      <c r="F202">
        <v>46.490000000025731</v>
      </c>
      <c r="G202">
        <v>14260.619999999999</v>
      </c>
      <c r="H202">
        <f t="shared" si="10"/>
        <v>14307.110000000024</v>
      </c>
    </row>
    <row r="203" spans="1:8">
      <c r="A203" s="1">
        <v>42584</v>
      </c>
      <c r="B203">
        <v>227.2</v>
      </c>
      <c r="C203" s="2">
        <f t="shared" ca="1" si="9"/>
        <v>227.20500000000001</v>
      </c>
      <c r="D203" s="2">
        <f t="shared" ca="1" si="12"/>
        <v>231.80333333333331</v>
      </c>
      <c r="E203" t="b">
        <f t="shared" ca="1" si="11"/>
        <v>1</v>
      </c>
      <c r="F203">
        <v>46.490000000025731</v>
      </c>
      <c r="G203">
        <v>14086.4</v>
      </c>
      <c r="H203">
        <f t="shared" si="10"/>
        <v>14132.890000000025</v>
      </c>
    </row>
    <row r="204" spans="1:8">
      <c r="A204" s="1">
        <v>42585</v>
      </c>
      <c r="B204">
        <v>225.79</v>
      </c>
      <c r="C204" s="2">
        <f t="shared" ca="1" si="9"/>
        <v>227.77166666666668</v>
      </c>
      <c r="D204" s="2">
        <f t="shared" ca="1" si="12"/>
        <v>230.66666666666666</v>
      </c>
      <c r="E204" t="b">
        <f t="shared" ca="1" si="11"/>
        <v>1</v>
      </c>
      <c r="F204">
        <v>46.490000000025731</v>
      </c>
      <c r="G204">
        <v>13998.98</v>
      </c>
      <c r="H204">
        <f t="shared" si="10"/>
        <v>14045.470000000025</v>
      </c>
    </row>
    <row r="205" spans="1:8">
      <c r="A205" s="1">
        <v>42586</v>
      </c>
      <c r="B205">
        <v>230.61</v>
      </c>
      <c r="C205" s="2">
        <f t="shared" ca="1" si="9"/>
        <v>227.73333333333335</v>
      </c>
      <c r="D205" s="2">
        <f t="shared" ca="1" si="12"/>
        <v>227.66666666666666</v>
      </c>
      <c r="E205" t="b">
        <f t="shared" ca="1" si="11"/>
        <v>0</v>
      </c>
      <c r="F205">
        <v>14344.310000000027</v>
      </c>
      <c r="G205">
        <v>0</v>
      </c>
      <c r="H205">
        <f t="shared" si="10"/>
        <v>14344.310000000027</v>
      </c>
    </row>
    <row r="206" spans="1:8">
      <c r="A206" s="1">
        <v>42587</v>
      </c>
      <c r="B206">
        <v>230.03</v>
      </c>
      <c r="C206" s="2">
        <f t="shared" ca="1" si="9"/>
        <v>228.17916666666667</v>
      </c>
      <c r="D206" s="2">
        <f t="shared" ca="1" si="12"/>
        <v>227.86666666666667</v>
      </c>
      <c r="E206" t="b">
        <f t="shared" ca="1" si="11"/>
        <v>0</v>
      </c>
      <c r="F206">
        <v>14344.310000000027</v>
      </c>
      <c r="G206">
        <v>0</v>
      </c>
      <c r="H206">
        <f t="shared" si="10"/>
        <v>14344.310000000027</v>
      </c>
    </row>
    <row r="207" spans="1:8">
      <c r="A207" s="1">
        <v>42590</v>
      </c>
      <c r="B207">
        <v>226.16</v>
      </c>
      <c r="C207" s="2">
        <f t="shared" ca="1" si="9"/>
        <v>228.31833333333336</v>
      </c>
      <c r="D207" s="2">
        <f t="shared" ca="1" si="12"/>
        <v>228.80999999999997</v>
      </c>
      <c r="E207" t="b">
        <f t="shared" ca="1" si="11"/>
        <v>1</v>
      </c>
      <c r="F207">
        <v>96.230000000034437</v>
      </c>
      <c r="G207">
        <v>14248.08</v>
      </c>
      <c r="H207">
        <f t="shared" si="10"/>
        <v>14344.310000000034</v>
      </c>
    </row>
    <row r="208" spans="1:8">
      <c r="A208" s="1">
        <v>42591</v>
      </c>
      <c r="B208">
        <v>229.08</v>
      </c>
      <c r="C208" s="2">
        <f t="shared" ca="1" si="9"/>
        <v>228.79</v>
      </c>
      <c r="D208" s="2">
        <f t="shared" ca="1" si="12"/>
        <v>228.93333333333331</v>
      </c>
      <c r="E208" t="b">
        <f t="shared" ca="1" si="11"/>
        <v>1</v>
      </c>
      <c r="F208">
        <v>96.230000000034437</v>
      </c>
      <c r="G208">
        <v>14432.04</v>
      </c>
      <c r="H208">
        <f t="shared" si="10"/>
        <v>14528.270000000035</v>
      </c>
    </row>
    <row r="209" spans="1:8">
      <c r="A209" s="1">
        <v>42592</v>
      </c>
      <c r="B209">
        <v>225.65</v>
      </c>
      <c r="C209" s="2">
        <f t="shared" ca="1" si="9"/>
        <v>229.35749999999999</v>
      </c>
      <c r="D209" s="2">
        <f t="shared" ca="1" si="12"/>
        <v>228.42333333333332</v>
      </c>
      <c r="E209" t="b">
        <f t="shared" ca="1" si="11"/>
        <v>0</v>
      </c>
      <c r="F209">
        <v>14312.180000000035</v>
      </c>
      <c r="G209">
        <v>0</v>
      </c>
      <c r="H209">
        <f t="shared" si="10"/>
        <v>14312.180000000035</v>
      </c>
    </row>
    <row r="210" spans="1:8">
      <c r="A210" s="1">
        <v>42593</v>
      </c>
      <c r="B210">
        <v>224.91</v>
      </c>
      <c r="C210" s="2">
        <f t="shared" ca="1" si="9"/>
        <v>228.99416666666664</v>
      </c>
      <c r="D210" s="2">
        <f t="shared" ca="1" si="12"/>
        <v>226.96333333333334</v>
      </c>
      <c r="E210" t="b">
        <f t="shared" ca="1" si="11"/>
        <v>0</v>
      </c>
      <c r="F210">
        <v>14312.180000000035</v>
      </c>
      <c r="G210">
        <v>0</v>
      </c>
      <c r="H210">
        <f t="shared" si="10"/>
        <v>14312.180000000035</v>
      </c>
    </row>
    <row r="211" spans="1:8">
      <c r="A211" s="1">
        <v>42594</v>
      </c>
      <c r="B211">
        <v>225.61</v>
      </c>
      <c r="C211" s="2">
        <f t="shared" ca="1" si="9"/>
        <v>228.61083333333332</v>
      </c>
      <c r="D211" s="2">
        <f t="shared" ca="1" si="12"/>
        <v>226.54666666666665</v>
      </c>
      <c r="E211" t="b">
        <f t="shared" ca="1" si="11"/>
        <v>0</v>
      </c>
      <c r="F211">
        <v>14312.180000000035</v>
      </c>
      <c r="G211">
        <v>0</v>
      </c>
      <c r="H211">
        <f t="shared" si="10"/>
        <v>14312.180000000035</v>
      </c>
    </row>
    <row r="212" spans="1:8">
      <c r="A212" s="1">
        <v>42597</v>
      </c>
      <c r="B212">
        <v>225.59</v>
      </c>
      <c r="C212" s="2">
        <f t="shared" ca="1" si="9"/>
        <v>228.37083333333331</v>
      </c>
      <c r="D212" s="2">
        <f t="shared" ca="1" si="12"/>
        <v>225.39000000000001</v>
      </c>
      <c r="E212" t="b">
        <f t="shared" ca="1" si="11"/>
        <v>0</v>
      </c>
      <c r="F212">
        <v>14312.180000000035</v>
      </c>
      <c r="G212">
        <v>0</v>
      </c>
      <c r="H212">
        <f t="shared" si="10"/>
        <v>14312.180000000035</v>
      </c>
    </row>
    <row r="213" spans="1:8">
      <c r="A213" s="1">
        <v>42598</v>
      </c>
      <c r="B213">
        <v>223.61</v>
      </c>
      <c r="C213" s="2">
        <f t="shared" ca="1" si="9"/>
        <v>227.95250000000001</v>
      </c>
      <c r="D213" s="2">
        <f t="shared" ca="1" si="12"/>
        <v>225.37</v>
      </c>
      <c r="E213" t="b">
        <f t="shared" ca="1" si="11"/>
        <v>0</v>
      </c>
      <c r="F213">
        <v>14312.180000000035</v>
      </c>
      <c r="G213">
        <v>0</v>
      </c>
      <c r="H213">
        <f t="shared" si="10"/>
        <v>14312.180000000035</v>
      </c>
    </row>
    <row r="214" spans="1:8">
      <c r="A214" s="1">
        <v>42599</v>
      </c>
      <c r="B214">
        <v>223.24</v>
      </c>
      <c r="C214" s="2">
        <f t="shared" ref="C214:C277" ca="1" si="13">AVERAGE(INDIRECT(ADDRESS(ROW()-$C$1,COLUMN()-1)&amp;":"&amp;ADDRESS(ROW()-1,COLUMN()-1)))</f>
        <v>227.02083333333337</v>
      </c>
      <c r="D214" s="2">
        <f t="shared" ca="1" si="12"/>
        <v>224.9366666666667</v>
      </c>
      <c r="E214" t="b">
        <f t="shared" ca="1" si="11"/>
        <v>0</v>
      </c>
      <c r="F214">
        <v>14312.180000000035</v>
      </c>
      <c r="G214">
        <v>0</v>
      </c>
      <c r="H214">
        <f t="shared" ref="H214:H277" si="14">G214+F214</f>
        <v>14312.180000000035</v>
      </c>
    </row>
    <row r="215" spans="1:8">
      <c r="A215" s="1">
        <v>42600</v>
      </c>
      <c r="B215">
        <v>223.51</v>
      </c>
      <c r="C215" s="2">
        <f t="shared" ca="1" si="13"/>
        <v>226.45666666666671</v>
      </c>
      <c r="D215" s="2">
        <f t="shared" ca="1" si="12"/>
        <v>224.14666666666668</v>
      </c>
      <c r="E215" t="b">
        <f t="shared" ca="1" si="11"/>
        <v>0</v>
      </c>
      <c r="F215">
        <v>14312.180000000035</v>
      </c>
      <c r="G215">
        <v>0</v>
      </c>
      <c r="H215">
        <f t="shared" si="14"/>
        <v>14312.180000000035</v>
      </c>
    </row>
    <row r="216" spans="1:8">
      <c r="A216" s="1">
        <v>42601</v>
      </c>
      <c r="B216">
        <v>225</v>
      </c>
      <c r="C216" s="2">
        <f t="shared" ca="1" si="13"/>
        <v>226.14916666666667</v>
      </c>
      <c r="D216" s="2">
        <f t="shared" ca="1" si="12"/>
        <v>223.45333333333335</v>
      </c>
      <c r="E216" t="b">
        <f t="shared" ca="1" si="11"/>
        <v>0</v>
      </c>
      <c r="F216">
        <v>14312.180000000035</v>
      </c>
      <c r="G216">
        <v>0</v>
      </c>
      <c r="H216">
        <f t="shared" si="14"/>
        <v>14312.180000000035</v>
      </c>
    </row>
    <row r="217" spans="1:8">
      <c r="A217" s="1">
        <v>42604</v>
      </c>
      <c r="B217">
        <v>222.93</v>
      </c>
      <c r="C217" s="2">
        <f t="shared" ca="1" si="13"/>
        <v>226.08333333333334</v>
      </c>
      <c r="D217" s="2">
        <f t="shared" ca="1" si="12"/>
        <v>223.91666666666666</v>
      </c>
      <c r="E217" t="b">
        <f t="shared" ca="1" si="11"/>
        <v>0</v>
      </c>
      <c r="F217">
        <v>14312.180000000035</v>
      </c>
      <c r="G217">
        <v>0</v>
      </c>
      <c r="H217">
        <f t="shared" si="14"/>
        <v>14312.180000000035</v>
      </c>
    </row>
    <row r="218" spans="1:8">
      <c r="A218" s="1">
        <v>42605</v>
      </c>
      <c r="B218">
        <v>224.84</v>
      </c>
      <c r="C218" s="2">
        <f t="shared" ca="1" si="13"/>
        <v>225.4433333333333</v>
      </c>
      <c r="D218" s="2">
        <f t="shared" ca="1" si="12"/>
        <v>223.81333333333336</v>
      </c>
      <c r="E218" t="b">
        <f t="shared" ca="1" si="11"/>
        <v>0</v>
      </c>
      <c r="F218">
        <v>14312.180000000035</v>
      </c>
      <c r="G218">
        <v>0</v>
      </c>
      <c r="H218">
        <f t="shared" si="14"/>
        <v>14312.180000000035</v>
      </c>
    </row>
    <row r="219" spans="1:8">
      <c r="A219" s="1">
        <v>42606</v>
      </c>
      <c r="B219">
        <v>222.62</v>
      </c>
      <c r="C219" s="2">
        <f t="shared" ca="1" si="13"/>
        <v>225.0108333333333</v>
      </c>
      <c r="D219" s="2">
        <f t="shared" ca="1" si="12"/>
        <v>224.25666666666666</v>
      </c>
      <c r="E219" t="b">
        <f t="shared" ca="1" si="11"/>
        <v>0</v>
      </c>
      <c r="F219">
        <v>14312.180000000035</v>
      </c>
      <c r="G219">
        <v>0</v>
      </c>
      <c r="H219">
        <f t="shared" si="14"/>
        <v>14312.180000000035</v>
      </c>
    </row>
    <row r="220" spans="1:8">
      <c r="A220" s="1">
        <v>42607</v>
      </c>
      <c r="B220">
        <v>220.96</v>
      </c>
      <c r="C220" s="2">
        <f t="shared" ca="1" si="13"/>
        <v>224.71583333333331</v>
      </c>
      <c r="D220" s="2">
        <f t="shared" ca="1" si="12"/>
        <v>223.46333333333334</v>
      </c>
      <c r="E220" t="b">
        <f t="shared" ca="1" si="11"/>
        <v>0</v>
      </c>
      <c r="F220">
        <v>14312.180000000035</v>
      </c>
      <c r="G220">
        <v>0</v>
      </c>
      <c r="H220">
        <f t="shared" si="14"/>
        <v>14312.180000000035</v>
      </c>
    </row>
    <row r="221" spans="1:8">
      <c r="A221" s="1">
        <v>42608</v>
      </c>
      <c r="B221">
        <v>219.99</v>
      </c>
      <c r="C221" s="2">
        <f t="shared" ca="1" si="13"/>
        <v>224.03916666666669</v>
      </c>
      <c r="D221" s="2">
        <f t="shared" ca="1" si="12"/>
        <v>222.8066666666667</v>
      </c>
      <c r="E221" t="b">
        <f t="shared" ca="1" si="11"/>
        <v>0</v>
      </c>
      <c r="F221">
        <v>14312.180000000035</v>
      </c>
      <c r="G221">
        <v>0</v>
      </c>
      <c r="H221">
        <f t="shared" si="14"/>
        <v>14312.180000000035</v>
      </c>
    </row>
    <row r="222" spans="1:8">
      <c r="A222" s="1">
        <v>42611</v>
      </c>
      <c r="B222">
        <v>215.2</v>
      </c>
      <c r="C222" s="2">
        <f t="shared" ca="1" si="13"/>
        <v>223.56750000000002</v>
      </c>
      <c r="D222" s="2">
        <f t="shared" ca="1" si="12"/>
        <v>221.19000000000003</v>
      </c>
      <c r="E222" t="b">
        <f t="shared" ca="1" si="11"/>
        <v>0</v>
      </c>
      <c r="F222">
        <v>14312.180000000035</v>
      </c>
      <c r="G222">
        <v>0</v>
      </c>
      <c r="H222">
        <f t="shared" si="14"/>
        <v>14312.180000000035</v>
      </c>
    </row>
    <row r="223" spans="1:8">
      <c r="A223" s="1">
        <v>42612</v>
      </c>
      <c r="B223">
        <v>211.34</v>
      </c>
      <c r="C223" s="2">
        <f t="shared" ca="1" si="13"/>
        <v>222.7583333333333</v>
      </c>
      <c r="D223" s="2">
        <f t="shared" ca="1" si="12"/>
        <v>218.7166666666667</v>
      </c>
      <c r="E223" t="b">
        <f t="shared" ca="1" si="11"/>
        <v>0</v>
      </c>
      <c r="F223">
        <v>14312.180000000035</v>
      </c>
      <c r="G223">
        <v>0</v>
      </c>
      <c r="H223">
        <f t="shared" si="14"/>
        <v>14312.180000000035</v>
      </c>
    </row>
    <row r="224" spans="1:8">
      <c r="A224" s="1">
        <v>42613</v>
      </c>
      <c r="B224">
        <v>212.01</v>
      </c>
      <c r="C224" s="2">
        <f t="shared" ca="1" si="13"/>
        <v>221.56916666666666</v>
      </c>
      <c r="D224" s="2">
        <f t="shared" ca="1" si="12"/>
        <v>215.51</v>
      </c>
      <c r="E224" t="b">
        <f t="shared" ca="1" si="11"/>
        <v>0</v>
      </c>
      <c r="F224">
        <v>14312.180000000035</v>
      </c>
      <c r="G224">
        <v>0</v>
      </c>
      <c r="H224">
        <f t="shared" si="14"/>
        <v>14312.180000000035</v>
      </c>
    </row>
    <row r="225" spans="1:8">
      <c r="A225" s="1">
        <v>42614</v>
      </c>
      <c r="B225">
        <v>200.77</v>
      </c>
      <c r="C225" s="2">
        <f t="shared" ca="1" si="13"/>
        <v>220.4375</v>
      </c>
      <c r="D225" s="2">
        <f t="shared" ca="1" si="12"/>
        <v>212.85</v>
      </c>
      <c r="E225" t="b">
        <f t="shared" ca="1" si="11"/>
        <v>0</v>
      </c>
      <c r="F225">
        <v>14312.180000000035</v>
      </c>
      <c r="G225">
        <v>0</v>
      </c>
      <c r="H225">
        <f t="shared" si="14"/>
        <v>14312.180000000035</v>
      </c>
    </row>
    <row r="226" spans="1:8">
      <c r="A226" s="1">
        <v>42615</v>
      </c>
      <c r="B226">
        <v>197.78</v>
      </c>
      <c r="C226" s="2">
        <f t="shared" ca="1" si="13"/>
        <v>218.53416666666669</v>
      </c>
      <c r="D226" s="2">
        <f t="shared" ca="1" si="12"/>
        <v>208.04</v>
      </c>
      <c r="E226" t="b">
        <f t="shared" ca="1" si="11"/>
        <v>0</v>
      </c>
      <c r="F226">
        <v>14312.180000000035</v>
      </c>
      <c r="G226">
        <v>0</v>
      </c>
      <c r="H226">
        <f t="shared" si="14"/>
        <v>14312.180000000035</v>
      </c>
    </row>
    <row r="227" spans="1:8">
      <c r="A227" s="1">
        <v>42619</v>
      </c>
      <c r="B227">
        <v>202.83</v>
      </c>
      <c r="C227" s="2">
        <f t="shared" ca="1" si="13"/>
        <v>216.41250000000002</v>
      </c>
      <c r="D227" s="2">
        <f t="shared" ca="1" si="12"/>
        <v>203.51999999999998</v>
      </c>
      <c r="E227" t="b">
        <f t="shared" ca="1" si="11"/>
        <v>0</v>
      </c>
      <c r="F227">
        <v>14312.180000000035</v>
      </c>
      <c r="G227">
        <v>0</v>
      </c>
      <c r="H227">
        <f t="shared" si="14"/>
        <v>14312.180000000035</v>
      </c>
    </row>
    <row r="228" spans="1:8">
      <c r="A228" s="1">
        <v>42620</v>
      </c>
      <c r="B228">
        <v>201.71</v>
      </c>
      <c r="C228" s="2">
        <f t="shared" ca="1" si="13"/>
        <v>214.68916666666667</v>
      </c>
      <c r="D228" s="2">
        <f t="shared" ca="1" si="12"/>
        <v>200.46</v>
      </c>
      <c r="E228" t="b">
        <f t="shared" ca="1" si="11"/>
        <v>0</v>
      </c>
      <c r="F228">
        <v>14312.180000000035</v>
      </c>
      <c r="G228">
        <v>0</v>
      </c>
      <c r="H228">
        <f t="shared" si="14"/>
        <v>14312.180000000035</v>
      </c>
    </row>
    <row r="229" spans="1:8">
      <c r="A229" s="1">
        <v>42621</v>
      </c>
      <c r="B229">
        <v>197.36</v>
      </c>
      <c r="C229" s="2">
        <f t="shared" ca="1" si="13"/>
        <v>212.74833333333333</v>
      </c>
      <c r="D229" s="2">
        <f t="shared" ca="1" si="12"/>
        <v>200.77333333333334</v>
      </c>
      <c r="E229" t="b">
        <f t="shared" ca="1" si="11"/>
        <v>0</v>
      </c>
      <c r="F229">
        <v>14312.180000000035</v>
      </c>
      <c r="G229">
        <v>0</v>
      </c>
      <c r="H229">
        <f t="shared" si="14"/>
        <v>14312.180000000035</v>
      </c>
    </row>
    <row r="230" spans="1:8">
      <c r="A230" s="1">
        <v>42622</v>
      </c>
      <c r="B230">
        <v>194.47</v>
      </c>
      <c r="C230" s="2">
        <f t="shared" ca="1" si="13"/>
        <v>210.61750000000004</v>
      </c>
      <c r="D230" s="2">
        <f t="shared" ca="1" si="12"/>
        <v>200.63333333333335</v>
      </c>
      <c r="E230" t="b">
        <f t="shared" ca="1" si="11"/>
        <v>0</v>
      </c>
      <c r="F230">
        <v>14312.180000000035</v>
      </c>
      <c r="G230">
        <v>0</v>
      </c>
      <c r="H230">
        <f t="shared" si="14"/>
        <v>14312.180000000035</v>
      </c>
    </row>
    <row r="231" spans="1:8">
      <c r="A231" s="1">
        <v>42625</v>
      </c>
      <c r="B231">
        <v>198.3</v>
      </c>
      <c r="C231" s="2">
        <f t="shared" ca="1" si="13"/>
        <v>208.08666666666662</v>
      </c>
      <c r="D231" s="2">
        <f t="shared" ca="1" si="12"/>
        <v>197.84666666666669</v>
      </c>
      <c r="E231" t="b">
        <f t="shared" ca="1" si="11"/>
        <v>0</v>
      </c>
      <c r="F231">
        <v>14312.180000000035</v>
      </c>
      <c r="G231">
        <v>0</v>
      </c>
      <c r="H231">
        <f t="shared" si="14"/>
        <v>14312.180000000035</v>
      </c>
    </row>
    <row r="232" spans="1:8">
      <c r="A232" s="1">
        <v>42626</v>
      </c>
      <c r="B232">
        <v>196.05</v>
      </c>
      <c r="C232" s="2">
        <f t="shared" ca="1" si="13"/>
        <v>206.05999999999997</v>
      </c>
      <c r="D232" s="2">
        <f t="shared" ca="1" si="12"/>
        <v>196.71000000000004</v>
      </c>
      <c r="E232" t="b">
        <f t="shared" ca="1" si="11"/>
        <v>0</v>
      </c>
      <c r="F232">
        <v>14312.180000000035</v>
      </c>
      <c r="G232">
        <v>0</v>
      </c>
      <c r="H232">
        <f t="shared" si="14"/>
        <v>14312.180000000035</v>
      </c>
    </row>
    <row r="233" spans="1:8">
      <c r="A233" s="1">
        <v>42627</v>
      </c>
      <c r="B233">
        <v>196.41</v>
      </c>
      <c r="C233" s="2">
        <f t="shared" ca="1" si="13"/>
        <v>203.98416666666665</v>
      </c>
      <c r="D233" s="2">
        <f t="shared" ca="1" si="12"/>
        <v>196.27333333333331</v>
      </c>
      <c r="E233" t="b">
        <f t="shared" ca="1" si="11"/>
        <v>0</v>
      </c>
      <c r="F233">
        <v>14312.180000000035</v>
      </c>
      <c r="G233">
        <v>0</v>
      </c>
      <c r="H233">
        <f t="shared" si="14"/>
        <v>14312.180000000035</v>
      </c>
    </row>
    <row r="234" spans="1:8">
      <c r="A234" s="1">
        <v>42628</v>
      </c>
      <c r="B234">
        <v>200.42</v>
      </c>
      <c r="C234" s="2">
        <f t="shared" ca="1" si="13"/>
        <v>202.01916666666668</v>
      </c>
      <c r="D234" s="2">
        <f t="shared" ca="1" si="12"/>
        <v>196.92</v>
      </c>
      <c r="E234" t="b">
        <f t="shared" ca="1" si="11"/>
        <v>0</v>
      </c>
      <c r="F234">
        <v>14312.180000000035</v>
      </c>
      <c r="G234">
        <v>0</v>
      </c>
      <c r="H234">
        <f t="shared" si="14"/>
        <v>14312.180000000035</v>
      </c>
    </row>
    <row r="235" spans="1:8">
      <c r="A235" s="1">
        <v>42629</v>
      </c>
      <c r="B235">
        <v>205.4</v>
      </c>
      <c r="C235" s="2">
        <f t="shared" ca="1" si="13"/>
        <v>200.78750000000002</v>
      </c>
      <c r="D235" s="2">
        <f t="shared" ca="1" si="12"/>
        <v>197.62666666666667</v>
      </c>
      <c r="E235" t="b">
        <f t="shared" ca="1" si="11"/>
        <v>0</v>
      </c>
      <c r="F235">
        <v>14312.180000000035</v>
      </c>
      <c r="G235">
        <v>0</v>
      </c>
      <c r="H235">
        <f t="shared" si="14"/>
        <v>14312.180000000035</v>
      </c>
    </row>
    <row r="236" spans="1:8">
      <c r="A236" s="1">
        <v>42632</v>
      </c>
      <c r="B236">
        <v>206.34</v>
      </c>
      <c r="C236" s="2">
        <f t="shared" ca="1" si="13"/>
        <v>200.29250000000002</v>
      </c>
      <c r="D236" s="2">
        <f t="shared" ca="1" si="12"/>
        <v>200.74333333333334</v>
      </c>
      <c r="E236" t="b">
        <f t="shared" ca="1" si="11"/>
        <v>1</v>
      </c>
      <c r="F236">
        <v>74.720000000026545</v>
      </c>
      <c r="G236">
        <v>14237.460000000001</v>
      </c>
      <c r="H236">
        <f t="shared" si="14"/>
        <v>14312.180000000028</v>
      </c>
    </row>
    <row r="237" spans="1:8">
      <c r="A237" s="1">
        <v>42633</v>
      </c>
      <c r="B237">
        <v>204.64</v>
      </c>
      <c r="C237" s="2">
        <f t="shared" ca="1" si="13"/>
        <v>199.82000000000002</v>
      </c>
      <c r="D237" s="2">
        <f t="shared" ca="1" si="12"/>
        <v>204.05333333333331</v>
      </c>
      <c r="E237" t="b">
        <f t="shared" ca="1" si="11"/>
        <v>1</v>
      </c>
      <c r="F237">
        <v>74.720000000026545</v>
      </c>
      <c r="G237">
        <v>14120.16</v>
      </c>
      <c r="H237">
        <f t="shared" si="14"/>
        <v>14194.880000000026</v>
      </c>
    </row>
    <row r="238" spans="1:8">
      <c r="A238" s="1">
        <v>42634</v>
      </c>
      <c r="B238">
        <v>205.22</v>
      </c>
      <c r="C238" s="2">
        <f t="shared" ca="1" si="13"/>
        <v>200.14250000000001</v>
      </c>
      <c r="D238" s="2">
        <f t="shared" ca="1" si="12"/>
        <v>205.46</v>
      </c>
      <c r="E238" t="b">
        <f t="shared" ca="1" si="11"/>
        <v>1</v>
      </c>
      <c r="F238">
        <v>74.720000000026545</v>
      </c>
      <c r="G238">
        <v>14160.18</v>
      </c>
      <c r="H238">
        <f t="shared" si="14"/>
        <v>14234.900000000027</v>
      </c>
    </row>
    <row r="239" spans="1:8">
      <c r="A239" s="1">
        <v>42635</v>
      </c>
      <c r="B239">
        <v>206.43</v>
      </c>
      <c r="C239" s="2">
        <f t="shared" ca="1" si="13"/>
        <v>200.76250000000002</v>
      </c>
      <c r="D239" s="2">
        <f t="shared" ca="1" si="12"/>
        <v>205.4</v>
      </c>
      <c r="E239" t="b">
        <f t="shared" ca="1" si="11"/>
        <v>1</v>
      </c>
      <c r="F239">
        <v>74.720000000026545</v>
      </c>
      <c r="G239">
        <v>14243.67</v>
      </c>
      <c r="H239">
        <f t="shared" si="14"/>
        <v>14318.390000000027</v>
      </c>
    </row>
    <row r="240" spans="1:8">
      <c r="A240" s="1">
        <v>42636</v>
      </c>
      <c r="B240">
        <v>207.45</v>
      </c>
      <c r="C240" s="2">
        <f t="shared" ca="1" si="13"/>
        <v>201.0625</v>
      </c>
      <c r="D240" s="2">
        <f t="shared" ca="1" si="12"/>
        <v>205.42999999999998</v>
      </c>
      <c r="E240" t="b">
        <f t="shared" ca="1" si="11"/>
        <v>1</v>
      </c>
      <c r="F240">
        <v>74.720000000026545</v>
      </c>
      <c r="G240">
        <v>14314.05</v>
      </c>
      <c r="H240">
        <f t="shared" si="14"/>
        <v>14388.770000000026</v>
      </c>
    </row>
    <row r="241" spans="1:8">
      <c r="A241" s="1">
        <v>42639</v>
      </c>
      <c r="B241">
        <v>208.99</v>
      </c>
      <c r="C241" s="2">
        <f t="shared" ca="1" si="13"/>
        <v>201.54083333333332</v>
      </c>
      <c r="D241" s="2">
        <f t="shared" ca="1" si="12"/>
        <v>206.36666666666665</v>
      </c>
      <c r="E241" t="b">
        <f t="shared" ca="1" si="11"/>
        <v>1</v>
      </c>
      <c r="F241">
        <v>74.720000000026545</v>
      </c>
      <c r="G241">
        <v>14420.310000000001</v>
      </c>
      <c r="H241">
        <f t="shared" si="14"/>
        <v>14495.030000000028</v>
      </c>
    </row>
    <row r="242" spans="1:8">
      <c r="A242" s="1">
        <v>42640</v>
      </c>
      <c r="B242">
        <v>205.81</v>
      </c>
      <c r="C242" s="2">
        <f t="shared" ca="1" si="13"/>
        <v>202.51</v>
      </c>
      <c r="D242" s="2">
        <f t="shared" ca="1" si="12"/>
        <v>207.62333333333333</v>
      </c>
      <c r="E242" t="b">
        <f t="shared" ca="1" si="11"/>
        <v>1</v>
      </c>
      <c r="F242">
        <v>74.720000000026545</v>
      </c>
      <c r="G242">
        <v>14200.89</v>
      </c>
      <c r="H242">
        <f t="shared" si="14"/>
        <v>14275.610000000026</v>
      </c>
    </row>
    <row r="243" spans="1:8">
      <c r="A243" s="1">
        <v>42641</v>
      </c>
      <c r="B243">
        <v>206.27</v>
      </c>
      <c r="C243" s="2">
        <f t="shared" ca="1" si="13"/>
        <v>203.45500000000001</v>
      </c>
      <c r="D243" s="2">
        <f t="shared" ca="1" si="12"/>
        <v>207.41666666666666</v>
      </c>
      <c r="E243" t="b">
        <f t="shared" ca="1" si="11"/>
        <v>1</v>
      </c>
      <c r="F243">
        <v>74.720000000026545</v>
      </c>
      <c r="G243">
        <v>14232.630000000001</v>
      </c>
      <c r="H243">
        <f t="shared" si="14"/>
        <v>14307.350000000028</v>
      </c>
    </row>
    <row r="244" spans="1:8">
      <c r="A244" s="1">
        <v>42642</v>
      </c>
      <c r="B244">
        <v>200.7</v>
      </c>
      <c r="C244" s="2">
        <f t="shared" ca="1" si="13"/>
        <v>204.1191666666667</v>
      </c>
      <c r="D244" s="2">
        <f t="shared" ca="1" si="12"/>
        <v>207.02333333333334</v>
      </c>
      <c r="E244" t="b">
        <f t="shared" ref="E244:E307" ca="1" si="15">D244&gt;C244</f>
        <v>1</v>
      </c>
      <c r="F244">
        <v>74.720000000026545</v>
      </c>
      <c r="G244">
        <v>13848.3</v>
      </c>
      <c r="H244">
        <f t="shared" si="14"/>
        <v>13923.020000000026</v>
      </c>
    </row>
    <row r="245" spans="1:8">
      <c r="A245" s="1">
        <v>42643</v>
      </c>
      <c r="B245">
        <v>204.03</v>
      </c>
      <c r="C245" s="2">
        <f t="shared" ca="1" si="13"/>
        <v>204.50666666666666</v>
      </c>
      <c r="D245" s="2">
        <f t="shared" ca="1" si="12"/>
        <v>204.26</v>
      </c>
      <c r="E245" t="b">
        <f t="shared" ca="1" si="15"/>
        <v>0</v>
      </c>
      <c r="F245">
        <v>14152.790000000026</v>
      </c>
      <c r="G245">
        <v>0</v>
      </c>
      <c r="H245">
        <f t="shared" si="14"/>
        <v>14152.790000000026</v>
      </c>
    </row>
    <row r="246" spans="1:8">
      <c r="A246" s="1">
        <v>42646</v>
      </c>
      <c r="B246">
        <v>213.7</v>
      </c>
      <c r="C246" s="2">
        <f t="shared" ca="1" si="13"/>
        <v>205.14166666666668</v>
      </c>
      <c r="D246" s="2">
        <f t="shared" ca="1" si="12"/>
        <v>203.66666666666666</v>
      </c>
      <c r="E246" t="b">
        <f t="shared" ca="1" si="15"/>
        <v>0</v>
      </c>
      <c r="F246">
        <v>14152.790000000026</v>
      </c>
      <c r="G246">
        <v>0</v>
      </c>
      <c r="H246">
        <f t="shared" si="14"/>
        <v>14152.790000000026</v>
      </c>
    </row>
    <row r="247" spans="1:8">
      <c r="A247" s="1">
        <v>42647</v>
      </c>
      <c r="B247">
        <v>211.41</v>
      </c>
      <c r="C247" s="2">
        <f t="shared" ca="1" si="13"/>
        <v>206.24833333333333</v>
      </c>
      <c r="D247" s="2">
        <f t="shared" ca="1" si="12"/>
        <v>206.14333333333335</v>
      </c>
      <c r="E247" t="b">
        <f t="shared" ca="1" si="15"/>
        <v>0</v>
      </c>
      <c r="F247">
        <v>14152.790000000026</v>
      </c>
      <c r="G247">
        <v>0</v>
      </c>
      <c r="H247">
        <f t="shared" si="14"/>
        <v>14152.790000000026</v>
      </c>
    </row>
    <row r="248" spans="1:8">
      <c r="A248" s="1">
        <v>42648</v>
      </c>
      <c r="B248">
        <v>208.46</v>
      </c>
      <c r="C248" s="2">
        <f t="shared" ca="1" si="13"/>
        <v>206.74916666666664</v>
      </c>
      <c r="D248" s="2">
        <f t="shared" ca="1" si="12"/>
        <v>209.71333333333334</v>
      </c>
      <c r="E248" t="b">
        <f t="shared" ca="1" si="15"/>
        <v>1</v>
      </c>
      <c r="F248">
        <v>185.9700000000494</v>
      </c>
      <c r="G248">
        <v>13966.82</v>
      </c>
      <c r="H248">
        <f t="shared" si="14"/>
        <v>14152.79000000005</v>
      </c>
    </row>
    <row r="249" spans="1:8">
      <c r="A249" s="1">
        <v>42649</v>
      </c>
      <c r="B249">
        <v>201</v>
      </c>
      <c r="C249" s="2">
        <f t="shared" ca="1" si="13"/>
        <v>206.92583333333332</v>
      </c>
      <c r="D249" s="2">
        <f t="shared" ca="1" si="12"/>
        <v>211.19000000000003</v>
      </c>
      <c r="E249" t="b">
        <f t="shared" ca="1" si="15"/>
        <v>1</v>
      </c>
      <c r="F249">
        <v>185.9700000000494</v>
      </c>
      <c r="G249">
        <v>13467</v>
      </c>
      <c r="H249">
        <f t="shared" si="14"/>
        <v>13652.97000000005</v>
      </c>
    </row>
    <row r="250" spans="1:8">
      <c r="A250" s="1">
        <v>42650</v>
      </c>
      <c r="B250">
        <v>196.61</v>
      </c>
      <c r="C250" s="2">
        <f t="shared" ca="1" si="13"/>
        <v>206.62249999999997</v>
      </c>
      <c r="D250" s="2">
        <f t="shared" ca="1" si="12"/>
        <v>206.95666666666668</v>
      </c>
      <c r="E250" t="b">
        <f t="shared" ca="1" si="15"/>
        <v>1</v>
      </c>
      <c r="F250">
        <v>185.9700000000494</v>
      </c>
      <c r="G250">
        <v>13172.87</v>
      </c>
      <c r="H250">
        <f t="shared" si="14"/>
        <v>13358.840000000051</v>
      </c>
    </row>
    <row r="251" spans="1:8">
      <c r="A251" s="1">
        <v>42653</v>
      </c>
      <c r="B251">
        <v>200.95</v>
      </c>
      <c r="C251" s="2">
        <f t="shared" ca="1" si="13"/>
        <v>205.905</v>
      </c>
      <c r="D251" s="2">
        <f t="shared" ca="1" si="12"/>
        <v>202.02333333333334</v>
      </c>
      <c r="E251" t="b">
        <f t="shared" ca="1" si="15"/>
        <v>0</v>
      </c>
      <c r="F251">
        <v>13649.62000000005</v>
      </c>
      <c r="G251">
        <v>0</v>
      </c>
      <c r="H251">
        <f t="shared" si="14"/>
        <v>13649.62000000005</v>
      </c>
    </row>
    <row r="252" spans="1:8">
      <c r="A252" s="1">
        <v>42654</v>
      </c>
      <c r="B252">
        <v>200.1</v>
      </c>
      <c r="C252" s="2">
        <f t="shared" ca="1" si="13"/>
        <v>205.44833333333335</v>
      </c>
      <c r="D252" s="2">
        <f t="shared" ca="1" si="12"/>
        <v>199.51999999999998</v>
      </c>
      <c r="E252" t="b">
        <f t="shared" ca="1" si="15"/>
        <v>0</v>
      </c>
      <c r="F252">
        <v>13649.62000000005</v>
      </c>
      <c r="G252">
        <v>0</v>
      </c>
      <c r="H252">
        <f t="shared" si="14"/>
        <v>13649.62000000005</v>
      </c>
    </row>
    <row r="253" spans="1:8">
      <c r="A253" s="1">
        <v>42655</v>
      </c>
      <c r="B253">
        <v>201.51</v>
      </c>
      <c r="C253" s="2">
        <f t="shared" ca="1" si="13"/>
        <v>204.83583333333331</v>
      </c>
      <c r="D253" s="2">
        <f t="shared" ca="1" si="12"/>
        <v>199.22</v>
      </c>
      <c r="E253" t="b">
        <f t="shared" ca="1" si="15"/>
        <v>0</v>
      </c>
      <c r="F253">
        <v>13649.62000000005</v>
      </c>
      <c r="G253">
        <v>0</v>
      </c>
      <c r="H253">
        <f t="shared" si="14"/>
        <v>13649.62000000005</v>
      </c>
    </row>
    <row r="254" spans="1:8">
      <c r="A254" s="1">
        <v>42656</v>
      </c>
      <c r="B254">
        <v>200.24</v>
      </c>
      <c r="C254" s="2">
        <f t="shared" ca="1" si="13"/>
        <v>204.21250000000001</v>
      </c>
      <c r="D254" s="2">
        <f t="shared" ca="1" si="12"/>
        <v>200.85333333333332</v>
      </c>
      <c r="E254" t="b">
        <f t="shared" ca="1" si="15"/>
        <v>0</v>
      </c>
      <c r="F254">
        <v>13649.62000000005</v>
      </c>
      <c r="G254">
        <v>0</v>
      </c>
      <c r="H254">
        <f t="shared" si="14"/>
        <v>13649.62000000005</v>
      </c>
    </row>
    <row r="255" spans="1:8">
      <c r="A255" s="1">
        <v>42657</v>
      </c>
      <c r="B255">
        <v>196.51</v>
      </c>
      <c r="C255" s="2">
        <f t="shared" ca="1" si="13"/>
        <v>203.74833333333336</v>
      </c>
      <c r="D255" s="2">
        <f t="shared" ca="1" si="12"/>
        <v>200.61666666666667</v>
      </c>
      <c r="E255" t="b">
        <f t="shared" ca="1" si="15"/>
        <v>0</v>
      </c>
      <c r="F255">
        <v>13649.62000000005</v>
      </c>
      <c r="G255">
        <v>0</v>
      </c>
      <c r="H255">
        <f t="shared" si="14"/>
        <v>13649.62000000005</v>
      </c>
    </row>
    <row r="256" spans="1:8">
      <c r="A256" s="1">
        <v>42660</v>
      </c>
      <c r="B256">
        <v>193.96</v>
      </c>
      <c r="C256" s="2">
        <f t="shared" ca="1" si="13"/>
        <v>202.93500000000003</v>
      </c>
      <c r="D256" s="2">
        <f t="shared" ca="1" si="12"/>
        <v>199.42</v>
      </c>
      <c r="E256" t="b">
        <f t="shared" ca="1" si="15"/>
        <v>0</v>
      </c>
      <c r="F256">
        <v>13649.62000000005</v>
      </c>
      <c r="G256">
        <v>0</v>
      </c>
      <c r="H256">
        <f t="shared" si="14"/>
        <v>13649.62000000005</v>
      </c>
    </row>
    <row r="257" spans="1:8">
      <c r="A257" s="1">
        <v>42661</v>
      </c>
      <c r="B257">
        <v>199.1</v>
      </c>
      <c r="C257" s="2">
        <f t="shared" ca="1" si="13"/>
        <v>202.37333333333333</v>
      </c>
      <c r="D257" s="2">
        <f t="shared" ca="1" si="12"/>
        <v>196.90333333333334</v>
      </c>
      <c r="E257" t="b">
        <f t="shared" ca="1" si="15"/>
        <v>0</v>
      </c>
      <c r="F257">
        <v>13649.62000000005</v>
      </c>
      <c r="G257">
        <v>0</v>
      </c>
      <c r="H257">
        <f t="shared" si="14"/>
        <v>13649.62000000005</v>
      </c>
    </row>
    <row r="258" spans="1:8">
      <c r="A258" s="1">
        <v>42662</v>
      </c>
      <c r="B258">
        <v>203.56</v>
      </c>
      <c r="C258" s="2">
        <f t="shared" ca="1" si="13"/>
        <v>201.96249999999998</v>
      </c>
      <c r="D258" s="2">
        <f t="shared" ca="1" si="12"/>
        <v>196.52333333333334</v>
      </c>
      <c r="E258" t="b">
        <f t="shared" ca="1" si="15"/>
        <v>0</v>
      </c>
      <c r="F258">
        <v>13649.62000000005</v>
      </c>
      <c r="G258">
        <v>0</v>
      </c>
      <c r="H258">
        <f t="shared" si="14"/>
        <v>13649.62000000005</v>
      </c>
    </row>
    <row r="259" spans="1:8">
      <c r="A259" s="1">
        <v>42663</v>
      </c>
      <c r="B259">
        <v>199.1</v>
      </c>
      <c r="C259" s="2">
        <f t="shared" ca="1" si="13"/>
        <v>201.11749999999998</v>
      </c>
      <c r="D259" s="2">
        <f t="shared" ca="1" si="12"/>
        <v>198.87333333333333</v>
      </c>
      <c r="E259" t="b">
        <f t="shared" ca="1" si="15"/>
        <v>0</v>
      </c>
      <c r="F259">
        <v>13649.62000000005</v>
      </c>
      <c r="G259">
        <v>0</v>
      </c>
      <c r="H259">
        <f t="shared" si="14"/>
        <v>13649.62000000005</v>
      </c>
    </row>
    <row r="260" spans="1:8">
      <c r="A260" s="1">
        <v>42664</v>
      </c>
      <c r="B260">
        <v>200.09</v>
      </c>
      <c r="C260" s="2">
        <f t="shared" ca="1" si="13"/>
        <v>200.09166666666667</v>
      </c>
      <c r="D260" s="2">
        <f t="shared" ca="1" si="12"/>
        <v>200.58666666666667</v>
      </c>
      <c r="E260" t="b">
        <f t="shared" ca="1" si="15"/>
        <v>1</v>
      </c>
      <c r="F260">
        <v>43.500000000042007</v>
      </c>
      <c r="G260">
        <v>13606.12</v>
      </c>
      <c r="H260">
        <f t="shared" si="14"/>
        <v>13649.620000000043</v>
      </c>
    </row>
    <row r="261" spans="1:8">
      <c r="A261" s="1">
        <v>42667</v>
      </c>
      <c r="B261">
        <v>202.76</v>
      </c>
      <c r="C261" s="2">
        <f t="shared" ca="1" si="13"/>
        <v>199.39416666666668</v>
      </c>
      <c r="D261" s="2">
        <f t="shared" ref="D261:D324" ca="1" si="16">AVERAGE(INDIRECT(ADDRESS(ROW()-$D$1,COLUMN()-2)&amp;":"&amp;ADDRESS(ROW()-1,COLUMN()-2)))</f>
        <v>200.91666666666666</v>
      </c>
      <c r="E261" t="b">
        <f t="shared" ca="1" si="15"/>
        <v>1</v>
      </c>
      <c r="F261">
        <v>43.500000000042007</v>
      </c>
      <c r="G261">
        <v>13787.68</v>
      </c>
      <c r="H261">
        <f t="shared" si="14"/>
        <v>13831.180000000042</v>
      </c>
    </row>
    <row r="262" spans="1:8">
      <c r="A262" s="1">
        <v>42668</v>
      </c>
      <c r="B262">
        <v>202.34</v>
      </c>
      <c r="C262" s="2">
        <f t="shared" ca="1" si="13"/>
        <v>199.54083333333332</v>
      </c>
      <c r="D262" s="2">
        <f t="shared" ca="1" si="16"/>
        <v>200.65</v>
      </c>
      <c r="E262" t="b">
        <f t="shared" ca="1" si="15"/>
        <v>1</v>
      </c>
      <c r="F262">
        <v>43.500000000042007</v>
      </c>
      <c r="G262">
        <v>13759.12</v>
      </c>
      <c r="H262">
        <f t="shared" si="14"/>
        <v>13802.620000000043</v>
      </c>
    </row>
    <row r="263" spans="1:8">
      <c r="A263" s="1">
        <v>42669</v>
      </c>
      <c r="B263">
        <v>202.24</v>
      </c>
      <c r="C263" s="2">
        <f t="shared" ca="1" si="13"/>
        <v>200.01833333333332</v>
      </c>
      <c r="D263" s="2">
        <f t="shared" ca="1" si="16"/>
        <v>201.73000000000002</v>
      </c>
      <c r="E263" t="b">
        <f t="shared" ca="1" si="15"/>
        <v>1</v>
      </c>
      <c r="F263">
        <v>43.500000000042007</v>
      </c>
      <c r="G263">
        <v>13752.32</v>
      </c>
      <c r="H263">
        <f t="shared" si="14"/>
        <v>13795.820000000042</v>
      </c>
    </row>
    <row r="264" spans="1:8">
      <c r="A264" s="1">
        <v>42670</v>
      </c>
      <c r="B264">
        <v>204.01</v>
      </c>
      <c r="C264" s="2">
        <f t="shared" ca="1" si="13"/>
        <v>200.12583333333336</v>
      </c>
      <c r="D264" s="2">
        <f t="shared" ca="1" si="16"/>
        <v>202.44666666666669</v>
      </c>
      <c r="E264" t="b">
        <f t="shared" ca="1" si="15"/>
        <v>1</v>
      </c>
      <c r="F264">
        <v>43.500000000042007</v>
      </c>
      <c r="G264">
        <v>13872.68</v>
      </c>
      <c r="H264">
        <f t="shared" si="14"/>
        <v>13916.180000000042</v>
      </c>
    </row>
    <row r="265" spans="1:8">
      <c r="A265" s="1">
        <v>42671</v>
      </c>
      <c r="B265">
        <v>199.97</v>
      </c>
      <c r="C265" s="2">
        <f t="shared" ca="1" si="13"/>
        <v>200.45166666666668</v>
      </c>
      <c r="D265" s="2">
        <f t="shared" ca="1" si="16"/>
        <v>202.86333333333334</v>
      </c>
      <c r="E265" t="b">
        <f t="shared" ca="1" si="15"/>
        <v>1</v>
      </c>
      <c r="F265">
        <v>43.500000000042007</v>
      </c>
      <c r="G265">
        <v>13597.96</v>
      </c>
      <c r="H265">
        <f t="shared" si="14"/>
        <v>13641.460000000041</v>
      </c>
    </row>
    <row r="266" spans="1:8">
      <c r="A266" s="1">
        <v>42674</v>
      </c>
      <c r="B266">
        <v>197.73</v>
      </c>
      <c r="C266" s="2">
        <f t="shared" ca="1" si="13"/>
        <v>200.3233333333333</v>
      </c>
      <c r="D266" s="2">
        <f t="shared" ca="1" si="16"/>
        <v>202.07333333333335</v>
      </c>
      <c r="E266" t="b">
        <f t="shared" ca="1" si="15"/>
        <v>1</v>
      </c>
      <c r="F266">
        <v>43.500000000042007</v>
      </c>
      <c r="G266">
        <v>13445.64</v>
      </c>
      <c r="H266">
        <f t="shared" si="14"/>
        <v>13489.140000000041</v>
      </c>
    </row>
    <row r="267" spans="1:8">
      <c r="A267" s="1">
        <v>42675</v>
      </c>
      <c r="B267">
        <v>190.79</v>
      </c>
      <c r="C267" s="2">
        <f t="shared" ca="1" si="13"/>
        <v>200.11416666666665</v>
      </c>
      <c r="D267" s="2">
        <f t="shared" ca="1" si="16"/>
        <v>200.57000000000002</v>
      </c>
      <c r="E267" t="b">
        <f t="shared" ca="1" si="15"/>
        <v>1</v>
      </c>
      <c r="F267">
        <v>43.500000000042007</v>
      </c>
      <c r="G267">
        <v>12973.72</v>
      </c>
      <c r="H267">
        <f t="shared" si="14"/>
        <v>13017.220000000041</v>
      </c>
    </row>
    <row r="268" spans="1:8">
      <c r="A268" s="1">
        <v>42676</v>
      </c>
      <c r="B268">
        <v>188.02</v>
      </c>
      <c r="C268" s="2">
        <f t="shared" ca="1" si="13"/>
        <v>199.63750000000002</v>
      </c>
      <c r="D268" s="2">
        <f t="shared" ca="1" si="16"/>
        <v>196.16333333333333</v>
      </c>
      <c r="E268" t="b">
        <f t="shared" ca="1" si="15"/>
        <v>0</v>
      </c>
      <c r="F268">
        <v>12828.860000000042</v>
      </c>
      <c r="G268">
        <v>0</v>
      </c>
      <c r="H268">
        <f t="shared" si="14"/>
        <v>12828.860000000042</v>
      </c>
    </row>
    <row r="269" spans="1:8">
      <c r="A269" s="1">
        <v>42677</v>
      </c>
      <c r="B269">
        <v>187.42</v>
      </c>
      <c r="C269" s="2">
        <f t="shared" ca="1" si="13"/>
        <v>199.14250000000001</v>
      </c>
      <c r="D269" s="2">
        <f t="shared" ca="1" si="16"/>
        <v>192.17999999999998</v>
      </c>
      <c r="E269" t="b">
        <f t="shared" ca="1" si="15"/>
        <v>0</v>
      </c>
      <c r="F269">
        <v>12828.860000000042</v>
      </c>
      <c r="G269">
        <v>0</v>
      </c>
      <c r="H269">
        <f t="shared" si="14"/>
        <v>12828.860000000042</v>
      </c>
    </row>
    <row r="270" spans="1:8">
      <c r="A270" s="1">
        <v>42678</v>
      </c>
      <c r="B270">
        <v>190.56</v>
      </c>
      <c r="C270" s="2">
        <f t="shared" ca="1" si="13"/>
        <v>198.16916666666668</v>
      </c>
      <c r="D270" s="2">
        <f t="shared" ca="1" si="16"/>
        <v>188.74333333333334</v>
      </c>
      <c r="E270" t="b">
        <f t="shared" ca="1" si="15"/>
        <v>0</v>
      </c>
      <c r="F270">
        <v>12828.860000000042</v>
      </c>
      <c r="G270">
        <v>0</v>
      </c>
      <c r="H270">
        <f t="shared" si="14"/>
        <v>12828.860000000042</v>
      </c>
    </row>
    <row r="271" spans="1:8">
      <c r="A271" s="1">
        <v>42681</v>
      </c>
      <c r="B271">
        <v>193.21</v>
      </c>
      <c r="C271" s="2">
        <f t="shared" ca="1" si="13"/>
        <v>197.08583333333331</v>
      </c>
      <c r="D271" s="2">
        <f t="shared" ca="1" si="16"/>
        <v>188.66666666666666</v>
      </c>
      <c r="E271" t="b">
        <f t="shared" ca="1" si="15"/>
        <v>0</v>
      </c>
      <c r="F271">
        <v>12828.860000000042</v>
      </c>
      <c r="G271">
        <v>0</v>
      </c>
      <c r="H271">
        <f t="shared" si="14"/>
        <v>12828.860000000042</v>
      </c>
    </row>
    <row r="272" spans="1:8">
      <c r="A272" s="1">
        <v>42682</v>
      </c>
      <c r="B272">
        <v>194.94</v>
      </c>
      <c r="C272" s="2">
        <f t="shared" ca="1" si="13"/>
        <v>196.59500000000003</v>
      </c>
      <c r="D272" s="2">
        <f t="shared" ca="1" si="16"/>
        <v>190.39666666666668</v>
      </c>
      <c r="E272" t="b">
        <f t="shared" ca="1" si="15"/>
        <v>0</v>
      </c>
      <c r="F272">
        <v>12828.860000000042</v>
      </c>
      <c r="G272">
        <v>0</v>
      </c>
      <c r="H272">
        <f t="shared" si="14"/>
        <v>12828.860000000042</v>
      </c>
    </row>
    <row r="273" spans="1:8">
      <c r="A273" s="1">
        <v>42683</v>
      </c>
      <c r="B273">
        <v>190.06</v>
      </c>
      <c r="C273" s="2">
        <f t="shared" ca="1" si="13"/>
        <v>196.16583333333332</v>
      </c>
      <c r="D273" s="2">
        <f t="shared" ca="1" si="16"/>
        <v>192.90333333333334</v>
      </c>
      <c r="E273" t="b">
        <f t="shared" ca="1" si="15"/>
        <v>0</v>
      </c>
      <c r="F273">
        <v>12828.860000000042</v>
      </c>
      <c r="G273">
        <v>0</v>
      </c>
      <c r="H273">
        <f t="shared" si="14"/>
        <v>12828.860000000042</v>
      </c>
    </row>
    <row r="274" spans="1:8">
      <c r="A274" s="1">
        <v>42684</v>
      </c>
      <c r="B274">
        <v>185.35</v>
      </c>
      <c r="C274" s="2">
        <f t="shared" ca="1" si="13"/>
        <v>195.10749999999999</v>
      </c>
      <c r="D274" s="2">
        <f t="shared" ca="1" si="16"/>
        <v>192.73666666666668</v>
      </c>
      <c r="E274" t="b">
        <f t="shared" ca="1" si="15"/>
        <v>0</v>
      </c>
      <c r="F274">
        <v>12828.860000000042</v>
      </c>
      <c r="G274">
        <v>0</v>
      </c>
      <c r="H274">
        <f t="shared" si="14"/>
        <v>12828.860000000042</v>
      </c>
    </row>
    <row r="275" spans="1:8">
      <c r="A275" s="1">
        <v>42685</v>
      </c>
      <c r="B275">
        <v>188.56</v>
      </c>
      <c r="C275" s="2">
        <f t="shared" ca="1" si="13"/>
        <v>193.69166666666669</v>
      </c>
      <c r="D275" s="2">
        <f t="shared" ca="1" si="16"/>
        <v>190.11666666666667</v>
      </c>
      <c r="E275" t="b">
        <f t="shared" ca="1" si="15"/>
        <v>0</v>
      </c>
      <c r="F275">
        <v>12828.860000000042</v>
      </c>
      <c r="G275">
        <v>0</v>
      </c>
      <c r="H275">
        <f t="shared" si="14"/>
        <v>12828.860000000042</v>
      </c>
    </row>
    <row r="276" spans="1:8">
      <c r="A276" s="1">
        <v>42688</v>
      </c>
      <c r="B276">
        <v>181.45</v>
      </c>
      <c r="C276" s="2">
        <f t="shared" ca="1" si="13"/>
        <v>192.55166666666665</v>
      </c>
      <c r="D276" s="2">
        <f t="shared" ca="1" si="16"/>
        <v>187.99</v>
      </c>
      <c r="E276" t="b">
        <f t="shared" ca="1" si="15"/>
        <v>0</v>
      </c>
      <c r="F276">
        <v>12828.860000000042</v>
      </c>
      <c r="G276">
        <v>0</v>
      </c>
      <c r="H276">
        <f t="shared" si="14"/>
        <v>12828.860000000042</v>
      </c>
    </row>
    <row r="277" spans="1:8">
      <c r="A277" s="1">
        <v>42689</v>
      </c>
      <c r="B277">
        <v>183.77</v>
      </c>
      <c r="C277" s="2">
        <f t="shared" ca="1" si="13"/>
        <v>190.67166666666665</v>
      </c>
      <c r="D277" s="2">
        <f t="shared" ca="1" si="16"/>
        <v>185.11999999999998</v>
      </c>
      <c r="E277" t="b">
        <f t="shared" ca="1" si="15"/>
        <v>0</v>
      </c>
      <c r="F277">
        <v>12828.860000000042</v>
      </c>
      <c r="G277">
        <v>0</v>
      </c>
      <c r="H277">
        <f t="shared" si="14"/>
        <v>12828.860000000042</v>
      </c>
    </row>
    <row r="278" spans="1:8">
      <c r="A278" s="1">
        <v>42690</v>
      </c>
      <c r="B278">
        <v>183.93</v>
      </c>
      <c r="C278" s="2">
        <f t="shared" ref="C278:C341" ca="1" si="17">AVERAGE(INDIRECT(ADDRESS(ROW()-$C$1,COLUMN()-1)&amp;":"&amp;ADDRESS(ROW()-1,COLUMN()-1)))</f>
        <v>189.32166666666663</v>
      </c>
      <c r="D278" s="2">
        <f t="shared" ca="1" si="16"/>
        <v>184.59333333333333</v>
      </c>
      <c r="E278" t="b">
        <f t="shared" ca="1" si="15"/>
        <v>0</v>
      </c>
      <c r="F278">
        <v>12828.860000000042</v>
      </c>
      <c r="G278">
        <v>0</v>
      </c>
      <c r="H278">
        <f t="shared" ref="H278:H341" si="18">G278+F278</f>
        <v>12828.860000000042</v>
      </c>
    </row>
    <row r="279" spans="1:8">
      <c r="A279" s="1">
        <v>42691</v>
      </c>
      <c r="B279">
        <v>188.66</v>
      </c>
      <c r="C279" s="2">
        <f t="shared" ca="1" si="17"/>
        <v>188.17166666666665</v>
      </c>
      <c r="D279" s="2">
        <f t="shared" ca="1" si="16"/>
        <v>183.05000000000004</v>
      </c>
      <c r="E279" t="b">
        <f t="shared" ca="1" si="15"/>
        <v>0</v>
      </c>
      <c r="F279">
        <v>12828.860000000042</v>
      </c>
      <c r="G279">
        <v>0</v>
      </c>
      <c r="H279">
        <f t="shared" si="18"/>
        <v>12828.860000000042</v>
      </c>
    </row>
    <row r="280" spans="1:8">
      <c r="A280" s="1">
        <v>42692</v>
      </c>
      <c r="B280">
        <v>185.02</v>
      </c>
      <c r="C280" s="2">
        <f t="shared" ca="1" si="17"/>
        <v>187.99416666666664</v>
      </c>
      <c r="D280" s="2">
        <f t="shared" ca="1" si="16"/>
        <v>185.45333333333335</v>
      </c>
      <c r="E280" t="b">
        <f t="shared" ca="1" si="15"/>
        <v>0</v>
      </c>
      <c r="F280">
        <v>12828.860000000042</v>
      </c>
      <c r="G280">
        <v>0</v>
      </c>
      <c r="H280">
        <f t="shared" si="18"/>
        <v>12828.860000000042</v>
      </c>
    </row>
    <row r="281" spans="1:8">
      <c r="A281" s="1">
        <v>42695</v>
      </c>
      <c r="B281">
        <v>184.52</v>
      </c>
      <c r="C281" s="2">
        <f t="shared" ca="1" si="17"/>
        <v>187.74416666666664</v>
      </c>
      <c r="D281" s="2">
        <f t="shared" ca="1" si="16"/>
        <v>185.87</v>
      </c>
      <c r="E281" t="b">
        <f t="shared" ca="1" si="15"/>
        <v>0</v>
      </c>
      <c r="F281">
        <v>12828.860000000042</v>
      </c>
      <c r="G281">
        <v>0</v>
      </c>
      <c r="H281">
        <f t="shared" si="18"/>
        <v>12828.860000000042</v>
      </c>
    </row>
    <row r="282" spans="1:8">
      <c r="A282" s="1">
        <v>42696</v>
      </c>
      <c r="B282">
        <v>191.17</v>
      </c>
      <c r="C282" s="2">
        <f t="shared" ca="1" si="17"/>
        <v>187.50250000000003</v>
      </c>
      <c r="D282" s="2">
        <f t="shared" ca="1" si="16"/>
        <v>186.06666666666669</v>
      </c>
      <c r="E282" t="b">
        <f t="shared" ca="1" si="15"/>
        <v>0</v>
      </c>
      <c r="F282">
        <v>12828.860000000042</v>
      </c>
      <c r="G282">
        <v>0</v>
      </c>
      <c r="H282">
        <f t="shared" si="18"/>
        <v>12828.860000000042</v>
      </c>
    </row>
    <row r="283" spans="1:8">
      <c r="A283" s="1">
        <v>42697</v>
      </c>
      <c r="B283">
        <v>193.14</v>
      </c>
      <c r="C283" s="2">
        <f t="shared" ca="1" si="17"/>
        <v>187.55333333333337</v>
      </c>
      <c r="D283" s="2">
        <f t="shared" ca="1" si="16"/>
        <v>186.90333333333334</v>
      </c>
      <c r="E283" t="b">
        <f t="shared" ca="1" si="15"/>
        <v>0</v>
      </c>
      <c r="F283">
        <v>12828.860000000042</v>
      </c>
      <c r="G283">
        <v>0</v>
      </c>
      <c r="H283">
        <f t="shared" si="18"/>
        <v>12828.860000000042</v>
      </c>
    </row>
    <row r="284" spans="1:8">
      <c r="A284" s="1">
        <v>42699</v>
      </c>
      <c r="B284">
        <v>196.65</v>
      </c>
      <c r="C284" s="2">
        <f t="shared" ca="1" si="17"/>
        <v>187.54750000000001</v>
      </c>
      <c r="D284" s="2">
        <f t="shared" ca="1" si="16"/>
        <v>189.60999999999999</v>
      </c>
      <c r="E284" t="b">
        <f t="shared" ca="1" si="15"/>
        <v>1</v>
      </c>
      <c r="F284">
        <v>46.610000000057028</v>
      </c>
      <c r="G284">
        <v>12782.25</v>
      </c>
      <c r="H284">
        <f t="shared" si="18"/>
        <v>12828.860000000057</v>
      </c>
    </row>
    <row r="285" spans="1:8">
      <c r="A285" s="1">
        <v>42702</v>
      </c>
      <c r="B285">
        <v>196.12</v>
      </c>
      <c r="C285" s="2">
        <f t="shared" ca="1" si="17"/>
        <v>187.69000000000003</v>
      </c>
      <c r="D285" s="2">
        <f t="shared" ca="1" si="16"/>
        <v>193.65333333333331</v>
      </c>
      <c r="E285" t="b">
        <f t="shared" ca="1" si="15"/>
        <v>1</v>
      </c>
      <c r="F285">
        <v>46.610000000057028</v>
      </c>
      <c r="G285">
        <v>12747.800000000001</v>
      </c>
      <c r="H285">
        <f t="shared" si="18"/>
        <v>12794.410000000058</v>
      </c>
    </row>
    <row r="286" spans="1:8">
      <c r="A286" s="1">
        <v>42703</v>
      </c>
      <c r="B286">
        <v>189.57</v>
      </c>
      <c r="C286" s="2">
        <f t="shared" ca="1" si="17"/>
        <v>188.19500000000002</v>
      </c>
      <c r="D286" s="2">
        <f t="shared" ca="1" si="16"/>
        <v>195.30333333333331</v>
      </c>
      <c r="E286" t="b">
        <f t="shared" ca="1" si="15"/>
        <v>1</v>
      </c>
      <c r="F286">
        <v>46.610000000057028</v>
      </c>
      <c r="G286">
        <v>12322.05</v>
      </c>
      <c r="H286">
        <f t="shared" si="18"/>
        <v>12368.660000000056</v>
      </c>
    </row>
    <row r="287" spans="1:8">
      <c r="A287" s="1">
        <v>42704</v>
      </c>
      <c r="B287">
        <v>189.4</v>
      </c>
      <c r="C287" s="2">
        <f t="shared" ca="1" si="17"/>
        <v>188.54666666666671</v>
      </c>
      <c r="D287" s="2">
        <f t="shared" ca="1" si="16"/>
        <v>194.11333333333332</v>
      </c>
      <c r="E287" t="b">
        <f t="shared" ca="1" si="15"/>
        <v>1</v>
      </c>
      <c r="F287">
        <v>46.610000000057028</v>
      </c>
      <c r="G287">
        <v>12311</v>
      </c>
      <c r="H287">
        <f t="shared" si="18"/>
        <v>12357.610000000057</v>
      </c>
    </row>
    <row r="288" spans="1:8">
      <c r="A288" s="1">
        <v>42705</v>
      </c>
      <c r="B288">
        <v>181.88</v>
      </c>
      <c r="C288" s="2">
        <f t="shared" ca="1" si="17"/>
        <v>188.6166666666667</v>
      </c>
      <c r="D288" s="2">
        <f t="shared" ca="1" si="16"/>
        <v>191.69666666666669</v>
      </c>
      <c r="E288" t="b">
        <f t="shared" ca="1" si="15"/>
        <v>1</v>
      </c>
      <c r="F288">
        <v>46.610000000057028</v>
      </c>
      <c r="G288">
        <v>11822.199999999999</v>
      </c>
      <c r="H288">
        <f t="shared" si="18"/>
        <v>11868.810000000056</v>
      </c>
    </row>
    <row r="289" spans="1:8">
      <c r="A289" s="1">
        <v>42706</v>
      </c>
      <c r="B289">
        <v>181.47</v>
      </c>
      <c r="C289" s="2">
        <f t="shared" ca="1" si="17"/>
        <v>188.6525</v>
      </c>
      <c r="D289" s="2">
        <f t="shared" ca="1" si="16"/>
        <v>186.95000000000002</v>
      </c>
      <c r="E289" t="b">
        <f t="shared" ca="1" si="15"/>
        <v>0</v>
      </c>
      <c r="F289">
        <v>11842.160000000056</v>
      </c>
      <c r="G289">
        <v>0</v>
      </c>
      <c r="H289">
        <f t="shared" si="18"/>
        <v>11842.160000000056</v>
      </c>
    </row>
    <row r="290" spans="1:8">
      <c r="A290" s="1">
        <v>42709</v>
      </c>
      <c r="B290">
        <v>186.8</v>
      </c>
      <c r="C290" s="2">
        <f t="shared" ca="1" si="17"/>
        <v>188.46083333333331</v>
      </c>
      <c r="D290" s="2">
        <f t="shared" ca="1" si="16"/>
        <v>184.25</v>
      </c>
      <c r="E290" t="b">
        <f t="shared" ca="1" si="15"/>
        <v>0</v>
      </c>
      <c r="F290">
        <v>11842.160000000056</v>
      </c>
      <c r="G290">
        <v>0</v>
      </c>
      <c r="H290">
        <f t="shared" si="18"/>
        <v>11842.160000000056</v>
      </c>
    </row>
    <row r="291" spans="1:8">
      <c r="A291" s="1">
        <v>42710</v>
      </c>
      <c r="B291">
        <v>185.85</v>
      </c>
      <c r="C291" s="2">
        <f t="shared" ca="1" si="17"/>
        <v>188.70000000000002</v>
      </c>
      <c r="D291" s="2">
        <f t="shared" ca="1" si="16"/>
        <v>183.38333333333335</v>
      </c>
      <c r="E291" t="b">
        <f t="shared" ca="1" si="15"/>
        <v>0</v>
      </c>
      <c r="F291">
        <v>11842.160000000056</v>
      </c>
      <c r="G291">
        <v>0</v>
      </c>
      <c r="H291">
        <f t="shared" si="18"/>
        <v>11842.160000000056</v>
      </c>
    </row>
    <row r="292" spans="1:8">
      <c r="A292" s="1">
        <v>42711</v>
      </c>
      <c r="B292">
        <v>193.15</v>
      </c>
      <c r="C292" s="2">
        <f t="shared" ca="1" si="17"/>
        <v>188.46583333333331</v>
      </c>
      <c r="D292" s="2">
        <f t="shared" ca="1" si="16"/>
        <v>184.70666666666668</v>
      </c>
      <c r="E292" t="b">
        <f t="shared" ca="1" si="15"/>
        <v>0</v>
      </c>
      <c r="F292">
        <v>11842.160000000056</v>
      </c>
      <c r="G292">
        <v>0</v>
      </c>
      <c r="H292">
        <f t="shared" si="18"/>
        <v>11842.160000000056</v>
      </c>
    </row>
    <row r="293" spans="1:8">
      <c r="A293" s="1">
        <v>42712</v>
      </c>
      <c r="B293">
        <v>192.29</v>
      </c>
      <c r="C293" s="2">
        <f t="shared" ca="1" si="17"/>
        <v>189.14333333333332</v>
      </c>
      <c r="D293" s="2">
        <f t="shared" ca="1" si="16"/>
        <v>188.6</v>
      </c>
      <c r="E293" t="b">
        <f t="shared" ca="1" si="15"/>
        <v>0</v>
      </c>
      <c r="F293">
        <v>11842.160000000056</v>
      </c>
      <c r="G293">
        <v>0</v>
      </c>
      <c r="H293">
        <f t="shared" si="18"/>
        <v>11842.160000000056</v>
      </c>
    </row>
    <row r="294" spans="1:8">
      <c r="A294" s="1">
        <v>42713</v>
      </c>
      <c r="B294">
        <v>192.18</v>
      </c>
      <c r="C294" s="2">
        <f t="shared" ca="1" si="17"/>
        <v>189.79083333333332</v>
      </c>
      <c r="D294" s="2">
        <f t="shared" ca="1" si="16"/>
        <v>190.42999999999998</v>
      </c>
      <c r="E294" t="b">
        <f t="shared" ca="1" si="15"/>
        <v>1</v>
      </c>
      <c r="F294">
        <v>119.18000000004571</v>
      </c>
      <c r="G294">
        <v>11722.98</v>
      </c>
      <c r="H294">
        <f t="shared" si="18"/>
        <v>11842.160000000045</v>
      </c>
    </row>
    <row r="295" spans="1:8">
      <c r="A295" s="1">
        <v>42716</v>
      </c>
      <c r="B295">
        <v>192.43</v>
      </c>
      <c r="C295" s="2">
        <f t="shared" ca="1" si="17"/>
        <v>189.875</v>
      </c>
      <c r="D295" s="2">
        <f t="shared" ca="1" si="16"/>
        <v>192.54</v>
      </c>
      <c r="E295" t="b">
        <f t="shared" ca="1" si="15"/>
        <v>1</v>
      </c>
      <c r="F295">
        <v>119.18000000004571</v>
      </c>
      <c r="G295">
        <v>11738.23</v>
      </c>
      <c r="H295">
        <f t="shared" si="18"/>
        <v>11857.410000000045</v>
      </c>
    </row>
    <row r="296" spans="1:8">
      <c r="A296" s="1">
        <v>42717</v>
      </c>
      <c r="B296">
        <v>198.15</v>
      </c>
      <c r="C296" s="2">
        <f t="shared" ca="1" si="17"/>
        <v>189.8158333333333</v>
      </c>
      <c r="D296" s="2">
        <f t="shared" ca="1" si="16"/>
        <v>192.30000000000004</v>
      </c>
      <c r="E296" t="b">
        <f t="shared" ca="1" si="15"/>
        <v>1</v>
      </c>
      <c r="F296">
        <v>119.18000000004571</v>
      </c>
      <c r="G296">
        <v>12087.15</v>
      </c>
      <c r="H296">
        <f t="shared" si="18"/>
        <v>12206.330000000045</v>
      </c>
    </row>
    <row r="297" spans="1:8">
      <c r="A297" s="1">
        <v>42718</v>
      </c>
      <c r="B297">
        <v>198.69</v>
      </c>
      <c r="C297" s="2">
        <f t="shared" ca="1" si="17"/>
        <v>189.94083333333333</v>
      </c>
      <c r="D297" s="2">
        <f t="shared" ca="1" si="16"/>
        <v>194.25333333333333</v>
      </c>
      <c r="E297" t="b">
        <f t="shared" ca="1" si="15"/>
        <v>1</v>
      </c>
      <c r="F297">
        <v>119.18000000004571</v>
      </c>
      <c r="G297">
        <v>12120.09</v>
      </c>
      <c r="H297">
        <f t="shared" si="18"/>
        <v>12239.270000000046</v>
      </c>
    </row>
    <row r="298" spans="1:8">
      <c r="A298" s="1">
        <v>42719</v>
      </c>
      <c r="B298">
        <v>197.58</v>
      </c>
      <c r="C298" s="2">
        <f t="shared" ca="1" si="17"/>
        <v>190.155</v>
      </c>
      <c r="D298" s="2">
        <f t="shared" ca="1" si="16"/>
        <v>196.42333333333332</v>
      </c>
      <c r="E298" t="b">
        <f t="shared" ca="1" si="15"/>
        <v>1</v>
      </c>
      <c r="F298">
        <v>119.18000000004571</v>
      </c>
      <c r="G298">
        <v>12052.380000000001</v>
      </c>
      <c r="H298">
        <f t="shared" si="18"/>
        <v>12171.560000000047</v>
      </c>
    </row>
    <row r="299" spans="1:8">
      <c r="A299" s="1">
        <v>42720</v>
      </c>
      <c r="B299">
        <v>202.49</v>
      </c>
      <c r="C299" s="2">
        <f t="shared" ca="1" si="17"/>
        <v>190.82249999999999</v>
      </c>
      <c r="D299" s="2">
        <f t="shared" ca="1" si="16"/>
        <v>198.14000000000001</v>
      </c>
      <c r="E299" t="b">
        <f t="shared" ca="1" si="15"/>
        <v>1</v>
      </c>
      <c r="F299">
        <v>119.18000000004571</v>
      </c>
      <c r="G299">
        <v>12351.890000000001</v>
      </c>
      <c r="H299">
        <f t="shared" si="18"/>
        <v>12471.070000000047</v>
      </c>
    </row>
    <row r="300" spans="1:8">
      <c r="A300" s="1">
        <v>42723</v>
      </c>
      <c r="B300">
        <v>202.73</v>
      </c>
      <c r="C300" s="2">
        <f t="shared" ca="1" si="17"/>
        <v>191.91333333333333</v>
      </c>
      <c r="D300" s="2">
        <f t="shared" ca="1" si="16"/>
        <v>199.58666666666667</v>
      </c>
      <c r="E300" t="b">
        <f t="shared" ca="1" si="15"/>
        <v>1</v>
      </c>
      <c r="F300">
        <v>119.18000000004571</v>
      </c>
      <c r="G300">
        <v>12366.529999999999</v>
      </c>
      <c r="H300">
        <f t="shared" si="18"/>
        <v>12485.710000000045</v>
      </c>
    </row>
    <row r="301" spans="1:8">
      <c r="A301" s="1">
        <v>42724</v>
      </c>
      <c r="B301">
        <v>208.79</v>
      </c>
      <c r="C301" s="2">
        <f t="shared" ca="1" si="17"/>
        <v>193.65083333333334</v>
      </c>
      <c r="D301" s="2">
        <f t="shared" ca="1" si="16"/>
        <v>200.93333333333337</v>
      </c>
      <c r="E301" t="b">
        <f t="shared" ca="1" si="15"/>
        <v>1</v>
      </c>
      <c r="F301">
        <v>119.18000000004571</v>
      </c>
      <c r="G301">
        <v>12736.189999999999</v>
      </c>
      <c r="H301">
        <f t="shared" si="18"/>
        <v>12855.370000000044</v>
      </c>
    </row>
    <row r="302" spans="1:8">
      <c r="A302" s="1">
        <v>42725</v>
      </c>
      <c r="B302">
        <v>207.7</v>
      </c>
      <c r="C302" s="2">
        <f t="shared" ca="1" si="17"/>
        <v>195.92750000000001</v>
      </c>
      <c r="D302" s="2">
        <f t="shared" ca="1" si="16"/>
        <v>204.67</v>
      </c>
      <c r="E302" t="b">
        <f t="shared" ca="1" si="15"/>
        <v>1</v>
      </c>
      <c r="F302">
        <v>119.18000000004571</v>
      </c>
      <c r="G302">
        <v>12669.699999999999</v>
      </c>
      <c r="H302">
        <f t="shared" si="18"/>
        <v>12788.880000000045</v>
      </c>
    </row>
    <row r="303" spans="1:8">
      <c r="A303" s="1">
        <v>42726</v>
      </c>
      <c r="B303">
        <v>208.45</v>
      </c>
      <c r="C303" s="2">
        <f t="shared" ca="1" si="17"/>
        <v>197.66916666666668</v>
      </c>
      <c r="D303" s="2">
        <f t="shared" ca="1" si="16"/>
        <v>206.40666666666667</v>
      </c>
      <c r="E303" t="b">
        <f t="shared" ca="1" si="15"/>
        <v>1</v>
      </c>
      <c r="F303">
        <v>119.18000000004571</v>
      </c>
      <c r="G303">
        <v>12715.449999999999</v>
      </c>
      <c r="H303">
        <f t="shared" si="18"/>
        <v>12834.630000000045</v>
      </c>
    </row>
    <row r="304" spans="1:8">
      <c r="A304" s="1">
        <v>42727</v>
      </c>
      <c r="B304">
        <v>213.34</v>
      </c>
      <c r="C304" s="2">
        <f t="shared" ca="1" si="17"/>
        <v>199.55249999999998</v>
      </c>
      <c r="D304" s="2">
        <f t="shared" ca="1" si="16"/>
        <v>208.31333333333336</v>
      </c>
      <c r="E304" t="b">
        <f t="shared" ca="1" si="15"/>
        <v>1</v>
      </c>
      <c r="F304">
        <v>119.18000000004571</v>
      </c>
      <c r="G304">
        <v>13013.74</v>
      </c>
      <c r="H304">
        <f t="shared" si="18"/>
        <v>13132.920000000046</v>
      </c>
    </row>
    <row r="305" spans="1:8">
      <c r="A305" s="1">
        <v>42731</v>
      </c>
      <c r="B305">
        <v>219.53</v>
      </c>
      <c r="C305" s="2">
        <f t="shared" ca="1" si="17"/>
        <v>201.23500000000001</v>
      </c>
      <c r="D305" s="2">
        <f t="shared" ca="1" si="16"/>
        <v>209.83</v>
      </c>
      <c r="E305" t="b">
        <f t="shared" ca="1" si="15"/>
        <v>1</v>
      </c>
      <c r="F305">
        <v>119.18000000004571</v>
      </c>
      <c r="G305">
        <v>13391.33</v>
      </c>
      <c r="H305">
        <f t="shared" si="18"/>
        <v>13510.510000000046</v>
      </c>
    </row>
    <row r="306" spans="1:8">
      <c r="A306" s="1">
        <v>42732</v>
      </c>
      <c r="B306">
        <v>219.74</v>
      </c>
      <c r="C306" s="2">
        <f t="shared" ca="1" si="17"/>
        <v>203.50500000000002</v>
      </c>
      <c r="D306" s="2">
        <f t="shared" ca="1" si="16"/>
        <v>213.77333333333331</v>
      </c>
      <c r="E306" t="b">
        <f t="shared" ca="1" si="15"/>
        <v>1</v>
      </c>
      <c r="F306">
        <v>119.18000000004571</v>
      </c>
      <c r="G306">
        <v>13404.140000000001</v>
      </c>
      <c r="H306">
        <f t="shared" si="18"/>
        <v>13523.320000000047</v>
      </c>
    </row>
    <row r="307" spans="1:8">
      <c r="A307" s="1">
        <v>42733</v>
      </c>
      <c r="B307">
        <v>214.68</v>
      </c>
      <c r="C307" s="2">
        <f t="shared" ca="1" si="17"/>
        <v>205.80166666666665</v>
      </c>
      <c r="D307" s="2">
        <f t="shared" ca="1" si="16"/>
        <v>217.53666666666666</v>
      </c>
      <c r="E307" t="b">
        <f t="shared" ca="1" si="15"/>
        <v>1</v>
      </c>
      <c r="F307">
        <v>119.18000000004571</v>
      </c>
      <c r="G307">
        <v>13095.48</v>
      </c>
      <c r="H307">
        <f t="shared" si="18"/>
        <v>13214.660000000045</v>
      </c>
    </row>
    <row r="308" spans="1:8">
      <c r="A308" s="1">
        <v>42734</v>
      </c>
      <c r="B308">
        <v>213.69</v>
      </c>
      <c r="C308" s="2">
        <f t="shared" ca="1" si="17"/>
        <v>207.65583333333336</v>
      </c>
      <c r="D308" s="2">
        <f t="shared" ca="1" si="16"/>
        <v>217.98333333333335</v>
      </c>
      <c r="E308" t="b">
        <f t="shared" ref="E308:E371" ca="1" si="19">D308&gt;C308</f>
        <v>1</v>
      </c>
      <c r="F308">
        <v>119.18000000004571</v>
      </c>
      <c r="G308">
        <v>13035.09</v>
      </c>
      <c r="H308">
        <f t="shared" si="18"/>
        <v>13154.270000000046</v>
      </c>
    </row>
    <row r="309" spans="1:8">
      <c r="A309" s="1">
        <v>42738</v>
      </c>
      <c r="B309">
        <v>216.99</v>
      </c>
      <c r="C309" s="2">
        <f t="shared" ca="1" si="17"/>
        <v>208.95083333333332</v>
      </c>
      <c r="D309" s="2">
        <f t="shared" ca="1" si="16"/>
        <v>216.03666666666666</v>
      </c>
      <c r="E309" t="b">
        <f t="shared" ca="1" si="19"/>
        <v>1</v>
      </c>
      <c r="F309">
        <v>119.18000000004571</v>
      </c>
      <c r="G309">
        <v>13236.390000000001</v>
      </c>
      <c r="H309">
        <f t="shared" si="18"/>
        <v>13355.570000000047</v>
      </c>
    </row>
    <row r="310" spans="1:8">
      <c r="A310" s="1">
        <v>42739</v>
      </c>
      <c r="B310">
        <v>226.99</v>
      </c>
      <c r="C310" s="2">
        <f t="shared" ca="1" si="17"/>
        <v>210.47583333333333</v>
      </c>
      <c r="D310" s="2">
        <f t="shared" ca="1" si="16"/>
        <v>215.12</v>
      </c>
      <c r="E310" t="b">
        <f t="shared" ca="1" si="19"/>
        <v>1</v>
      </c>
      <c r="F310">
        <v>119.18000000004571</v>
      </c>
      <c r="G310">
        <v>13846.390000000001</v>
      </c>
      <c r="H310">
        <f t="shared" si="18"/>
        <v>13965.570000000047</v>
      </c>
    </row>
    <row r="311" spans="1:8">
      <c r="A311" s="1">
        <v>42740</v>
      </c>
      <c r="B311">
        <v>226.75</v>
      </c>
      <c r="C311" s="2">
        <f t="shared" ca="1" si="17"/>
        <v>212.92666666666665</v>
      </c>
      <c r="D311" s="2">
        <f t="shared" ca="1" si="16"/>
        <v>219.22333333333336</v>
      </c>
      <c r="E311" t="b">
        <f t="shared" ca="1" si="19"/>
        <v>1</v>
      </c>
      <c r="F311">
        <v>119.18000000004571</v>
      </c>
      <c r="G311">
        <v>13831.75</v>
      </c>
      <c r="H311">
        <f t="shared" si="18"/>
        <v>13950.930000000046</v>
      </c>
    </row>
    <row r="312" spans="1:8">
      <c r="A312" s="1">
        <v>42741</v>
      </c>
      <c r="B312">
        <v>229.01</v>
      </c>
      <c r="C312" s="2">
        <f t="shared" ca="1" si="17"/>
        <v>214.94833333333335</v>
      </c>
      <c r="D312" s="2">
        <f t="shared" ca="1" si="16"/>
        <v>223.57666666666668</v>
      </c>
      <c r="E312" t="b">
        <f t="shared" ca="1" si="19"/>
        <v>1</v>
      </c>
      <c r="F312">
        <v>119.18000000004571</v>
      </c>
      <c r="G312">
        <v>13969.609999999999</v>
      </c>
      <c r="H312">
        <f t="shared" si="18"/>
        <v>14088.790000000045</v>
      </c>
    </row>
    <row r="313" spans="1:8">
      <c r="A313" s="1">
        <v>42744</v>
      </c>
      <c r="B313">
        <v>231.28</v>
      </c>
      <c r="C313" s="2">
        <f t="shared" ca="1" si="17"/>
        <v>217.13833333333341</v>
      </c>
      <c r="D313" s="2">
        <f t="shared" ca="1" si="16"/>
        <v>227.58333333333334</v>
      </c>
      <c r="E313" t="b">
        <f t="shared" ca="1" si="19"/>
        <v>1</v>
      </c>
      <c r="F313">
        <v>119.18000000004571</v>
      </c>
      <c r="G313">
        <v>14108.08</v>
      </c>
      <c r="H313">
        <f t="shared" si="18"/>
        <v>14227.260000000046</v>
      </c>
    </row>
    <row r="314" spans="1:8">
      <c r="A314" s="1">
        <v>42745</v>
      </c>
      <c r="B314">
        <v>229.87</v>
      </c>
      <c r="C314" s="2">
        <f t="shared" ca="1" si="17"/>
        <v>219.01250000000002</v>
      </c>
      <c r="D314" s="2">
        <f t="shared" ca="1" si="16"/>
        <v>229.01333333333332</v>
      </c>
      <c r="E314" t="b">
        <f t="shared" ca="1" si="19"/>
        <v>1</v>
      </c>
      <c r="F314">
        <v>119.18000000004571</v>
      </c>
      <c r="G314">
        <v>14022.07</v>
      </c>
      <c r="H314">
        <f t="shared" si="18"/>
        <v>14141.250000000045</v>
      </c>
    </row>
    <row r="315" spans="1:8">
      <c r="A315" s="1">
        <v>42746</v>
      </c>
      <c r="B315">
        <v>229.73</v>
      </c>
      <c r="C315" s="2">
        <f t="shared" ca="1" si="17"/>
        <v>220.86</v>
      </c>
      <c r="D315" s="2">
        <f t="shared" ca="1" si="16"/>
        <v>230.05333333333331</v>
      </c>
      <c r="E315" t="b">
        <f t="shared" ca="1" si="19"/>
        <v>1</v>
      </c>
      <c r="F315">
        <v>119.18000000004571</v>
      </c>
      <c r="G315">
        <v>14013.529999999999</v>
      </c>
      <c r="H315">
        <f t="shared" si="18"/>
        <v>14132.710000000045</v>
      </c>
    </row>
    <row r="316" spans="1:8">
      <c r="A316" s="1">
        <v>42747</v>
      </c>
      <c r="B316">
        <v>229.59</v>
      </c>
      <c r="C316" s="2">
        <f t="shared" ca="1" si="17"/>
        <v>222.63333333333333</v>
      </c>
      <c r="D316" s="2">
        <f t="shared" ca="1" si="16"/>
        <v>230.29333333333332</v>
      </c>
      <c r="E316" t="b">
        <f t="shared" ca="1" si="19"/>
        <v>1</v>
      </c>
      <c r="F316">
        <v>119.18000000004571</v>
      </c>
      <c r="G316">
        <v>14004.99</v>
      </c>
      <c r="H316">
        <f t="shared" si="18"/>
        <v>14124.170000000046</v>
      </c>
    </row>
    <row r="317" spans="1:8">
      <c r="A317" s="1">
        <v>42748</v>
      </c>
      <c r="B317">
        <v>237.75</v>
      </c>
      <c r="C317" s="2">
        <f t="shared" ca="1" si="17"/>
        <v>223.98750000000004</v>
      </c>
      <c r="D317" s="2">
        <f t="shared" ca="1" si="16"/>
        <v>229.73000000000002</v>
      </c>
      <c r="E317" t="b">
        <f t="shared" ca="1" si="19"/>
        <v>1</v>
      </c>
      <c r="F317">
        <v>119.18000000004571</v>
      </c>
      <c r="G317">
        <v>14502.75</v>
      </c>
      <c r="H317">
        <f t="shared" si="18"/>
        <v>14621.930000000046</v>
      </c>
    </row>
    <row r="318" spans="1:8">
      <c r="A318" s="1">
        <v>42752</v>
      </c>
      <c r="B318">
        <v>235.58</v>
      </c>
      <c r="C318" s="2">
        <f t="shared" ca="1" si="17"/>
        <v>225.50583333333336</v>
      </c>
      <c r="D318" s="2">
        <f t="shared" ca="1" si="16"/>
        <v>232.35666666666665</v>
      </c>
      <c r="E318" t="b">
        <f t="shared" ca="1" si="19"/>
        <v>1</v>
      </c>
      <c r="F318">
        <v>119.18000000004571</v>
      </c>
      <c r="G318">
        <v>14370.380000000001</v>
      </c>
      <c r="H318">
        <f t="shared" si="18"/>
        <v>14489.560000000047</v>
      </c>
    </row>
    <row r="319" spans="1:8">
      <c r="A319" s="1">
        <v>42753</v>
      </c>
      <c r="B319">
        <v>238.36</v>
      </c>
      <c r="C319" s="2">
        <f t="shared" ca="1" si="17"/>
        <v>226.82583333333332</v>
      </c>
      <c r="D319" s="2">
        <f t="shared" ca="1" si="16"/>
        <v>234.3066666666667</v>
      </c>
      <c r="E319" t="b">
        <f t="shared" ca="1" si="19"/>
        <v>1</v>
      </c>
      <c r="F319">
        <v>119.18000000004571</v>
      </c>
      <c r="G319">
        <v>14539.960000000001</v>
      </c>
      <c r="H319">
        <f t="shared" si="18"/>
        <v>14659.140000000047</v>
      </c>
    </row>
    <row r="320" spans="1:8">
      <c r="A320" s="1">
        <v>42754</v>
      </c>
      <c r="B320">
        <v>243.76</v>
      </c>
      <c r="C320" s="2">
        <f t="shared" ca="1" si="17"/>
        <v>228.79916666666665</v>
      </c>
      <c r="D320" s="2">
        <f t="shared" ca="1" si="16"/>
        <v>237.23000000000002</v>
      </c>
      <c r="E320" t="b">
        <f t="shared" ca="1" si="19"/>
        <v>1</v>
      </c>
      <c r="F320">
        <v>119.18000000004571</v>
      </c>
      <c r="G320">
        <v>14869.359999999999</v>
      </c>
      <c r="H320">
        <f t="shared" si="18"/>
        <v>14988.540000000045</v>
      </c>
    </row>
    <row r="321" spans="1:8">
      <c r="A321" s="1">
        <v>42755</v>
      </c>
      <c r="B321">
        <v>244.73</v>
      </c>
      <c r="C321" s="2">
        <f t="shared" ca="1" si="17"/>
        <v>231.30499999999998</v>
      </c>
      <c r="D321" s="2">
        <f t="shared" ca="1" si="16"/>
        <v>239.23333333333335</v>
      </c>
      <c r="E321" t="b">
        <f t="shared" ca="1" si="19"/>
        <v>1</v>
      </c>
      <c r="F321">
        <v>119.18000000004571</v>
      </c>
      <c r="G321">
        <v>14928.529999999999</v>
      </c>
      <c r="H321">
        <f t="shared" si="18"/>
        <v>15047.710000000045</v>
      </c>
    </row>
    <row r="322" spans="1:8">
      <c r="A322" s="1">
        <v>42758</v>
      </c>
      <c r="B322">
        <v>248.92</v>
      </c>
      <c r="C322" s="2">
        <f t="shared" ca="1" si="17"/>
        <v>233.61666666666667</v>
      </c>
      <c r="D322" s="2">
        <f t="shared" ca="1" si="16"/>
        <v>242.28333333333333</v>
      </c>
      <c r="E322" t="b">
        <f t="shared" ca="1" si="19"/>
        <v>1</v>
      </c>
      <c r="F322">
        <v>119.18000000004571</v>
      </c>
      <c r="G322">
        <v>15184.119999999999</v>
      </c>
      <c r="H322">
        <f t="shared" si="18"/>
        <v>15303.300000000045</v>
      </c>
    </row>
    <row r="323" spans="1:8">
      <c r="A323" s="1">
        <v>42759</v>
      </c>
      <c r="B323">
        <v>254.61</v>
      </c>
      <c r="C323" s="2">
        <f t="shared" ca="1" si="17"/>
        <v>235.44416666666663</v>
      </c>
      <c r="D323" s="2">
        <f t="shared" ca="1" si="16"/>
        <v>245.80333333333331</v>
      </c>
      <c r="E323" t="b">
        <f t="shared" ca="1" si="19"/>
        <v>1</v>
      </c>
      <c r="F323">
        <v>119.18000000004571</v>
      </c>
      <c r="G323">
        <v>15531.210000000001</v>
      </c>
      <c r="H323">
        <f t="shared" si="18"/>
        <v>15650.390000000047</v>
      </c>
    </row>
    <row r="324" spans="1:8">
      <c r="A324" s="1">
        <v>42760</v>
      </c>
      <c r="B324">
        <v>254.47</v>
      </c>
      <c r="C324" s="2">
        <f t="shared" ca="1" si="17"/>
        <v>237.76583333333338</v>
      </c>
      <c r="D324" s="2">
        <f t="shared" ca="1" si="16"/>
        <v>249.42</v>
      </c>
      <c r="E324" t="b">
        <f t="shared" ca="1" si="19"/>
        <v>1</v>
      </c>
      <c r="F324">
        <v>119.18000000004571</v>
      </c>
      <c r="G324">
        <v>15522.67</v>
      </c>
      <c r="H324">
        <f t="shared" si="18"/>
        <v>15641.850000000046</v>
      </c>
    </row>
    <row r="325" spans="1:8">
      <c r="A325" s="1">
        <v>42761</v>
      </c>
      <c r="B325">
        <v>252.51</v>
      </c>
      <c r="C325" s="2">
        <f t="shared" ca="1" si="17"/>
        <v>239.88749999999996</v>
      </c>
      <c r="D325" s="2">
        <f t="shared" ref="D325:D388" ca="1" si="20">AVERAGE(INDIRECT(ADDRESS(ROW()-$D$1,COLUMN()-2)&amp;":"&amp;ADDRESS(ROW()-1,COLUMN()-2)))</f>
        <v>252.66666666666666</v>
      </c>
      <c r="E325" t="b">
        <f t="shared" ca="1" si="19"/>
        <v>1</v>
      </c>
      <c r="F325">
        <v>119.18000000004571</v>
      </c>
      <c r="G325">
        <v>15403.109999999999</v>
      </c>
      <c r="H325">
        <f t="shared" si="18"/>
        <v>15522.290000000045</v>
      </c>
    </row>
    <row r="326" spans="1:8">
      <c r="A326" s="1">
        <v>42762</v>
      </c>
      <c r="B326">
        <v>252.95</v>
      </c>
      <c r="C326" s="2">
        <f t="shared" ca="1" si="17"/>
        <v>241.65666666666667</v>
      </c>
      <c r="D326" s="2">
        <f t="shared" ca="1" si="20"/>
        <v>253.86333333333334</v>
      </c>
      <c r="E326" t="b">
        <f t="shared" ca="1" si="19"/>
        <v>1</v>
      </c>
      <c r="F326">
        <v>119.18000000004571</v>
      </c>
      <c r="G326">
        <v>15429.949999999999</v>
      </c>
      <c r="H326">
        <f t="shared" si="18"/>
        <v>15549.130000000045</v>
      </c>
    </row>
    <row r="327" spans="1:8">
      <c r="A327" s="1">
        <v>42765</v>
      </c>
      <c r="B327">
        <v>250.63</v>
      </c>
      <c r="C327" s="2">
        <f t="shared" ca="1" si="17"/>
        <v>243.58</v>
      </c>
      <c r="D327" s="2">
        <f t="shared" ca="1" si="20"/>
        <v>253.31000000000003</v>
      </c>
      <c r="E327" t="b">
        <f t="shared" ca="1" si="19"/>
        <v>1</v>
      </c>
      <c r="F327">
        <v>119.18000000004571</v>
      </c>
      <c r="G327">
        <v>15288.43</v>
      </c>
      <c r="H327">
        <f t="shared" si="18"/>
        <v>15407.610000000046</v>
      </c>
    </row>
    <row r="328" spans="1:8">
      <c r="A328" s="1">
        <v>42766</v>
      </c>
      <c r="B328">
        <v>251.93</v>
      </c>
      <c r="C328" s="2">
        <f t="shared" ca="1" si="17"/>
        <v>245.32166666666663</v>
      </c>
      <c r="D328" s="2">
        <f t="shared" ca="1" si="20"/>
        <v>252.02999999999997</v>
      </c>
      <c r="E328" t="b">
        <f t="shared" ca="1" si="19"/>
        <v>1</v>
      </c>
      <c r="F328">
        <v>119.18000000004571</v>
      </c>
      <c r="G328">
        <v>15367.73</v>
      </c>
      <c r="H328">
        <f t="shared" si="18"/>
        <v>15486.910000000045</v>
      </c>
    </row>
    <row r="329" spans="1:8">
      <c r="A329" s="1">
        <v>42767</v>
      </c>
      <c r="B329">
        <v>249.24</v>
      </c>
      <c r="C329" s="2">
        <f t="shared" ca="1" si="17"/>
        <v>247.18333333333331</v>
      </c>
      <c r="D329" s="2">
        <f t="shared" ca="1" si="20"/>
        <v>251.83666666666667</v>
      </c>
      <c r="E329" t="b">
        <f t="shared" ca="1" si="19"/>
        <v>1</v>
      </c>
      <c r="F329">
        <v>119.18000000004571</v>
      </c>
      <c r="G329">
        <v>15203.640000000001</v>
      </c>
      <c r="H329">
        <f t="shared" si="18"/>
        <v>15322.820000000047</v>
      </c>
    </row>
    <row r="330" spans="1:8">
      <c r="A330" s="1">
        <v>42768</v>
      </c>
      <c r="B330">
        <v>251.55</v>
      </c>
      <c r="C330" s="2">
        <f t="shared" ca="1" si="17"/>
        <v>248.14083333333329</v>
      </c>
      <c r="D330" s="2">
        <f t="shared" ca="1" si="20"/>
        <v>250.6</v>
      </c>
      <c r="E330" t="b">
        <f t="shared" ca="1" si="19"/>
        <v>1</v>
      </c>
      <c r="F330">
        <v>119.18000000004571</v>
      </c>
      <c r="G330">
        <v>15344.550000000001</v>
      </c>
      <c r="H330">
        <f t="shared" si="18"/>
        <v>15463.730000000047</v>
      </c>
    </row>
    <row r="331" spans="1:8">
      <c r="A331" s="1">
        <v>42769</v>
      </c>
      <c r="B331">
        <v>251.33</v>
      </c>
      <c r="C331" s="2">
        <f t="shared" ca="1" si="17"/>
        <v>249.47166666666666</v>
      </c>
      <c r="D331" s="2">
        <f t="shared" ca="1" si="20"/>
        <v>250.90666666666667</v>
      </c>
      <c r="E331" t="b">
        <f t="shared" ca="1" si="19"/>
        <v>1</v>
      </c>
      <c r="F331">
        <v>119.18000000004571</v>
      </c>
      <c r="G331">
        <v>15331.130000000001</v>
      </c>
      <c r="H331">
        <f t="shared" si="18"/>
        <v>15450.310000000047</v>
      </c>
    </row>
    <row r="332" spans="1:8">
      <c r="A332" s="1">
        <v>42772</v>
      </c>
      <c r="B332">
        <v>257.77</v>
      </c>
      <c r="C332" s="2">
        <f t="shared" ca="1" si="17"/>
        <v>250.55250000000001</v>
      </c>
      <c r="D332" s="2">
        <f t="shared" ca="1" si="20"/>
        <v>250.70666666666668</v>
      </c>
      <c r="E332" t="b">
        <f t="shared" ca="1" si="19"/>
        <v>1</v>
      </c>
      <c r="F332">
        <v>119.18000000004571</v>
      </c>
      <c r="G332">
        <v>15723.97</v>
      </c>
      <c r="H332">
        <f t="shared" si="18"/>
        <v>15843.150000000045</v>
      </c>
    </row>
    <row r="333" spans="1:8">
      <c r="A333" s="1">
        <v>42773</v>
      </c>
      <c r="B333">
        <v>257.48</v>
      </c>
      <c r="C333" s="2">
        <f t="shared" ca="1" si="17"/>
        <v>251.72000000000003</v>
      </c>
      <c r="D333" s="2">
        <f t="shared" ca="1" si="20"/>
        <v>253.54999999999998</v>
      </c>
      <c r="E333" t="b">
        <f t="shared" ca="1" si="19"/>
        <v>1</v>
      </c>
      <c r="F333">
        <v>119.18000000004571</v>
      </c>
      <c r="G333">
        <v>15706.28</v>
      </c>
      <c r="H333">
        <f t="shared" si="18"/>
        <v>15825.460000000046</v>
      </c>
    </row>
    <row r="334" spans="1:8">
      <c r="A334" s="1">
        <v>42774</v>
      </c>
      <c r="B334">
        <v>262.08</v>
      </c>
      <c r="C334" s="2">
        <f t="shared" ca="1" si="17"/>
        <v>252.78250000000003</v>
      </c>
      <c r="D334" s="2">
        <f t="shared" ca="1" si="20"/>
        <v>255.52666666666667</v>
      </c>
      <c r="E334" t="b">
        <f t="shared" ca="1" si="19"/>
        <v>1</v>
      </c>
      <c r="F334">
        <v>119.18000000004571</v>
      </c>
      <c r="G334">
        <v>15986.88</v>
      </c>
      <c r="H334">
        <f t="shared" si="18"/>
        <v>16106.060000000045</v>
      </c>
    </row>
    <row r="335" spans="1:8">
      <c r="A335" s="1">
        <v>42775</v>
      </c>
      <c r="B335">
        <v>269.2</v>
      </c>
      <c r="C335" s="2">
        <f t="shared" ca="1" si="17"/>
        <v>253.87916666666669</v>
      </c>
      <c r="D335" s="2">
        <f t="shared" ca="1" si="20"/>
        <v>259.10999999999996</v>
      </c>
      <c r="E335" t="b">
        <f t="shared" ca="1" si="19"/>
        <v>1</v>
      </c>
      <c r="F335">
        <v>119.18000000004571</v>
      </c>
      <c r="G335">
        <v>16421.2</v>
      </c>
      <c r="H335">
        <f t="shared" si="18"/>
        <v>16540.380000000045</v>
      </c>
    </row>
    <row r="336" spans="1:8">
      <c r="A336" s="1">
        <v>42776</v>
      </c>
      <c r="B336">
        <v>269.23</v>
      </c>
      <c r="C336" s="2">
        <f t="shared" ca="1" si="17"/>
        <v>255.095</v>
      </c>
      <c r="D336" s="2">
        <f t="shared" ca="1" si="20"/>
        <v>262.92</v>
      </c>
      <c r="E336" t="b">
        <f t="shared" ca="1" si="19"/>
        <v>1</v>
      </c>
      <c r="F336">
        <v>119.18000000004571</v>
      </c>
      <c r="G336">
        <v>16423.030000000002</v>
      </c>
      <c r="H336">
        <f t="shared" si="18"/>
        <v>16542.210000000046</v>
      </c>
    </row>
    <row r="337" spans="1:8">
      <c r="A337" s="1">
        <v>42779</v>
      </c>
      <c r="B337">
        <v>280.60000000000002</v>
      </c>
      <c r="C337" s="2">
        <f t="shared" ca="1" si="17"/>
        <v>256.32499999999999</v>
      </c>
      <c r="D337" s="2">
        <f t="shared" ca="1" si="20"/>
        <v>266.83666666666664</v>
      </c>
      <c r="E337" t="b">
        <f t="shared" ca="1" si="19"/>
        <v>1</v>
      </c>
      <c r="F337">
        <v>119.18000000004571</v>
      </c>
      <c r="G337">
        <v>17116.600000000002</v>
      </c>
      <c r="H337">
        <f t="shared" si="18"/>
        <v>17235.780000000046</v>
      </c>
    </row>
    <row r="338" spans="1:8">
      <c r="A338" s="1">
        <v>42780</v>
      </c>
      <c r="B338">
        <v>280.98</v>
      </c>
      <c r="C338" s="2">
        <f t="shared" ca="1" si="17"/>
        <v>258.6658333333333</v>
      </c>
      <c r="D338" s="2">
        <f t="shared" ca="1" si="20"/>
        <v>273.01000000000005</v>
      </c>
      <c r="E338" t="b">
        <f t="shared" ca="1" si="19"/>
        <v>1</v>
      </c>
      <c r="F338">
        <v>119.18000000004571</v>
      </c>
      <c r="G338">
        <v>17139.780000000002</v>
      </c>
      <c r="H338">
        <f t="shared" si="18"/>
        <v>17258.960000000046</v>
      </c>
    </row>
    <row r="339" spans="1:8">
      <c r="A339" s="1">
        <v>42781</v>
      </c>
      <c r="B339">
        <v>279.76</v>
      </c>
      <c r="C339" s="2">
        <f t="shared" ca="1" si="17"/>
        <v>261.00166666666661</v>
      </c>
      <c r="D339" s="2">
        <f t="shared" ca="1" si="20"/>
        <v>276.93666666666667</v>
      </c>
      <c r="E339" t="b">
        <f t="shared" ca="1" si="19"/>
        <v>1</v>
      </c>
      <c r="F339">
        <v>119.18000000004571</v>
      </c>
      <c r="G339">
        <v>17065.36</v>
      </c>
      <c r="H339">
        <f t="shared" si="18"/>
        <v>17184.540000000045</v>
      </c>
    </row>
    <row r="340" spans="1:8">
      <c r="A340" s="1">
        <v>42782</v>
      </c>
      <c r="B340">
        <v>268.95</v>
      </c>
      <c r="C340" s="2">
        <f t="shared" ca="1" si="17"/>
        <v>263.42916666666662</v>
      </c>
      <c r="D340" s="2">
        <f t="shared" ca="1" si="20"/>
        <v>280.44666666666666</v>
      </c>
      <c r="E340" t="b">
        <f t="shared" ca="1" si="19"/>
        <v>1</v>
      </c>
      <c r="F340">
        <v>119.18000000004571</v>
      </c>
      <c r="G340">
        <v>16405.95</v>
      </c>
      <c r="H340">
        <f t="shared" si="18"/>
        <v>16525.130000000045</v>
      </c>
    </row>
    <row r="341" spans="1:8">
      <c r="A341" s="1">
        <v>42783</v>
      </c>
      <c r="B341">
        <v>272.23</v>
      </c>
      <c r="C341" s="2">
        <f t="shared" ca="1" si="17"/>
        <v>264.84750000000003</v>
      </c>
      <c r="D341" s="2">
        <f t="shared" ca="1" si="20"/>
        <v>276.56333333333333</v>
      </c>
      <c r="E341" t="b">
        <f t="shared" ca="1" si="19"/>
        <v>1</v>
      </c>
      <c r="F341">
        <v>119.18000000004571</v>
      </c>
      <c r="G341">
        <v>16606.030000000002</v>
      </c>
      <c r="H341">
        <f t="shared" si="18"/>
        <v>16725.210000000046</v>
      </c>
    </row>
    <row r="342" spans="1:8">
      <c r="A342" s="1">
        <v>42787</v>
      </c>
      <c r="B342">
        <v>277.39</v>
      </c>
      <c r="C342" s="2">
        <f t="shared" ref="C342:C405" ca="1" si="21">AVERAGE(INDIRECT(ADDRESS(ROW()-$C$1,COLUMN()-1)&amp;":"&amp;ADDRESS(ROW()-1,COLUMN()-1)))</f>
        <v>266.76333333333338</v>
      </c>
      <c r="D342" s="2">
        <f t="shared" ca="1" si="20"/>
        <v>273.6466666666667</v>
      </c>
      <c r="E342" t="b">
        <f t="shared" ca="1" si="19"/>
        <v>1</v>
      </c>
      <c r="F342">
        <v>119.18000000004571</v>
      </c>
      <c r="G342">
        <v>16920.79</v>
      </c>
      <c r="H342">
        <f t="shared" ref="H342:H405" si="22">G342+F342</f>
        <v>17039.970000000045</v>
      </c>
    </row>
    <row r="343" spans="1:8">
      <c r="A343" s="1">
        <v>42788</v>
      </c>
      <c r="B343">
        <v>273.51</v>
      </c>
      <c r="C343" s="2">
        <f t="shared" ca="1" si="21"/>
        <v>268.91666666666669</v>
      </c>
      <c r="D343" s="2">
        <f t="shared" ca="1" si="20"/>
        <v>272.85666666666668</v>
      </c>
      <c r="E343" t="b">
        <f t="shared" ca="1" si="19"/>
        <v>1</v>
      </c>
      <c r="F343">
        <v>119.18000000004571</v>
      </c>
      <c r="G343">
        <v>16684.11</v>
      </c>
      <c r="H343">
        <f t="shared" si="22"/>
        <v>16803.290000000045</v>
      </c>
    </row>
    <row r="344" spans="1:8">
      <c r="A344" s="1">
        <v>42789</v>
      </c>
      <c r="B344">
        <v>255.99</v>
      </c>
      <c r="C344" s="2">
        <f t="shared" ca="1" si="21"/>
        <v>270.76500000000004</v>
      </c>
      <c r="D344" s="2">
        <f t="shared" ca="1" si="20"/>
        <v>274.37666666666667</v>
      </c>
      <c r="E344" t="b">
        <f t="shared" ca="1" si="19"/>
        <v>1</v>
      </c>
      <c r="F344">
        <v>119.18000000004571</v>
      </c>
      <c r="G344">
        <v>15615.390000000001</v>
      </c>
      <c r="H344">
        <f t="shared" si="22"/>
        <v>15734.570000000047</v>
      </c>
    </row>
    <row r="345" spans="1:8">
      <c r="A345" s="1">
        <v>42790</v>
      </c>
      <c r="B345">
        <v>257</v>
      </c>
      <c r="C345" s="2">
        <f t="shared" ca="1" si="21"/>
        <v>270.61666666666662</v>
      </c>
      <c r="D345" s="2">
        <f t="shared" ca="1" si="20"/>
        <v>268.96333333333331</v>
      </c>
      <c r="E345" t="b">
        <f t="shared" ca="1" si="19"/>
        <v>0</v>
      </c>
      <c r="F345">
        <v>15796.180000000046</v>
      </c>
      <c r="G345">
        <v>0</v>
      </c>
      <c r="H345">
        <f t="shared" si="22"/>
        <v>15796.180000000046</v>
      </c>
    </row>
    <row r="346" spans="1:8">
      <c r="A346" s="1">
        <v>42793</v>
      </c>
      <c r="B346">
        <v>246.23</v>
      </c>
      <c r="C346" s="2">
        <f t="shared" ca="1" si="21"/>
        <v>270.57666666666665</v>
      </c>
      <c r="D346" s="2">
        <f t="shared" ca="1" si="20"/>
        <v>262.16666666666669</v>
      </c>
      <c r="E346" t="b">
        <f t="shared" ca="1" si="19"/>
        <v>0</v>
      </c>
      <c r="F346">
        <v>15796.180000000046</v>
      </c>
      <c r="G346">
        <v>0</v>
      </c>
      <c r="H346">
        <f t="shared" si="22"/>
        <v>15796.180000000046</v>
      </c>
    </row>
    <row r="347" spans="1:8">
      <c r="A347" s="1">
        <v>42794</v>
      </c>
      <c r="B347">
        <v>249.99</v>
      </c>
      <c r="C347" s="2">
        <f t="shared" ca="1" si="21"/>
        <v>269.25583333333333</v>
      </c>
      <c r="D347" s="2">
        <f t="shared" ca="1" si="20"/>
        <v>253.07333333333335</v>
      </c>
      <c r="E347" t="b">
        <f t="shared" ca="1" si="19"/>
        <v>0</v>
      </c>
      <c r="F347">
        <v>15796.180000000046</v>
      </c>
      <c r="G347">
        <v>0</v>
      </c>
      <c r="H347">
        <f t="shared" si="22"/>
        <v>15796.180000000046</v>
      </c>
    </row>
    <row r="348" spans="1:8">
      <c r="A348" s="1">
        <v>42795</v>
      </c>
      <c r="B348">
        <v>250.02</v>
      </c>
      <c r="C348" s="2">
        <f t="shared" ca="1" si="21"/>
        <v>267.65500000000003</v>
      </c>
      <c r="D348" s="2">
        <f t="shared" ca="1" si="20"/>
        <v>251.07333333333335</v>
      </c>
      <c r="E348" t="b">
        <f t="shared" ca="1" si="19"/>
        <v>0</v>
      </c>
      <c r="F348">
        <v>15796.180000000046</v>
      </c>
      <c r="G348">
        <v>0</v>
      </c>
      <c r="H348">
        <f t="shared" si="22"/>
        <v>15796.180000000046</v>
      </c>
    </row>
    <row r="349" spans="1:8">
      <c r="A349" s="1">
        <v>42796</v>
      </c>
      <c r="B349">
        <v>250.48</v>
      </c>
      <c r="C349" s="2">
        <f t="shared" ca="1" si="21"/>
        <v>266.05416666666667</v>
      </c>
      <c r="D349" s="2">
        <f t="shared" ca="1" si="20"/>
        <v>248.74666666666667</v>
      </c>
      <c r="E349" t="b">
        <f t="shared" ca="1" si="19"/>
        <v>0</v>
      </c>
      <c r="F349">
        <v>15796.180000000046</v>
      </c>
      <c r="G349">
        <v>0</v>
      </c>
      <c r="H349">
        <f t="shared" si="22"/>
        <v>15796.180000000046</v>
      </c>
    </row>
    <row r="350" spans="1:8">
      <c r="A350" s="1">
        <v>42797</v>
      </c>
      <c r="B350">
        <v>251.57</v>
      </c>
      <c r="C350" s="2">
        <f t="shared" ca="1" si="21"/>
        <v>263.54416666666663</v>
      </c>
      <c r="D350" s="2">
        <f t="shared" ca="1" si="20"/>
        <v>250.16333333333333</v>
      </c>
      <c r="E350" t="b">
        <f t="shared" ca="1" si="19"/>
        <v>0</v>
      </c>
      <c r="F350">
        <v>15796.180000000046</v>
      </c>
      <c r="G350">
        <v>0</v>
      </c>
      <c r="H350">
        <f t="shared" si="22"/>
        <v>15796.180000000046</v>
      </c>
    </row>
    <row r="351" spans="1:8">
      <c r="A351" s="1">
        <v>42800</v>
      </c>
      <c r="B351">
        <v>251.21</v>
      </c>
      <c r="C351" s="2">
        <f t="shared" ca="1" si="21"/>
        <v>261.09333333333336</v>
      </c>
      <c r="D351" s="2">
        <f t="shared" ca="1" si="20"/>
        <v>250.68999999999997</v>
      </c>
      <c r="E351" t="b">
        <f t="shared" ca="1" si="19"/>
        <v>0</v>
      </c>
      <c r="F351">
        <v>15796.180000000046</v>
      </c>
      <c r="G351">
        <v>0</v>
      </c>
      <c r="H351">
        <f t="shared" si="22"/>
        <v>15796.180000000046</v>
      </c>
    </row>
    <row r="352" spans="1:8">
      <c r="A352" s="1">
        <v>42801</v>
      </c>
      <c r="B352">
        <v>248.59</v>
      </c>
      <c r="C352" s="2">
        <f t="shared" ca="1" si="21"/>
        <v>258.7141666666667</v>
      </c>
      <c r="D352" s="2">
        <f t="shared" ca="1" si="20"/>
        <v>251.08666666666667</v>
      </c>
      <c r="E352" t="b">
        <f t="shared" ca="1" si="19"/>
        <v>0</v>
      </c>
      <c r="F352">
        <v>15796.180000000046</v>
      </c>
      <c r="G352">
        <v>0</v>
      </c>
      <c r="H352">
        <f t="shared" si="22"/>
        <v>15796.180000000046</v>
      </c>
    </row>
    <row r="353" spans="1:8">
      <c r="A353" s="1">
        <v>42802</v>
      </c>
      <c r="B353">
        <v>246.87</v>
      </c>
      <c r="C353" s="2">
        <f t="shared" ca="1" si="21"/>
        <v>257.01750000000004</v>
      </c>
      <c r="D353" s="2">
        <f t="shared" ca="1" si="20"/>
        <v>250.45666666666668</v>
      </c>
      <c r="E353" t="b">
        <f t="shared" ca="1" si="19"/>
        <v>0</v>
      </c>
      <c r="F353">
        <v>15796.180000000046</v>
      </c>
      <c r="G353">
        <v>0</v>
      </c>
      <c r="H353">
        <f t="shared" si="22"/>
        <v>15796.180000000046</v>
      </c>
    </row>
    <row r="354" spans="1:8">
      <c r="A354" s="1">
        <v>42803</v>
      </c>
      <c r="B354">
        <v>244.9</v>
      </c>
      <c r="C354" s="2">
        <f t="shared" ca="1" si="21"/>
        <v>254.90416666666667</v>
      </c>
      <c r="D354" s="2">
        <f t="shared" ca="1" si="20"/>
        <v>248.89000000000001</v>
      </c>
      <c r="E354" t="b">
        <f t="shared" ca="1" si="19"/>
        <v>0</v>
      </c>
      <c r="F354">
        <v>15796.180000000046</v>
      </c>
      <c r="G354">
        <v>0</v>
      </c>
      <c r="H354">
        <f t="shared" si="22"/>
        <v>15796.180000000046</v>
      </c>
    </row>
    <row r="355" spans="1:8">
      <c r="A355" s="1">
        <v>42804</v>
      </c>
      <c r="B355">
        <v>243.69</v>
      </c>
      <c r="C355" s="2">
        <f t="shared" ca="1" si="21"/>
        <v>252.19666666666669</v>
      </c>
      <c r="D355" s="2">
        <f t="shared" ca="1" si="20"/>
        <v>246.78666666666666</v>
      </c>
      <c r="E355" t="b">
        <f t="shared" ca="1" si="19"/>
        <v>0</v>
      </c>
      <c r="F355">
        <v>15796.180000000046</v>
      </c>
      <c r="G355">
        <v>0</v>
      </c>
      <c r="H355">
        <f t="shared" si="22"/>
        <v>15796.180000000046</v>
      </c>
    </row>
    <row r="356" spans="1:8">
      <c r="A356" s="1">
        <v>42807</v>
      </c>
      <c r="B356">
        <v>246.17</v>
      </c>
      <c r="C356" s="2">
        <f t="shared" ca="1" si="21"/>
        <v>249.71166666666667</v>
      </c>
      <c r="D356" s="2">
        <f t="shared" ca="1" si="20"/>
        <v>245.15333333333334</v>
      </c>
      <c r="E356" t="b">
        <f t="shared" ca="1" si="19"/>
        <v>0</v>
      </c>
      <c r="F356">
        <v>15796.180000000046</v>
      </c>
      <c r="G356">
        <v>0</v>
      </c>
      <c r="H356">
        <f t="shared" si="22"/>
        <v>15796.180000000046</v>
      </c>
    </row>
    <row r="357" spans="1:8">
      <c r="A357" s="1">
        <v>42808</v>
      </c>
      <c r="B357">
        <v>258</v>
      </c>
      <c r="C357" s="2">
        <f t="shared" ca="1" si="21"/>
        <v>248.89333333333335</v>
      </c>
      <c r="D357" s="2">
        <f t="shared" ca="1" si="20"/>
        <v>244.92</v>
      </c>
      <c r="E357" t="b">
        <f t="shared" ca="1" si="19"/>
        <v>0</v>
      </c>
      <c r="F357">
        <v>15796.180000000046</v>
      </c>
      <c r="G357">
        <v>0</v>
      </c>
      <c r="H357">
        <f t="shared" si="22"/>
        <v>15796.180000000046</v>
      </c>
    </row>
    <row r="358" spans="1:8">
      <c r="A358" s="1">
        <v>42809</v>
      </c>
      <c r="B358">
        <v>255.73</v>
      </c>
      <c r="C358" s="2">
        <f t="shared" ca="1" si="21"/>
        <v>248.97666666666669</v>
      </c>
      <c r="D358" s="2">
        <f t="shared" ca="1" si="20"/>
        <v>249.28666666666666</v>
      </c>
      <c r="E358" t="b">
        <f t="shared" ca="1" si="19"/>
        <v>1</v>
      </c>
      <c r="F358">
        <v>196.65000000006515</v>
      </c>
      <c r="G358">
        <v>15599.529999999999</v>
      </c>
      <c r="H358">
        <f t="shared" si="22"/>
        <v>15796.180000000064</v>
      </c>
    </row>
    <row r="359" spans="1:8">
      <c r="A359" s="1">
        <v>42810</v>
      </c>
      <c r="B359">
        <v>262.05</v>
      </c>
      <c r="C359" s="2">
        <f t="shared" ca="1" si="21"/>
        <v>249.76833333333335</v>
      </c>
      <c r="D359" s="2">
        <f t="shared" ca="1" si="20"/>
        <v>253.29999999999998</v>
      </c>
      <c r="E359" t="b">
        <f t="shared" ca="1" si="19"/>
        <v>1</v>
      </c>
      <c r="F359">
        <v>196.65000000006515</v>
      </c>
      <c r="G359">
        <v>15985.050000000001</v>
      </c>
      <c r="H359">
        <f t="shared" si="22"/>
        <v>16181.700000000066</v>
      </c>
    </row>
    <row r="360" spans="1:8">
      <c r="A360" s="1">
        <v>42811</v>
      </c>
      <c r="B360">
        <v>261.5</v>
      </c>
      <c r="C360" s="2">
        <f t="shared" ca="1" si="21"/>
        <v>250.77333333333334</v>
      </c>
      <c r="D360" s="2">
        <f t="shared" ca="1" si="20"/>
        <v>258.59333333333331</v>
      </c>
      <c r="E360" t="b">
        <f t="shared" ca="1" si="19"/>
        <v>1</v>
      </c>
      <c r="F360">
        <v>196.65000000006515</v>
      </c>
      <c r="G360">
        <v>15951.5</v>
      </c>
      <c r="H360">
        <f t="shared" si="22"/>
        <v>16148.150000000065</v>
      </c>
    </row>
    <row r="361" spans="1:8">
      <c r="A361" s="1">
        <v>42814</v>
      </c>
      <c r="B361">
        <v>261.92</v>
      </c>
      <c r="C361" s="2">
        <f t="shared" ca="1" si="21"/>
        <v>251.73000000000005</v>
      </c>
      <c r="D361" s="2">
        <f t="shared" ca="1" si="20"/>
        <v>259.76</v>
      </c>
      <c r="E361" t="b">
        <f t="shared" ca="1" si="19"/>
        <v>1</v>
      </c>
      <c r="F361">
        <v>196.65000000006515</v>
      </c>
      <c r="G361">
        <v>15977.12</v>
      </c>
      <c r="H361">
        <f t="shared" si="22"/>
        <v>16173.770000000066</v>
      </c>
    </row>
    <row r="362" spans="1:8">
      <c r="A362" s="1">
        <v>42815</v>
      </c>
      <c r="B362">
        <v>250.68</v>
      </c>
      <c r="C362" s="2">
        <f t="shared" ca="1" si="21"/>
        <v>252.68333333333337</v>
      </c>
      <c r="D362" s="2">
        <f t="shared" ca="1" si="20"/>
        <v>261.82333333333332</v>
      </c>
      <c r="E362" t="b">
        <f t="shared" ca="1" si="19"/>
        <v>1</v>
      </c>
      <c r="F362">
        <v>196.65000000006515</v>
      </c>
      <c r="G362">
        <v>15291.48</v>
      </c>
      <c r="H362">
        <f t="shared" si="22"/>
        <v>15488.130000000065</v>
      </c>
    </row>
    <row r="363" spans="1:8">
      <c r="A363" s="1">
        <v>42816</v>
      </c>
      <c r="B363">
        <v>255.01</v>
      </c>
      <c r="C363" s="2">
        <f t="shared" ca="1" si="21"/>
        <v>252.60916666666665</v>
      </c>
      <c r="D363" s="2">
        <f t="shared" ca="1" si="20"/>
        <v>258.03333333333336</v>
      </c>
      <c r="E363" t="b">
        <f t="shared" ca="1" si="19"/>
        <v>1</v>
      </c>
      <c r="F363">
        <v>196.65000000006515</v>
      </c>
      <c r="G363">
        <v>15555.609999999999</v>
      </c>
      <c r="H363">
        <f t="shared" si="22"/>
        <v>15752.260000000064</v>
      </c>
    </row>
    <row r="364" spans="1:8">
      <c r="A364" s="1">
        <v>42817</v>
      </c>
      <c r="B364">
        <v>254.78</v>
      </c>
      <c r="C364" s="2">
        <f t="shared" ca="1" si="21"/>
        <v>252.92583333333332</v>
      </c>
      <c r="D364" s="2">
        <f t="shared" ca="1" si="20"/>
        <v>255.87</v>
      </c>
      <c r="E364" t="b">
        <f t="shared" ca="1" si="19"/>
        <v>1</v>
      </c>
      <c r="F364">
        <v>196.65000000006515</v>
      </c>
      <c r="G364">
        <v>15541.58</v>
      </c>
      <c r="H364">
        <f t="shared" si="22"/>
        <v>15738.230000000065</v>
      </c>
    </row>
    <row r="365" spans="1:8">
      <c r="A365" s="1">
        <v>42818</v>
      </c>
      <c r="B365">
        <v>263.16000000000003</v>
      </c>
      <c r="C365" s="2">
        <f t="shared" ca="1" si="21"/>
        <v>253.44166666666663</v>
      </c>
      <c r="D365" s="2">
        <f t="shared" ca="1" si="20"/>
        <v>253.49</v>
      </c>
      <c r="E365" t="b">
        <f t="shared" ca="1" si="19"/>
        <v>1</v>
      </c>
      <c r="F365">
        <v>196.65000000006515</v>
      </c>
      <c r="G365">
        <v>16052.760000000002</v>
      </c>
      <c r="H365">
        <f t="shared" si="22"/>
        <v>16249.410000000067</v>
      </c>
    </row>
    <row r="366" spans="1:8">
      <c r="A366" s="1">
        <v>42821</v>
      </c>
      <c r="B366">
        <v>270.22000000000003</v>
      </c>
      <c r="C366" s="2">
        <f t="shared" ca="1" si="21"/>
        <v>254.79916666666665</v>
      </c>
      <c r="D366" s="2">
        <f t="shared" ca="1" si="20"/>
        <v>257.65000000000003</v>
      </c>
      <c r="E366" t="b">
        <f t="shared" ca="1" si="19"/>
        <v>1</v>
      </c>
      <c r="F366">
        <v>196.65000000006515</v>
      </c>
      <c r="G366">
        <v>16483.420000000002</v>
      </c>
      <c r="H366">
        <f t="shared" si="22"/>
        <v>16680.070000000069</v>
      </c>
    </row>
    <row r="367" spans="1:8">
      <c r="A367" s="1">
        <v>42822</v>
      </c>
      <c r="B367">
        <v>277.45</v>
      </c>
      <c r="C367" s="2">
        <f t="shared" ca="1" si="21"/>
        <v>256.90916666666664</v>
      </c>
      <c r="D367" s="2">
        <f t="shared" ca="1" si="20"/>
        <v>262.72000000000003</v>
      </c>
      <c r="E367" t="b">
        <f t="shared" ca="1" si="19"/>
        <v>1</v>
      </c>
      <c r="F367">
        <v>196.65000000006515</v>
      </c>
      <c r="G367">
        <v>16924.45</v>
      </c>
      <c r="H367">
        <f t="shared" si="22"/>
        <v>17121.100000000068</v>
      </c>
    </row>
    <row r="368" spans="1:8">
      <c r="A368" s="1">
        <v>42823</v>
      </c>
      <c r="B368">
        <v>277.38</v>
      </c>
      <c r="C368" s="2">
        <f t="shared" ca="1" si="21"/>
        <v>259.72250000000003</v>
      </c>
      <c r="D368" s="2">
        <f t="shared" ca="1" si="20"/>
        <v>270.2766666666667</v>
      </c>
      <c r="E368" t="b">
        <f t="shared" ca="1" si="19"/>
        <v>1</v>
      </c>
      <c r="F368">
        <v>196.65000000006515</v>
      </c>
      <c r="G368">
        <v>16920.18</v>
      </c>
      <c r="H368">
        <f t="shared" si="22"/>
        <v>17116.830000000067</v>
      </c>
    </row>
    <row r="369" spans="1:8">
      <c r="A369" s="1">
        <v>42824</v>
      </c>
      <c r="B369">
        <v>277.92</v>
      </c>
      <c r="C369" s="2">
        <f t="shared" ca="1" si="21"/>
        <v>262.32333333333332</v>
      </c>
      <c r="D369" s="2">
        <f t="shared" ca="1" si="20"/>
        <v>275.01666666666671</v>
      </c>
      <c r="E369" t="b">
        <f t="shared" ca="1" si="19"/>
        <v>1</v>
      </c>
      <c r="F369">
        <v>196.65000000006515</v>
      </c>
      <c r="G369">
        <v>16953.120000000003</v>
      </c>
      <c r="H369">
        <f t="shared" si="22"/>
        <v>17149.77000000007</v>
      </c>
    </row>
    <row r="370" spans="1:8">
      <c r="A370" s="1">
        <v>42825</v>
      </c>
      <c r="B370">
        <v>278.3</v>
      </c>
      <c r="C370" s="2">
        <f t="shared" ca="1" si="21"/>
        <v>263.98333333333335</v>
      </c>
      <c r="D370" s="2">
        <f t="shared" ca="1" si="20"/>
        <v>277.58333333333331</v>
      </c>
      <c r="E370" t="b">
        <f t="shared" ca="1" si="19"/>
        <v>1</v>
      </c>
      <c r="F370">
        <v>196.65000000006515</v>
      </c>
      <c r="G370">
        <v>16976.3</v>
      </c>
      <c r="H370">
        <f t="shared" si="22"/>
        <v>17172.950000000066</v>
      </c>
    </row>
    <row r="371" spans="1:8">
      <c r="A371" s="1">
        <v>42828</v>
      </c>
      <c r="B371">
        <v>298.52</v>
      </c>
      <c r="C371" s="2">
        <f t="shared" ca="1" si="21"/>
        <v>265.86416666666668</v>
      </c>
      <c r="D371" s="2">
        <f t="shared" ca="1" si="20"/>
        <v>277.86666666666662</v>
      </c>
      <c r="E371" t="b">
        <f t="shared" ca="1" si="19"/>
        <v>1</v>
      </c>
      <c r="F371">
        <v>196.65000000006515</v>
      </c>
      <c r="G371">
        <v>18209.719999999998</v>
      </c>
      <c r="H371">
        <f t="shared" si="22"/>
        <v>18406.370000000064</v>
      </c>
    </row>
    <row r="372" spans="1:8">
      <c r="A372" s="1">
        <v>42829</v>
      </c>
      <c r="B372">
        <v>303.7</v>
      </c>
      <c r="C372" s="2">
        <f t="shared" ca="1" si="21"/>
        <v>268.90333333333336</v>
      </c>
      <c r="D372" s="2">
        <f t="shared" ca="1" si="20"/>
        <v>284.91333333333336</v>
      </c>
      <c r="E372" t="b">
        <f t="shared" ref="E372:E435" ca="1" si="23">D372&gt;C372</f>
        <v>1</v>
      </c>
      <c r="F372">
        <v>196.65000000006515</v>
      </c>
      <c r="G372">
        <v>18525.7</v>
      </c>
      <c r="H372">
        <f t="shared" si="22"/>
        <v>18722.350000000068</v>
      </c>
    </row>
    <row r="373" spans="1:8">
      <c r="A373" s="1">
        <v>42830</v>
      </c>
      <c r="B373">
        <v>295</v>
      </c>
      <c r="C373" s="2">
        <f t="shared" ca="1" si="21"/>
        <v>272.42</v>
      </c>
      <c r="D373" s="2">
        <f t="shared" ca="1" si="20"/>
        <v>293.50666666666666</v>
      </c>
      <c r="E373" t="b">
        <f t="shared" ca="1" si="23"/>
        <v>1</v>
      </c>
      <c r="F373">
        <v>196.65000000006515</v>
      </c>
      <c r="G373">
        <v>17995</v>
      </c>
      <c r="H373">
        <f t="shared" si="22"/>
        <v>18191.650000000067</v>
      </c>
    </row>
    <row r="374" spans="1:8">
      <c r="A374" s="1">
        <v>42831</v>
      </c>
      <c r="B374">
        <v>298.7</v>
      </c>
      <c r="C374" s="2">
        <f t="shared" ca="1" si="21"/>
        <v>275.17666666666668</v>
      </c>
      <c r="D374" s="2">
        <f t="shared" ca="1" si="20"/>
        <v>299.07333333333332</v>
      </c>
      <c r="E374" t="b">
        <f t="shared" ca="1" si="23"/>
        <v>1</v>
      </c>
      <c r="F374">
        <v>196.65000000006515</v>
      </c>
      <c r="G374">
        <v>18220.7</v>
      </c>
      <c r="H374">
        <f t="shared" si="22"/>
        <v>18417.350000000068</v>
      </c>
    </row>
    <row r="375" spans="1:8">
      <c r="A375" s="1">
        <v>42832</v>
      </c>
      <c r="B375">
        <v>302.54000000000002</v>
      </c>
      <c r="C375" s="2">
        <f t="shared" ca="1" si="21"/>
        <v>279.17833333333334</v>
      </c>
      <c r="D375" s="2">
        <f t="shared" ca="1" si="20"/>
        <v>299.13333333333338</v>
      </c>
      <c r="E375" t="b">
        <f t="shared" ca="1" si="23"/>
        <v>1</v>
      </c>
      <c r="F375">
        <v>196.65000000006515</v>
      </c>
      <c r="G375">
        <v>18454.940000000002</v>
      </c>
      <c r="H375">
        <f t="shared" si="22"/>
        <v>18651.590000000069</v>
      </c>
    </row>
    <row r="376" spans="1:8">
      <c r="A376" s="1">
        <v>42835</v>
      </c>
      <c r="B376">
        <v>312.39</v>
      </c>
      <c r="C376" s="2">
        <f t="shared" ca="1" si="21"/>
        <v>283.13916666666665</v>
      </c>
      <c r="D376" s="2">
        <f t="shared" ca="1" si="20"/>
        <v>298.74666666666667</v>
      </c>
      <c r="E376" t="b">
        <f t="shared" ca="1" si="23"/>
        <v>1</v>
      </c>
      <c r="F376">
        <v>196.65000000006515</v>
      </c>
      <c r="G376">
        <v>19055.79</v>
      </c>
      <c r="H376">
        <f t="shared" si="22"/>
        <v>19252.440000000068</v>
      </c>
    </row>
    <row r="377" spans="1:8">
      <c r="A377" s="1">
        <v>42836</v>
      </c>
      <c r="B377">
        <v>308.70999999999998</v>
      </c>
      <c r="C377" s="2">
        <f t="shared" ca="1" si="21"/>
        <v>287.94</v>
      </c>
      <c r="D377" s="2">
        <f t="shared" ca="1" si="20"/>
        <v>304.54333333333335</v>
      </c>
      <c r="E377" t="b">
        <f t="shared" ca="1" si="23"/>
        <v>1</v>
      </c>
      <c r="F377">
        <v>196.65000000006515</v>
      </c>
      <c r="G377">
        <v>18831.309999999998</v>
      </c>
      <c r="H377">
        <f t="shared" si="22"/>
        <v>19027.960000000065</v>
      </c>
    </row>
    <row r="378" spans="1:8">
      <c r="A378" s="1">
        <v>42837</v>
      </c>
      <c r="B378">
        <v>296.83999999999997</v>
      </c>
      <c r="C378" s="2">
        <f t="shared" ca="1" si="21"/>
        <v>291.73583333333329</v>
      </c>
      <c r="D378" s="2">
        <f t="shared" ca="1" si="20"/>
        <v>307.88000000000005</v>
      </c>
      <c r="E378" t="b">
        <f t="shared" ca="1" si="23"/>
        <v>1</v>
      </c>
      <c r="F378">
        <v>196.65000000006515</v>
      </c>
      <c r="G378">
        <v>18107.239999999998</v>
      </c>
      <c r="H378">
        <f t="shared" si="22"/>
        <v>18303.890000000065</v>
      </c>
    </row>
    <row r="379" spans="1:8">
      <c r="A379" s="1">
        <v>42838</v>
      </c>
      <c r="B379">
        <v>304</v>
      </c>
      <c r="C379" s="2">
        <f t="shared" ca="1" si="21"/>
        <v>293.95416666666665</v>
      </c>
      <c r="D379" s="2">
        <f t="shared" ca="1" si="20"/>
        <v>305.97999999999996</v>
      </c>
      <c r="E379" t="b">
        <f t="shared" ca="1" si="23"/>
        <v>1</v>
      </c>
      <c r="F379">
        <v>196.65000000006515</v>
      </c>
      <c r="G379">
        <v>18544</v>
      </c>
      <c r="H379">
        <f t="shared" si="22"/>
        <v>18740.650000000067</v>
      </c>
    </row>
    <row r="380" spans="1:8">
      <c r="A380" s="1">
        <v>42842</v>
      </c>
      <c r="B380">
        <v>301.44</v>
      </c>
      <c r="C380" s="2">
        <f t="shared" ca="1" si="21"/>
        <v>296.16666666666669</v>
      </c>
      <c r="D380" s="2">
        <f t="shared" ca="1" si="20"/>
        <v>303.18333333333334</v>
      </c>
      <c r="E380" t="b">
        <f t="shared" ca="1" si="23"/>
        <v>1</v>
      </c>
      <c r="F380">
        <v>196.65000000006515</v>
      </c>
      <c r="G380">
        <v>18387.84</v>
      </c>
      <c r="H380">
        <f t="shared" si="22"/>
        <v>18584.490000000067</v>
      </c>
    </row>
    <row r="381" spans="1:8">
      <c r="A381" s="1">
        <v>42843</v>
      </c>
      <c r="B381">
        <v>300.25</v>
      </c>
      <c r="C381" s="2">
        <f t="shared" ca="1" si="21"/>
        <v>298.17166666666668</v>
      </c>
      <c r="D381" s="2">
        <f t="shared" ca="1" si="20"/>
        <v>300.76</v>
      </c>
      <c r="E381" t="b">
        <f t="shared" ca="1" si="23"/>
        <v>1</v>
      </c>
      <c r="F381">
        <v>196.65000000006515</v>
      </c>
      <c r="G381">
        <v>18315.25</v>
      </c>
      <c r="H381">
        <f t="shared" si="22"/>
        <v>18511.900000000067</v>
      </c>
    </row>
    <row r="382" spans="1:8">
      <c r="A382" s="1">
        <v>42844</v>
      </c>
      <c r="B382">
        <v>305.52</v>
      </c>
      <c r="C382" s="2">
        <f t="shared" ca="1" si="21"/>
        <v>300.03250000000003</v>
      </c>
      <c r="D382" s="2">
        <f t="shared" ca="1" si="20"/>
        <v>301.8966666666667</v>
      </c>
      <c r="E382" t="b">
        <f t="shared" ca="1" si="23"/>
        <v>1</v>
      </c>
      <c r="F382">
        <v>196.65000000006515</v>
      </c>
      <c r="G382">
        <v>18636.719999999998</v>
      </c>
      <c r="H382">
        <f t="shared" si="22"/>
        <v>18833.370000000064</v>
      </c>
    </row>
    <row r="383" spans="1:8">
      <c r="A383" s="1">
        <v>42845</v>
      </c>
      <c r="B383">
        <v>302.51</v>
      </c>
      <c r="C383" s="2">
        <f t="shared" ca="1" si="21"/>
        <v>302.30083333333334</v>
      </c>
      <c r="D383" s="2">
        <f t="shared" ca="1" si="20"/>
        <v>302.40333333333336</v>
      </c>
      <c r="E383" t="b">
        <f t="shared" ca="1" si="23"/>
        <v>1</v>
      </c>
      <c r="F383">
        <v>196.65000000006515</v>
      </c>
      <c r="G383">
        <v>18453.11</v>
      </c>
      <c r="H383">
        <f t="shared" si="22"/>
        <v>18649.760000000068</v>
      </c>
    </row>
    <row r="384" spans="1:8">
      <c r="A384" s="1">
        <v>42846</v>
      </c>
      <c r="B384">
        <v>305.60000000000002</v>
      </c>
      <c r="C384" s="2">
        <f t="shared" ca="1" si="21"/>
        <v>302.63333333333338</v>
      </c>
      <c r="D384" s="2">
        <f t="shared" ca="1" si="20"/>
        <v>302.76</v>
      </c>
      <c r="E384" t="b">
        <f t="shared" ca="1" si="23"/>
        <v>1</v>
      </c>
      <c r="F384">
        <v>196.65000000006515</v>
      </c>
      <c r="G384">
        <v>18641.600000000002</v>
      </c>
      <c r="H384">
        <f t="shared" si="22"/>
        <v>18838.250000000069</v>
      </c>
    </row>
    <row r="385" spans="1:8">
      <c r="A385" s="1">
        <v>42849</v>
      </c>
      <c r="B385">
        <v>308.02999999999997</v>
      </c>
      <c r="C385" s="2">
        <f t="shared" ca="1" si="21"/>
        <v>302.79166666666669</v>
      </c>
      <c r="D385" s="2">
        <f t="shared" ca="1" si="20"/>
        <v>304.54333333333335</v>
      </c>
      <c r="E385" t="b">
        <f t="shared" ca="1" si="23"/>
        <v>1</v>
      </c>
      <c r="F385">
        <v>196.65000000006515</v>
      </c>
      <c r="G385">
        <v>18789.829999999998</v>
      </c>
      <c r="H385">
        <f t="shared" si="22"/>
        <v>18986.480000000065</v>
      </c>
    </row>
    <row r="386" spans="1:8">
      <c r="A386" s="1">
        <v>42850</v>
      </c>
      <c r="B386">
        <v>313.79000000000002</v>
      </c>
      <c r="C386" s="2">
        <f t="shared" ca="1" si="21"/>
        <v>303.8775</v>
      </c>
      <c r="D386" s="2">
        <f t="shared" ca="1" si="20"/>
        <v>305.38</v>
      </c>
      <c r="E386" t="b">
        <f t="shared" ca="1" si="23"/>
        <v>1</v>
      </c>
      <c r="F386">
        <v>196.65000000006515</v>
      </c>
      <c r="G386">
        <v>19141.190000000002</v>
      </c>
      <c r="H386">
        <f t="shared" si="22"/>
        <v>19337.840000000069</v>
      </c>
    </row>
    <row r="387" spans="1:8">
      <c r="A387" s="1">
        <v>42851</v>
      </c>
      <c r="B387">
        <v>310.17</v>
      </c>
      <c r="C387" s="2">
        <f t="shared" ca="1" si="21"/>
        <v>305.13499999999999</v>
      </c>
      <c r="D387" s="2">
        <f t="shared" ca="1" si="20"/>
        <v>309.14000000000004</v>
      </c>
      <c r="E387" t="b">
        <f t="shared" ca="1" si="23"/>
        <v>1</v>
      </c>
      <c r="F387">
        <v>196.65000000006515</v>
      </c>
      <c r="G387">
        <v>18920.370000000003</v>
      </c>
      <c r="H387">
        <f t="shared" si="22"/>
        <v>19117.02000000007</v>
      </c>
    </row>
    <row r="388" spans="1:8">
      <c r="A388" s="1">
        <v>42852</v>
      </c>
      <c r="B388">
        <v>308.63</v>
      </c>
      <c r="C388" s="2">
        <f t="shared" ca="1" si="21"/>
        <v>305.77083333333331</v>
      </c>
      <c r="D388" s="2">
        <f t="shared" ca="1" si="20"/>
        <v>310.66333333333336</v>
      </c>
      <c r="E388" t="b">
        <f t="shared" ca="1" si="23"/>
        <v>1</v>
      </c>
      <c r="F388">
        <v>196.65000000006515</v>
      </c>
      <c r="G388">
        <v>18826.43</v>
      </c>
      <c r="H388">
        <f t="shared" si="22"/>
        <v>19023.080000000067</v>
      </c>
    </row>
    <row r="389" spans="1:8">
      <c r="A389" s="1">
        <v>42853</v>
      </c>
      <c r="B389">
        <v>314.07</v>
      </c>
      <c r="C389" s="2">
        <f t="shared" ca="1" si="21"/>
        <v>305.45749999999998</v>
      </c>
      <c r="D389" s="2">
        <f t="shared" ref="D389:D452" ca="1" si="24">AVERAGE(INDIRECT(ADDRESS(ROW()-$D$1,COLUMN()-2)&amp;":"&amp;ADDRESS(ROW()-1,COLUMN()-2)))</f>
        <v>310.86333333333334</v>
      </c>
      <c r="E389" t="b">
        <f t="shared" ca="1" si="23"/>
        <v>1</v>
      </c>
      <c r="F389">
        <v>196.65000000006515</v>
      </c>
      <c r="G389">
        <v>19158.27</v>
      </c>
      <c r="H389">
        <f t="shared" si="22"/>
        <v>19354.920000000067</v>
      </c>
    </row>
    <row r="390" spans="1:8">
      <c r="A390" s="1">
        <v>42856</v>
      </c>
      <c r="B390">
        <v>322.83</v>
      </c>
      <c r="C390" s="2">
        <f t="shared" ca="1" si="21"/>
        <v>305.90416666666664</v>
      </c>
      <c r="D390" s="2">
        <f t="shared" ca="1" si="24"/>
        <v>310.95666666666665</v>
      </c>
      <c r="E390" t="b">
        <f t="shared" ca="1" si="23"/>
        <v>1</v>
      </c>
      <c r="F390">
        <v>196.65000000006515</v>
      </c>
      <c r="G390">
        <v>19692.629999999997</v>
      </c>
      <c r="H390">
        <f t="shared" si="22"/>
        <v>19889.280000000064</v>
      </c>
    </row>
    <row r="391" spans="1:8">
      <c r="A391" s="1">
        <v>42857</v>
      </c>
      <c r="B391">
        <v>318.89</v>
      </c>
      <c r="C391" s="2">
        <f t="shared" ca="1" si="21"/>
        <v>308.07000000000005</v>
      </c>
      <c r="D391" s="2">
        <f t="shared" ca="1" si="24"/>
        <v>315.17666666666668</v>
      </c>
      <c r="E391" t="b">
        <f t="shared" ca="1" si="23"/>
        <v>1</v>
      </c>
      <c r="F391">
        <v>196.65000000006515</v>
      </c>
      <c r="G391">
        <v>19452.29</v>
      </c>
      <c r="H391">
        <f t="shared" si="22"/>
        <v>19648.940000000068</v>
      </c>
    </row>
    <row r="392" spans="1:8">
      <c r="A392" s="1">
        <v>42858</v>
      </c>
      <c r="B392">
        <v>311.02</v>
      </c>
      <c r="C392" s="2">
        <f t="shared" ca="1" si="21"/>
        <v>309.31083333333339</v>
      </c>
      <c r="D392" s="2">
        <f t="shared" ca="1" si="24"/>
        <v>318.59666666666664</v>
      </c>
      <c r="E392" t="b">
        <f t="shared" ca="1" si="23"/>
        <v>1</v>
      </c>
      <c r="F392">
        <v>196.65000000006515</v>
      </c>
      <c r="G392">
        <v>18972.219999999998</v>
      </c>
      <c r="H392">
        <f t="shared" si="22"/>
        <v>19168.870000000064</v>
      </c>
    </row>
    <row r="393" spans="1:8">
      <c r="A393" s="1">
        <v>42859</v>
      </c>
      <c r="B393">
        <v>295.45999999999998</v>
      </c>
      <c r="C393" s="2">
        <f t="shared" ca="1" si="21"/>
        <v>310.10916666666668</v>
      </c>
      <c r="D393" s="2">
        <f t="shared" ca="1" si="24"/>
        <v>317.58</v>
      </c>
      <c r="E393" t="b">
        <f t="shared" ca="1" si="23"/>
        <v>1</v>
      </c>
      <c r="F393">
        <v>196.65000000006515</v>
      </c>
      <c r="G393">
        <v>18023.059999999998</v>
      </c>
      <c r="H393">
        <f t="shared" si="22"/>
        <v>18219.710000000065</v>
      </c>
    </row>
    <row r="394" spans="1:8">
      <c r="A394" s="1">
        <v>42860</v>
      </c>
      <c r="B394">
        <v>308.35000000000002</v>
      </c>
      <c r="C394" s="2">
        <f t="shared" ca="1" si="21"/>
        <v>309.70999999999998</v>
      </c>
      <c r="D394" s="2">
        <f t="shared" ca="1" si="24"/>
        <v>308.45666666666665</v>
      </c>
      <c r="E394" t="b">
        <f t="shared" ca="1" si="23"/>
        <v>0</v>
      </c>
      <c r="F394">
        <v>19006.000000000069</v>
      </c>
      <c r="G394">
        <v>0</v>
      </c>
      <c r="H394">
        <f t="shared" si="22"/>
        <v>19006.000000000069</v>
      </c>
    </row>
    <row r="395" spans="1:8">
      <c r="A395" s="1">
        <v>42863</v>
      </c>
      <c r="B395">
        <v>307.19</v>
      </c>
      <c r="C395" s="2">
        <f t="shared" ca="1" si="21"/>
        <v>309.94583333333333</v>
      </c>
      <c r="D395" s="2">
        <f t="shared" ca="1" si="24"/>
        <v>304.94333333333333</v>
      </c>
      <c r="E395" t="b">
        <f t="shared" ca="1" si="23"/>
        <v>0</v>
      </c>
      <c r="F395">
        <v>19006.000000000069</v>
      </c>
      <c r="G395">
        <v>0</v>
      </c>
      <c r="H395">
        <f t="shared" si="22"/>
        <v>19006.000000000069</v>
      </c>
    </row>
    <row r="396" spans="1:8">
      <c r="A396" s="1">
        <v>42864</v>
      </c>
      <c r="B396">
        <v>321.26</v>
      </c>
      <c r="C396" s="2">
        <f t="shared" ca="1" si="21"/>
        <v>310.33583333333337</v>
      </c>
      <c r="D396" s="2">
        <f t="shared" ca="1" si="24"/>
        <v>303.66666666666669</v>
      </c>
      <c r="E396" t="b">
        <f t="shared" ca="1" si="23"/>
        <v>0</v>
      </c>
      <c r="F396">
        <v>19006.000000000069</v>
      </c>
      <c r="G396">
        <v>0</v>
      </c>
      <c r="H396">
        <f t="shared" si="22"/>
        <v>19006.000000000069</v>
      </c>
    </row>
    <row r="397" spans="1:8">
      <c r="A397" s="1">
        <v>42865</v>
      </c>
      <c r="B397">
        <v>325.22000000000003</v>
      </c>
      <c r="C397" s="2">
        <f t="shared" ca="1" si="21"/>
        <v>311.64083333333332</v>
      </c>
      <c r="D397" s="2">
        <f t="shared" ca="1" si="24"/>
        <v>312.26666666666665</v>
      </c>
      <c r="E397" t="b">
        <f t="shared" ca="1" si="23"/>
        <v>1</v>
      </c>
      <c r="F397">
        <v>143.24000000007118</v>
      </c>
      <c r="G397">
        <v>18862.760000000002</v>
      </c>
      <c r="H397">
        <f t="shared" si="22"/>
        <v>19006.000000000073</v>
      </c>
    </row>
    <row r="398" spans="1:8">
      <c r="A398" s="1">
        <v>42866</v>
      </c>
      <c r="B398">
        <v>323.10000000000002</v>
      </c>
      <c r="C398" s="2">
        <f t="shared" ca="1" si="21"/>
        <v>313.07333333333332</v>
      </c>
      <c r="D398" s="2">
        <f t="shared" ca="1" si="24"/>
        <v>317.89000000000004</v>
      </c>
      <c r="E398" t="b">
        <f t="shared" ca="1" si="23"/>
        <v>1</v>
      </c>
      <c r="F398">
        <v>143.24000000007118</v>
      </c>
      <c r="G398">
        <v>18739.800000000003</v>
      </c>
      <c r="H398">
        <f t="shared" si="22"/>
        <v>18883.040000000074</v>
      </c>
    </row>
    <row r="399" spans="1:8">
      <c r="A399" s="1">
        <v>42867</v>
      </c>
      <c r="B399">
        <v>324.81</v>
      </c>
      <c r="C399" s="2">
        <f t="shared" ca="1" si="21"/>
        <v>313.84916666666669</v>
      </c>
      <c r="D399" s="2">
        <f t="shared" ca="1" si="24"/>
        <v>323.19333333333333</v>
      </c>
      <c r="E399" t="b">
        <f t="shared" ca="1" si="23"/>
        <v>1</v>
      </c>
      <c r="F399">
        <v>143.24000000007118</v>
      </c>
      <c r="G399">
        <v>18838.98</v>
      </c>
      <c r="H399">
        <f t="shared" si="22"/>
        <v>18982.22000000007</v>
      </c>
    </row>
    <row r="400" spans="1:8">
      <c r="A400" s="1">
        <v>42870</v>
      </c>
      <c r="B400">
        <v>315.88</v>
      </c>
      <c r="C400" s="2">
        <f t="shared" ca="1" si="21"/>
        <v>315.06916666666666</v>
      </c>
      <c r="D400" s="2">
        <f t="shared" ca="1" si="24"/>
        <v>324.37666666666672</v>
      </c>
      <c r="E400" t="b">
        <f t="shared" ca="1" si="23"/>
        <v>1</v>
      </c>
      <c r="F400">
        <v>143.24000000007118</v>
      </c>
      <c r="G400">
        <v>18321.04</v>
      </c>
      <c r="H400">
        <f t="shared" si="22"/>
        <v>18464.280000000072</v>
      </c>
    </row>
    <row r="401" spans="1:8">
      <c r="A401" s="1">
        <v>42871</v>
      </c>
      <c r="B401">
        <v>317.01</v>
      </c>
      <c r="C401" s="2">
        <f t="shared" ca="1" si="21"/>
        <v>315.67333333333335</v>
      </c>
      <c r="D401" s="2">
        <f t="shared" ca="1" si="24"/>
        <v>321.26333333333338</v>
      </c>
      <c r="E401" t="b">
        <f t="shared" ca="1" si="23"/>
        <v>1</v>
      </c>
      <c r="F401">
        <v>143.24000000007118</v>
      </c>
      <c r="G401">
        <v>18386.579999999998</v>
      </c>
      <c r="H401">
        <f t="shared" si="22"/>
        <v>18529.820000000069</v>
      </c>
    </row>
    <row r="402" spans="1:8">
      <c r="A402" s="1">
        <v>42872</v>
      </c>
      <c r="B402">
        <v>306.11</v>
      </c>
      <c r="C402" s="2">
        <f t="shared" ca="1" si="21"/>
        <v>315.91833333333335</v>
      </c>
      <c r="D402" s="2">
        <f t="shared" ca="1" si="24"/>
        <v>319.23333333333335</v>
      </c>
      <c r="E402" t="b">
        <f t="shared" ca="1" si="23"/>
        <v>1</v>
      </c>
      <c r="F402">
        <v>143.24000000007118</v>
      </c>
      <c r="G402">
        <v>17754.38</v>
      </c>
      <c r="H402">
        <f t="shared" si="22"/>
        <v>17897.620000000072</v>
      </c>
    </row>
    <row r="403" spans="1:8">
      <c r="A403" s="1">
        <v>42873</v>
      </c>
      <c r="B403">
        <v>313.06</v>
      </c>
      <c r="C403" s="2">
        <f t="shared" ca="1" si="21"/>
        <v>314.52499999999998</v>
      </c>
      <c r="D403" s="2">
        <f t="shared" ca="1" si="24"/>
        <v>313</v>
      </c>
      <c r="E403" t="b">
        <f t="shared" ca="1" si="23"/>
        <v>0</v>
      </c>
      <c r="F403">
        <v>18300.72000000007</v>
      </c>
      <c r="G403">
        <v>0</v>
      </c>
      <c r="H403">
        <f t="shared" si="22"/>
        <v>18300.72000000007</v>
      </c>
    </row>
    <row r="404" spans="1:8">
      <c r="A404" s="1">
        <v>42874</v>
      </c>
      <c r="B404">
        <v>310.83</v>
      </c>
      <c r="C404" s="2">
        <f t="shared" ca="1" si="21"/>
        <v>314.03916666666669</v>
      </c>
      <c r="D404" s="2">
        <f t="shared" ca="1" si="24"/>
        <v>312.06</v>
      </c>
      <c r="E404" t="b">
        <f t="shared" ca="1" si="23"/>
        <v>0</v>
      </c>
      <c r="F404">
        <v>18300.72000000007</v>
      </c>
      <c r="G404">
        <v>0</v>
      </c>
      <c r="H404">
        <f t="shared" si="22"/>
        <v>18300.72000000007</v>
      </c>
    </row>
    <row r="405" spans="1:8">
      <c r="A405" s="1">
        <v>42877</v>
      </c>
      <c r="B405">
        <v>310.35000000000002</v>
      </c>
      <c r="C405" s="2">
        <f t="shared" ca="1" si="21"/>
        <v>314.02333333333331</v>
      </c>
      <c r="D405" s="2">
        <f t="shared" ca="1" si="24"/>
        <v>310</v>
      </c>
      <c r="E405" t="b">
        <f t="shared" ca="1" si="23"/>
        <v>0</v>
      </c>
      <c r="F405">
        <v>18300.72000000007</v>
      </c>
      <c r="G405">
        <v>0</v>
      </c>
      <c r="H405">
        <f t="shared" si="22"/>
        <v>18300.72000000007</v>
      </c>
    </row>
    <row r="406" spans="1:8">
      <c r="A406" s="1">
        <v>42878</v>
      </c>
      <c r="B406">
        <v>303.86</v>
      </c>
      <c r="C406" s="2">
        <f t="shared" ref="C406:C469" ca="1" si="25">AVERAGE(INDIRECT(ADDRESS(ROW()-$C$1,COLUMN()-1)&amp;":"&amp;ADDRESS(ROW()-1,COLUMN()-1)))</f>
        <v>315.26416666666665</v>
      </c>
      <c r="D406" s="2">
        <f t="shared" ca="1" si="24"/>
        <v>311.41333333333336</v>
      </c>
      <c r="E406" t="b">
        <f t="shared" ca="1" si="23"/>
        <v>0</v>
      </c>
      <c r="F406">
        <v>18300.72000000007</v>
      </c>
      <c r="G406">
        <v>0</v>
      </c>
      <c r="H406">
        <f t="shared" ref="H406:H469" si="26">G406+F406</f>
        <v>18300.72000000007</v>
      </c>
    </row>
    <row r="407" spans="1:8">
      <c r="A407" s="1">
        <v>42879</v>
      </c>
      <c r="B407">
        <v>310.22000000000003</v>
      </c>
      <c r="C407" s="2">
        <f t="shared" ca="1" si="25"/>
        <v>314.89000000000004</v>
      </c>
      <c r="D407" s="2">
        <f t="shared" ca="1" si="24"/>
        <v>308.34666666666669</v>
      </c>
      <c r="E407" t="b">
        <f t="shared" ca="1" si="23"/>
        <v>0</v>
      </c>
      <c r="F407">
        <v>18300.72000000007</v>
      </c>
      <c r="G407">
        <v>0</v>
      </c>
      <c r="H407">
        <f t="shared" si="26"/>
        <v>18300.72000000007</v>
      </c>
    </row>
    <row r="408" spans="1:8">
      <c r="A408" s="1">
        <v>42880</v>
      </c>
      <c r="B408">
        <v>316.83</v>
      </c>
      <c r="C408" s="2">
        <f t="shared" ca="1" si="25"/>
        <v>315.14249999999998</v>
      </c>
      <c r="D408" s="2">
        <f t="shared" ca="1" si="24"/>
        <v>308.14333333333337</v>
      </c>
      <c r="E408" t="b">
        <f t="shared" ca="1" si="23"/>
        <v>0</v>
      </c>
      <c r="F408">
        <v>18300.72000000007</v>
      </c>
      <c r="G408">
        <v>0</v>
      </c>
      <c r="H408">
        <f t="shared" si="26"/>
        <v>18300.72000000007</v>
      </c>
    </row>
    <row r="409" spans="1:8">
      <c r="A409" s="1">
        <v>42881</v>
      </c>
      <c r="B409">
        <v>325.14</v>
      </c>
      <c r="C409" s="2">
        <f t="shared" ca="1" si="25"/>
        <v>314.77333333333331</v>
      </c>
      <c r="D409" s="2">
        <f t="shared" ca="1" si="24"/>
        <v>310.30333333333334</v>
      </c>
      <c r="E409" t="b">
        <f t="shared" ca="1" si="23"/>
        <v>0</v>
      </c>
      <c r="F409">
        <v>18300.72000000007</v>
      </c>
      <c r="G409">
        <v>0</v>
      </c>
      <c r="H409">
        <f t="shared" si="26"/>
        <v>18300.72000000007</v>
      </c>
    </row>
    <row r="410" spans="1:8">
      <c r="A410" s="1">
        <v>42885</v>
      </c>
      <c r="B410">
        <v>335.1</v>
      </c>
      <c r="C410" s="2">
        <f t="shared" ca="1" si="25"/>
        <v>314.76666666666671</v>
      </c>
      <c r="D410" s="2">
        <f t="shared" ca="1" si="24"/>
        <v>317.39666666666665</v>
      </c>
      <c r="E410" t="b">
        <f t="shared" ca="1" si="23"/>
        <v>1</v>
      </c>
      <c r="F410">
        <v>205.32000000006485</v>
      </c>
      <c r="G410">
        <v>18095.400000000001</v>
      </c>
      <c r="H410">
        <f t="shared" si="26"/>
        <v>18300.720000000067</v>
      </c>
    </row>
    <row r="411" spans="1:8">
      <c r="A411" s="1">
        <v>42886</v>
      </c>
      <c r="B411">
        <v>341.01</v>
      </c>
      <c r="C411" s="2">
        <f t="shared" ca="1" si="25"/>
        <v>315.76666666666665</v>
      </c>
      <c r="D411" s="2">
        <f t="shared" ca="1" si="24"/>
        <v>325.69</v>
      </c>
      <c r="E411" t="b">
        <f t="shared" ca="1" si="23"/>
        <v>1</v>
      </c>
      <c r="F411">
        <v>205.32000000006485</v>
      </c>
      <c r="G411">
        <v>18414.54</v>
      </c>
      <c r="H411">
        <f t="shared" si="26"/>
        <v>18619.860000000066</v>
      </c>
    </row>
    <row r="412" spans="1:8">
      <c r="A412" s="1">
        <v>42887</v>
      </c>
      <c r="B412">
        <v>340.37</v>
      </c>
      <c r="C412" s="2">
        <f t="shared" ca="1" si="25"/>
        <v>317.11666666666662</v>
      </c>
      <c r="D412" s="2">
        <f t="shared" ca="1" si="24"/>
        <v>333.75</v>
      </c>
      <c r="E412" t="b">
        <f t="shared" ca="1" si="23"/>
        <v>1</v>
      </c>
      <c r="F412">
        <v>205.32000000006485</v>
      </c>
      <c r="G412">
        <v>18379.98</v>
      </c>
      <c r="H412">
        <f t="shared" si="26"/>
        <v>18585.300000000065</v>
      </c>
    </row>
    <row r="413" spans="1:8">
      <c r="A413" s="1">
        <v>42888</v>
      </c>
      <c r="B413">
        <v>339.85</v>
      </c>
      <c r="C413" s="2">
        <f t="shared" ca="1" si="25"/>
        <v>319.15750000000003</v>
      </c>
      <c r="D413" s="2">
        <f t="shared" ca="1" si="24"/>
        <v>338.82666666666665</v>
      </c>
      <c r="E413" t="b">
        <f t="shared" ca="1" si="23"/>
        <v>1</v>
      </c>
      <c r="F413">
        <v>205.32000000006485</v>
      </c>
      <c r="G413">
        <v>18351.900000000001</v>
      </c>
      <c r="H413">
        <f t="shared" si="26"/>
        <v>18557.220000000067</v>
      </c>
    </row>
    <row r="414" spans="1:8">
      <c r="A414" s="1">
        <v>42891</v>
      </c>
      <c r="B414">
        <v>347.32</v>
      </c>
      <c r="C414" s="2">
        <f t="shared" ca="1" si="25"/>
        <v>321.06083333333333</v>
      </c>
      <c r="D414" s="2">
        <f t="shared" ca="1" si="24"/>
        <v>340.41</v>
      </c>
      <c r="E414" t="b">
        <f t="shared" ca="1" si="23"/>
        <v>1</v>
      </c>
      <c r="F414">
        <v>205.32000000006485</v>
      </c>
      <c r="G414">
        <v>18755.28</v>
      </c>
      <c r="H414">
        <f t="shared" si="26"/>
        <v>18960.600000000064</v>
      </c>
    </row>
    <row r="415" spans="1:8">
      <c r="A415" s="1">
        <v>42892</v>
      </c>
      <c r="B415">
        <v>352.85</v>
      </c>
      <c r="C415" s="2">
        <f t="shared" ca="1" si="25"/>
        <v>324.49499999999995</v>
      </c>
      <c r="D415" s="2">
        <f t="shared" ca="1" si="24"/>
        <v>342.51333333333332</v>
      </c>
      <c r="E415" t="b">
        <f t="shared" ca="1" si="23"/>
        <v>1</v>
      </c>
      <c r="F415">
        <v>205.32000000006485</v>
      </c>
      <c r="G415">
        <v>19053.900000000001</v>
      </c>
      <c r="H415">
        <f t="shared" si="26"/>
        <v>19259.220000000067</v>
      </c>
    </row>
    <row r="416" spans="1:8">
      <c r="A416" s="1">
        <v>42893</v>
      </c>
      <c r="B416">
        <v>359.65</v>
      </c>
      <c r="C416" s="2">
        <f t="shared" ca="1" si="25"/>
        <v>327.81083333333333</v>
      </c>
      <c r="D416" s="2">
        <f t="shared" ca="1" si="24"/>
        <v>346.67333333333335</v>
      </c>
      <c r="E416" t="b">
        <f t="shared" ca="1" si="23"/>
        <v>1</v>
      </c>
      <c r="F416">
        <v>205.32000000006485</v>
      </c>
      <c r="G416">
        <v>19421.099999999999</v>
      </c>
      <c r="H416">
        <f t="shared" si="26"/>
        <v>19626.420000000064</v>
      </c>
    </row>
    <row r="417" spans="1:8">
      <c r="A417" s="1">
        <v>42894</v>
      </c>
      <c r="B417">
        <v>370</v>
      </c>
      <c r="C417" s="2">
        <f t="shared" ca="1" si="25"/>
        <v>331.87916666666666</v>
      </c>
      <c r="D417" s="2">
        <f t="shared" ca="1" si="24"/>
        <v>353.27333333333337</v>
      </c>
      <c r="E417" t="b">
        <f t="shared" ca="1" si="23"/>
        <v>1</v>
      </c>
      <c r="F417">
        <v>205.32000000006485</v>
      </c>
      <c r="G417">
        <v>19980</v>
      </c>
      <c r="H417">
        <f t="shared" si="26"/>
        <v>20185.320000000065</v>
      </c>
    </row>
    <row r="418" spans="1:8">
      <c r="A418" s="1">
        <v>42895</v>
      </c>
      <c r="B418">
        <v>357.32</v>
      </c>
      <c r="C418" s="2">
        <f t="shared" ca="1" si="25"/>
        <v>336.85</v>
      </c>
      <c r="D418" s="2">
        <f t="shared" ca="1" si="24"/>
        <v>360.83333333333331</v>
      </c>
      <c r="E418" t="b">
        <f t="shared" ca="1" si="23"/>
        <v>1</v>
      </c>
      <c r="F418">
        <v>205.32000000006485</v>
      </c>
      <c r="G418">
        <v>19295.28</v>
      </c>
      <c r="H418">
        <f t="shared" si="26"/>
        <v>19500.600000000064</v>
      </c>
    </row>
    <row r="419" spans="1:8">
      <c r="A419" s="1">
        <v>42898</v>
      </c>
      <c r="B419">
        <v>359.01</v>
      </c>
      <c r="C419" s="2">
        <f t="shared" ca="1" si="25"/>
        <v>341.30500000000001</v>
      </c>
      <c r="D419" s="2">
        <f t="shared" ca="1" si="24"/>
        <v>362.32333333333332</v>
      </c>
      <c r="E419" t="b">
        <f t="shared" ca="1" si="23"/>
        <v>1</v>
      </c>
      <c r="F419">
        <v>205.32000000006485</v>
      </c>
      <c r="G419">
        <v>19386.54</v>
      </c>
      <c r="H419">
        <f t="shared" si="26"/>
        <v>19591.860000000066</v>
      </c>
    </row>
    <row r="420" spans="1:8">
      <c r="A420" s="1">
        <v>42899</v>
      </c>
      <c r="B420">
        <v>375.95</v>
      </c>
      <c r="C420" s="2">
        <f t="shared" ca="1" si="25"/>
        <v>345.37083333333334</v>
      </c>
      <c r="D420" s="2">
        <f t="shared" ca="1" si="24"/>
        <v>362.10999999999996</v>
      </c>
      <c r="E420" t="b">
        <f t="shared" ca="1" si="23"/>
        <v>1</v>
      </c>
      <c r="F420">
        <v>205.32000000006485</v>
      </c>
      <c r="G420">
        <v>20301.3</v>
      </c>
      <c r="H420">
        <f t="shared" si="26"/>
        <v>20506.620000000064</v>
      </c>
    </row>
    <row r="421" spans="1:8">
      <c r="A421" s="1">
        <v>42900</v>
      </c>
      <c r="B421">
        <v>380.66</v>
      </c>
      <c r="C421" s="2">
        <f t="shared" ca="1" si="25"/>
        <v>350.29749999999996</v>
      </c>
      <c r="D421" s="2">
        <f t="shared" ca="1" si="24"/>
        <v>364.09333333333331</v>
      </c>
      <c r="E421" t="b">
        <f t="shared" ca="1" si="23"/>
        <v>1</v>
      </c>
      <c r="F421">
        <v>205.32000000006485</v>
      </c>
      <c r="G421">
        <v>20555.640000000003</v>
      </c>
      <c r="H421">
        <f t="shared" si="26"/>
        <v>20760.960000000068</v>
      </c>
    </row>
    <row r="422" spans="1:8">
      <c r="A422" s="1">
        <v>42901</v>
      </c>
      <c r="B422">
        <v>375.34</v>
      </c>
      <c r="C422" s="2">
        <f t="shared" ca="1" si="25"/>
        <v>354.92416666666668</v>
      </c>
      <c r="D422" s="2">
        <f t="shared" ca="1" si="24"/>
        <v>371.87333333333339</v>
      </c>
      <c r="E422" t="b">
        <f t="shared" ca="1" si="23"/>
        <v>1</v>
      </c>
      <c r="F422">
        <v>205.32000000006485</v>
      </c>
      <c r="G422">
        <v>20268.359999999997</v>
      </c>
      <c r="H422">
        <f t="shared" si="26"/>
        <v>20473.680000000062</v>
      </c>
    </row>
    <row r="423" spans="1:8">
      <c r="A423" s="1">
        <v>42902</v>
      </c>
      <c r="B423">
        <v>371.4</v>
      </c>
      <c r="C423" s="2">
        <f t="shared" ca="1" si="25"/>
        <v>358.27749999999997</v>
      </c>
      <c r="D423" s="2">
        <f t="shared" ca="1" si="24"/>
        <v>377.31666666666666</v>
      </c>
      <c r="E423" t="b">
        <f t="shared" ca="1" si="23"/>
        <v>1</v>
      </c>
      <c r="F423">
        <v>205.32000000006485</v>
      </c>
      <c r="G423">
        <v>20055.599999999999</v>
      </c>
      <c r="H423">
        <f t="shared" si="26"/>
        <v>20260.920000000064</v>
      </c>
    </row>
    <row r="424" spans="1:8">
      <c r="A424" s="1">
        <v>42905</v>
      </c>
      <c r="B424">
        <v>369.8</v>
      </c>
      <c r="C424" s="2">
        <f t="shared" ca="1" si="25"/>
        <v>360.80999999999995</v>
      </c>
      <c r="D424" s="2">
        <f t="shared" ca="1" si="24"/>
        <v>375.8</v>
      </c>
      <c r="E424" t="b">
        <f t="shared" ca="1" si="23"/>
        <v>1</v>
      </c>
      <c r="F424">
        <v>205.32000000006485</v>
      </c>
      <c r="G424">
        <v>19969.2</v>
      </c>
      <c r="H424">
        <f t="shared" si="26"/>
        <v>20174.520000000066</v>
      </c>
    </row>
    <row r="425" spans="1:8">
      <c r="A425" s="1">
        <v>42906</v>
      </c>
      <c r="B425">
        <v>372.24</v>
      </c>
      <c r="C425" s="2">
        <f t="shared" ca="1" si="25"/>
        <v>363.26249999999999</v>
      </c>
      <c r="D425" s="2">
        <f t="shared" ca="1" si="24"/>
        <v>372.18</v>
      </c>
      <c r="E425" t="b">
        <f t="shared" ca="1" si="23"/>
        <v>1</v>
      </c>
      <c r="F425">
        <v>205.32000000006485</v>
      </c>
      <c r="G425">
        <v>20100.96</v>
      </c>
      <c r="H425">
        <f t="shared" si="26"/>
        <v>20306.280000000064</v>
      </c>
    </row>
    <row r="426" spans="1:8">
      <c r="A426" s="1">
        <v>42907</v>
      </c>
      <c r="B426">
        <v>376.4</v>
      </c>
      <c r="C426" s="2">
        <f t="shared" ca="1" si="25"/>
        <v>365.96166666666664</v>
      </c>
      <c r="D426" s="2">
        <f t="shared" ca="1" si="24"/>
        <v>371.1466666666667</v>
      </c>
      <c r="E426" t="b">
        <f t="shared" ca="1" si="23"/>
        <v>1</v>
      </c>
      <c r="F426">
        <v>205.32000000006485</v>
      </c>
      <c r="G426">
        <v>20325.599999999999</v>
      </c>
      <c r="H426">
        <f t="shared" si="26"/>
        <v>20530.920000000064</v>
      </c>
    </row>
    <row r="427" spans="1:8">
      <c r="A427" s="1">
        <v>42908</v>
      </c>
      <c r="B427">
        <v>382.61</v>
      </c>
      <c r="C427" s="2">
        <f t="shared" ca="1" si="25"/>
        <v>368.38499999999999</v>
      </c>
      <c r="D427" s="2">
        <f t="shared" ca="1" si="24"/>
        <v>372.81333333333333</v>
      </c>
      <c r="E427" t="b">
        <f t="shared" ca="1" si="23"/>
        <v>1</v>
      </c>
      <c r="F427">
        <v>205.32000000006485</v>
      </c>
      <c r="G427">
        <v>20660.940000000002</v>
      </c>
      <c r="H427">
        <f t="shared" si="26"/>
        <v>20866.260000000068</v>
      </c>
    </row>
    <row r="428" spans="1:8">
      <c r="A428" s="1">
        <v>42909</v>
      </c>
      <c r="B428">
        <v>383.45</v>
      </c>
      <c r="C428" s="2">
        <f t="shared" ca="1" si="25"/>
        <v>370.86500000000007</v>
      </c>
      <c r="D428" s="2">
        <f t="shared" ca="1" si="24"/>
        <v>377.08333333333331</v>
      </c>
      <c r="E428" t="b">
        <f t="shared" ca="1" si="23"/>
        <v>1</v>
      </c>
      <c r="F428">
        <v>205.32000000006485</v>
      </c>
      <c r="G428">
        <v>20706.3</v>
      </c>
      <c r="H428">
        <f t="shared" si="26"/>
        <v>20911.620000000064</v>
      </c>
    </row>
    <row r="429" spans="1:8">
      <c r="A429" s="1">
        <v>42912</v>
      </c>
      <c r="B429">
        <v>377.49</v>
      </c>
      <c r="C429" s="2">
        <f t="shared" ca="1" si="25"/>
        <v>372.84833333333336</v>
      </c>
      <c r="D429" s="2">
        <f t="shared" ca="1" si="24"/>
        <v>380.82</v>
      </c>
      <c r="E429" t="b">
        <f t="shared" ca="1" si="23"/>
        <v>1</v>
      </c>
      <c r="F429">
        <v>205.32000000006485</v>
      </c>
      <c r="G429">
        <v>20384.46</v>
      </c>
      <c r="H429">
        <f t="shared" si="26"/>
        <v>20589.780000000064</v>
      </c>
    </row>
    <row r="430" spans="1:8">
      <c r="A430" s="1">
        <v>42913</v>
      </c>
      <c r="B430">
        <v>362.37</v>
      </c>
      <c r="C430" s="2">
        <f t="shared" ca="1" si="25"/>
        <v>373.47250000000003</v>
      </c>
      <c r="D430" s="2">
        <f t="shared" ca="1" si="24"/>
        <v>381.18333333333334</v>
      </c>
      <c r="E430" t="b">
        <f t="shared" ca="1" si="23"/>
        <v>1</v>
      </c>
      <c r="F430">
        <v>205.32000000006485</v>
      </c>
      <c r="G430">
        <v>19567.98</v>
      </c>
      <c r="H430">
        <f t="shared" si="26"/>
        <v>19773.300000000065</v>
      </c>
    </row>
    <row r="431" spans="1:8">
      <c r="A431" s="1">
        <v>42914</v>
      </c>
      <c r="B431">
        <v>371.24</v>
      </c>
      <c r="C431" s="2">
        <f t="shared" ca="1" si="25"/>
        <v>373.89333333333337</v>
      </c>
      <c r="D431" s="2">
        <f t="shared" ca="1" si="24"/>
        <v>374.43666666666667</v>
      </c>
      <c r="E431" t="b">
        <f t="shared" ca="1" si="23"/>
        <v>1</v>
      </c>
      <c r="F431">
        <v>205.32000000006485</v>
      </c>
      <c r="G431">
        <v>20046.96</v>
      </c>
      <c r="H431">
        <f t="shared" si="26"/>
        <v>20252.280000000064</v>
      </c>
    </row>
    <row r="432" spans="1:8">
      <c r="A432" s="1">
        <v>42915</v>
      </c>
      <c r="B432">
        <v>360.75</v>
      </c>
      <c r="C432" s="2">
        <f t="shared" ca="1" si="25"/>
        <v>374.91249999999997</v>
      </c>
      <c r="D432" s="2">
        <f t="shared" ca="1" si="24"/>
        <v>370.36666666666662</v>
      </c>
      <c r="E432" t="b">
        <f t="shared" ca="1" si="23"/>
        <v>0</v>
      </c>
      <c r="F432">
        <v>19685.820000000065</v>
      </c>
      <c r="G432">
        <v>0</v>
      </c>
      <c r="H432">
        <f t="shared" si="26"/>
        <v>19685.820000000065</v>
      </c>
    </row>
    <row r="433" spans="1:8">
      <c r="A433" s="1">
        <v>42916</v>
      </c>
      <c r="B433">
        <v>361.61</v>
      </c>
      <c r="C433" s="2">
        <f t="shared" ca="1" si="25"/>
        <v>373.64583333333331</v>
      </c>
      <c r="D433" s="2">
        <f t="shared" ca="1" si="24"/>
        <v>364.78666666666669</v>
      </c>
      <c r="E433" t="b">
        <f t="shared" ca="1" si="23"/>
        <v>0</v>
      </c>
      <c r="F433">
        <v>19685.820000000065</v>
      </c>
      <c r="G433">
        <v>0</v>
      </c>
      <c r="H433">
        <f t="shared" si="26"/>
        <v>19685.820000000065</v>
      </c>
    </row>
    <row r="434" spans="1:8">
      <c r="A434" s="1">
        <v>42919</v>
      </c>
      <c r="B434">
        <v>352.62</v>
      </c>
      <c r="C434" s="2">
        <f t="shared" ca="1" si="25"/>
        <v>372.05833333333322</v>
      </c>
      <c r="D434" s="2">
        <f t="shared" ca="1" si="24"/>
        <v>364.5333333333333</v>
      </c>
      <c r="E434" t="b">
        <f t="shared" ca="1" si="23"/>
        <v>0</v>
      </c>
      <c r="F434">
        <v>19685.820000000065</v>
      </c>
      <c r="G434">
        <v>0</v>
      </c>
      <c r="H434">
        <f t="shared" si="26"/>
        <v>19685.820000000065</v>
      </c>
    </row>
    <row r="435" spans="1:8">
      <c r="A435" s="1">
        <v>42921</v>
      </c>
      <c r="B435">
        <v>327.08999999999997</v>
      </c>
      <c r="C435" s="2">
        <f t="shared" ca="1" si="25"/>
        <v>370.16500000000002</v>
      </c>
      <c r="D435" s="2">
        <f t="shared" ca="1" si="24"/>
        <v>358.32666666666665</v>
      </c>
      <c r="E435" t="b">
        <f t="shared" ca="1" si="23"/>
        <v>0</v>
      </c>
      <c r="F435">
        <v>19685.820000000065</v>
      </c>
      <c r="G435">
        <v>0</v>
      </c>
      <c r="H435">
        <f t="shared" si="26"/>
        <v>19685.820000000065</v>
      </c>
    </row>
    <row r="436" spans="1:8">
      <c r="A436" s="1">
        <v>42922</v>
      </c>
      <c r="B436">
        <v>308.83</v>
      </c>
      <c r="C436" s="2">
        <f t="shared" ca="1" si="25"/>
        <v>366.47250000000003</v>
      </c>
      <c r="D436" s="2">
        <f t="shared" ca="1" si="24"/>
        <v>347.10666666666663</v>
      </c>
      <c r="E436" t="b">
        <f t="shared" ref="E436:E499" ca="1" si="27">D436&gt;C436</f>
        <v>0</v>
      </c>
      <c r="F436">
        <v>19685.820000000065</v>
      </c>
      <c r="G436">
        <v>0</v>
      </c>
      <c r="H436">
        <f t="shared" si="26"/>
        <v>19685.820000000065</v>
      </c>
    </row>
    <row r="437" spans="1:8">
      <c r="A437" s="1">
        <v>42923</v>
      </c>
      <c r="B437">
        <v>313.22000000000003</v>
      </c>
      <c r="C437" s="2">
        <f t="shared" ca="1" si="25"/>
        <v>361.39166666666671</v>
      </c>
      <c r="D437" s="2">
        <f t="shared" ca="1" si="24"/>
        <v>329.51333333333332</v>
      </c>
      <c r="E437" t="b">
        <f t="shared" ca="1" si="27"/>
        <v>0</v>
      </c>
      <c r="F437">
        <v>19685.820000000065</v>
      </c>
      <c r="G437">
        <v>0</v>
      </c>
      <c r="H437">
        <f t="shared" si="26"/>
        <v>19685.820000000065</v>
      </c>
    </row>
    <row r="438" spans="1:8">
      <c r="A438" s="1">
        <v>42926</v>
      </c>
      <c r="B438">
        <v>316.05</v>
      </c>
      <c r="C438" s="2">
        <f t="shared" ca="1" si="25"/>
        <v>356.47333333333336</v>
      </c>
      <c r="D438" s="2">
        <f t="shared" ca="1" si="24"/>
        <v>316.38</v>
      </c>
      <c r="E438" t="b">
        <f t="shared" ca="1" si="27"/>
        <v>0</v>
      </c>
      <c r="F438">
        <v>19685.820000000065</v>
      </c>
      <c r="G438">
        <v>0</v>
      </c>
      <c r="H438">
        <f t="shared" si="26"/>
        <v>19685.820000000065</v>
      </c>
    </row>
    <row r="439" spans="1:8">
      <c r="A439" s="1">
        <v>42927</v>
      </c>
      <c r="B439">
        <v>327.22000000000003</v>
      </c>
      <c r="C439" s="2">
        <f t="shared" ca="1" si="25"/>
        <v>351.44416666666666</v>
      </c>
      <c r="D439" s="2">
        <f t="shared" ca="1" si="24"/>
        <v>312.7</v>
      </c>
      <c r="E439" t="b">
        <f t="shared" ca="1" si="27"/>
        <v>0</v>
      </c>
      <c r="F439">
        <v>19685.820000000065</v>
      </c>
      <c r="G439">
        <v>0</v>
      </c>
      <c r="H439">
        <f t="shared" si="26"/>
        <v>19685.820000000065</v>
      </c>
    </row>
    <row r="440" spans="1:8">
      <c r="A440" s="1">
        <v>42928</v>
      </c>
      <c r="B440">
        <v>329.52</v>
      </c>
      <c r="C440" s="2">
        <f t="shared" ca="1" si="25"/>
        <v>346.82833333333338</v>
      </c>
      <c r="D440" s="2">
        <f t="shared" ca="1" si="24"/>
        <v>318.83</v>
      </c>
      <c r="E440" t="b">
        <f t="shared" ca="1" si="27"/>
        <v>0</v>
      </c>
      <c r="F440">
        <v>19685.820000000065</v>
      </c>
      <c r="G440">
        <v>0</v>
      </c>
      <c r="H440">
        <f t="shared" si="26"/>
        <v>19685.820000000065</v>
      </c>
    </row>
    <row r="441" spans="1:8">
      <c r="A441" s="1">
        <v>42929</v>
      </c>
      <c r="B441">
        <v>323.41000000000003</v>
      </c>
      <c r="C441" s="2">
        <f t="shared" ca="1" si="25"/>
        <v>342.3341666666667</v>
      </c>
      <c r="D441" s="2">
        <f t="shared" ca="1" si="24"/>
        <v>324.26333333333332</v>
      </c>
      <c r="E441" t="b">
        <f t="shared" ca="1" si="27"/>
        <v>0</v>
      </c>
      <c r="F441">
        <v>19685.820000000065</v>
      </c>
      <c r="G441">
        <v>0</v>
      </c>
      <c r="H441">
        <f t="shared" si="26"/>
        <v>19685.820000000065</v>
      </c>
    </row>
    <row r="442" spans="1:8">
      <c r="A442" s="1">
        <v>42930</v>
      </c>
      <c r="B442">
        <v>327.78</v>
      </c>
      <c r="C442" s="2">
        <f t="shared" ca="1" si="25"/>
        <v>337.82750000000004</v>
      </c>
      <c r="D442" s="2">
        <f t="shared" ca="1" si="24"/>
        <v>326.7166666666667</v>
      </c>
      <c r="E442" t="b">
        <f t="shared" ca="1" si="27"/>
        <v>0</v>
      </c>
      <c r="F442">
        <v>19685.820000000065</v>
      </c>
      <c r="G442">
        <v>0</v>
      </c>
      <c r="H442">
        <f t="shared" si="26"/>
        <v>19685.820000000065</v>
      </c>
    </row>
    <row r="443" spans="1:8">
      <c r="A443" s="1">
        <v>42933</v>
      </c>
      <c r="B443">
        <v>319.57</v>
      </c>
      <c r="C443" s="2">
        <f t="shared" ca="1" si="25"/>
        <v>334.94499999999999</v>
      </c>
      <c r="D443" s="2">
        <f t="shared" ca="1" si="24"/>
        <v>326.90333333333336</v>
      </c>
      <c r="E443" t="b">
        <f t="shared" ca="1" si="27"/>
        <v>0</v>
      </c>
      <c r="F443">
        <v>19685.820000000065</v>
      </c>
      <c r="G443">
        <v>0</v>
      </c>
      <c r="H443">
        <f t="shared" si="26"/>
        <v>19685.820000000065</v>
      </c>
    </row>
    <row r="444" spans="1:8">
      <c r="A444" s="1">
        <v>42934</v>
      </c>
      <c r="B444">
        <v>328.24</v>
      </c>
      <c r="C444" s="2">
        <f t="shared" ca="1" si="25"/>
        <v>330.63916666666671</v>
      </c>
      <c r="D444" s="2">
        <f t="shared" ca="1" si="24"/>
        <v>323.58666666666664</v>
      </c>
      <c r="E444" t="b">
        <f t="shared" ca="1" si="27"/>
        <v>0</v>
      </c>
      <c r="F444">
        <v>19685.820000000065</v>
      </c>
      <c r="G444">
        <v>0</v>
      </c>
      <c r="H444">
        <f t="shared" si="26"/>
        <v>19685.820000000065</v>
      </c>
    </row>
    <row r="445" spans="1:8">
      <c r="A445" s="1">
        <v>42935</v>
      </c>
      <c r="B445">
        <v>325.26</v>
      </c>
      <c r="C445" s="2">
        <f t="shared" ca="1" si="25"/>
        <v>327.93</v>
      </c>
      <c r="D445" s="2">
        <f t="shared" ca="1" si="24"/>
        <v>325.19666666666666</v>
      </c>
      <c r="E445" t="b">
        <f t="shared" ca="1" si="27"/>
        <v>0</v>
      </c>
      <c r="F445">
        <v>19685.820000000065</v>
      </c>
      <c r="G445">
        <v>0</v>
      </c>
      <c r="H445">
        <f t="shared" si="26"/>
        <v>19685.820000000065</v>
      </c>
    </row>
    <row r="446" spans="1:8">
      <c r="A446" s="1">
        <v>42936</v>
      </c>
      <c r="B446">
        <v>329.92</v>
      </c>
      <c r="C446" s="2">
        <f t="shared" ca="1" si="25"/>
        <v>324.90083333333337</v>
      </c>
      <c r="D446" s="2">
        <f t="shared" ca="1" si="24"/>
        <v>324.35666666666663</v>
      </c>
      <c r="E446" t="b">
        <f t="shared" ca="1" si="27"/>
        <v>0</v>
      </c>
      <c r="F446">
        <v>19685.820000000065</v>
      </c>
      <c r="G446">
        <v>0</v>
      </c>
      <c r="H446">
        <f t="shared" si="26"/>
        <v>19685.820000000065</v>
      </c>
    </row>
    <row r="447" spans="1:8">
      <c r="A447" s="1">
        <v>42937</v>
      </c>
      <c r="B447">
        <v>328.4</v>
      </c>
      <c r="C447" s="2">
        <f t="shared" ca="1" si="25"/>
        <v>323.00916666666672</v>
      </c>
      <c r="D447" s="2">
        <f t="shared" ca="1" si="24"/>
        <v>327.80666666666667</v>
      </c>
      <c r="E447" t="b">
        <f t="shared" ca="1" si="27"/>
        <v>1</v>
      </c>
      <c r="F447">
        <v>310.22000000006335</v>
      </c>
      <c r="G447">
        <v>19375.599999999999</v>
      </c>
      <c r="H447">
        <f t="shared" si="26"/>
        <v>19685.820000000062</v>
      </c>
    </row>
    <row r="448" spans="1:8">
      <c r="A448" s="1">
        <v>42940</v>
      </c>
      <c r="B448">
        <v>342.52</v>
      </c>
      <c r="C448" s="2">
        <f t="shared" ca="1" si="25"/>
        <v>323.1183333333334</v>
      </c>
      <c r="D448" s="2">
        <f t="shared" ca="1" si="24"/>
        <v>327.86</v>
      </c>
      <c r="E448" t="b">
        <f t="shared" ca="1" si="27"/>
        <v>1</v>
      </c>
      <c r="F448">
        <v>310.22000000006335</v>
      </c>
      <c r="G448">
        <v>20208.68</v>
      </c>
      <c r="H448">
        <f t="shared" si="26"/>
        <v>20518.900000000063</v>
      </c>
    </row>
    <row r="449" spans="1:8">
      <c r="A449" s="1">
        <v>42941</v>
      </c>
      <c r="B449">
        <v>339.6</v>
      </c>
      <c r="C449" s="2">
        <f t="shared" ca="1" si="25"/>
        <v>325.9258333333334</v>
      </c>
      <c r="D449" s="2">
        <f t="shared" ca="1" si="24"/>
        <v>333.61333333333329</v>
      </c>
      <c r="E449" t="b">
        <f t="shared" ca="1" si="27"/>
        <v>1</v>
      </c>
      <c r="F449">
        <v>310.22000000006335</v>
      </c>
      <c r="G449">
        <v>20036.400000000001</v>
      </c>
      <c r="H449">
        <f t="shared" si="26"/>
        <v>20346.620000000064</v>
      </c>
    </row>
    <row r="450" spans="1:8">
      <c r="A450" s="1">
        <v>42942</v>
      </c>
      <c r="B450">
        <v>343.85</v>
      </c>
      <c r="C450" s="2">
        <f t="shared" ca="1" si="25"/>
        <v>328.12416666666667</v>
      </c>
      <c r="D450" s="2">
        <f t="shared" ca="1" si="24"/>
        <v>336.84</v>
      </c>
      <c r="E450" t="b">
        <f t="shared" ca="1" si="27"/>
        <v>1</v>
      </c>
      <c r="F450">
        <v>310.22000000006335</v>
      </c>
      <c r="G450">
        <v>20287.150000000001</v>
      </c>
      <c r="H450">
        <f t="shared" si="26"/>
        <v>20597.370000000064</v>
      </c>
    </row>
    <row r="451" spans="1:8">
      <c r="A451" s="1">
        <v>42943</v>
      </c>
      <c r="B451">
        <v>334.46</v>
      </c>
      <c r="C451" s="2">
        <f t="shared" ca="1" si="25"/>
        <v>330.44083333333333</v>
      </c>
      <c r="D451" s="2">
        <f t="shared" ca="1" si="24"/>
        <v>341.99</v>
      </c>
      <c r="E451" t="b">
        <f t="shared" ca="1" si="27"/>
        <v>1</v>
      </c>
      <c r="F451">
        <v>310.22000000006335</v>
      </c>
      <c r="G451">
        <v>19733.14</v>
      </c>
      <c r="H451">
        <f t="shared" si="26"/>
        <v>20043.360000000062</v>
      </c>
    </row>
    <row r="452" spans="1:8">
      <c r="A452" s="1">
        <v>42944</v>
      </c>
      <c r="B452">
        <v>335.07</v>
      </c>
      <c r="C452" s="2">
        <f t="shared" ca="1" si="25"/>
        <v>331.04416666666663</v>
      </c>
      <c r="D452" s="2">
        <f t="shared" ca="1" si="24"/>
        <v>339.30333333333334</v>
      </c>
      <c r="E452" t="b">
        <f t="shared" ca="1" si="27"/>
        <v>1</v>
      </c>
      <c r="F452">
        <v>310.22000000006335</v>
      </c>
      <c r="G452">
        <v>19769.13</v>
      </c>
      <c r="H452">
        <f t="shared" si="26"/>
        <v>20079.350000000064</v>
      </c>
    </row>
    <row r="453" spans="1:8">
      <c r="A453" s="1">
        <v>42947</v>
      </c>
      <c r="B453">
        <v>323.47000000000003</v>
      </c>
      <c r="C453" s="2">
        <f t="shared" ca="1" si="25"/>
        <v>331.50666666666666</v>
      </c>
      <c r="D453" s="2">
        <f t="shared" ref="D453:D516" ca="1" si="28">AVERAGE(INDIRECT(ADDRESS(ROW()-$D$1,COLUMN()-2)&amp;":"&amp;ADDRESS(ROW()-1,COLUMN()-2)))</f>
        <v>337.79333333333329</v>
      </c>
      <c r="E453" t="b">
        <f t="shared" ca="1" si="27"/>
        <v>1</v>
      </c>
      <c r="F453">
        <v>310.22000000006335</v>
      </c>
      <c r="G453">
        <v>19084.730000000003</v>
      </c>
      <c r="H453">
        <f t="shared" si="26"/>
        <v>19394.950000000066</v>
      </c>
    </row>
    <row r="454" spans="1:8">
      <c r="A454" s="1">
        <v>42948</v>
      </c>
      <c r="B454">
        <v>319.57</v>
      </c>
      <c r="C454" s="2">
        <f t="shared" ca="1" si="25"/>
        <v>331.51166666666671</v>
      </c>
      <c r="D454" s="2">
        <f t="shared" ca="1" si="28"/>
        <v>331</v>
      </c>
      <c r="E454" t="b">
        <f t="shared" ca="1" si="27"/>
        <v>0</v>
      </c>
      <c r="F454">
        <v>19164.850000000064</v>
      </c>
      <c r="G454">
        <v>0</v>
      </c>
      <c r="H454">
        <f t="shared" si="26"/>
        <v>19164.850000000064</v>
      </c>
    </row>
    <row r="455" spans="1:8">
      <c r="A455" s="1">
        <v>42949</v>
      </c>
      <c r="B455">
        <v>325.89</v>
      </c>
      <c r="C455" s="2">
        <f t="shared" ca="1" si="25"/>
        <v>330.82749999999999</v>
      </c>
      <c r="D455" s="2">
        <f t="shared" ca="1" si="28"/>
        <v>326.03666666666663</v>
      </c>
      <c r="E455" t="b">
        <f t="shared" ca="1" si="27"/>
        <v>0</v>
      </c>
      <c r="F455">
        <v>19164.850000000064</v>
      </c>
      <c r="G455">
        <v>0</v>
      </c>
      <c r="H455">
        <f t="shared" si="26"/>
        <v>19164.850000000064</v>
      </c>
    </row>
    <row r="456" spans="1:8">
      <c r="A456" s="1">
        <v>42950</v>
      </c>
      <c r="B456">
        <v>347.09</v>
      </c>
      <c r="C456" s="2">
        <f t="shared" ca="1" si="25"/>
        <v>331.35416666666669</v>
      </c>
      <c r="D456" s="2">
        <f t="shared" ca="1" si="28"/>
        <v>322.97666666666663</v>
      </c>
      <c r="E456" t="b">
        <f t="shared" ca="1" si="27"/>
        <v>0</v>
      </c>
      <c r="F456">
        <v>19164.850000000064</v>
      </c>
      <c r="G456">
        <v>0</v>
      </c>
      <c r="H456">
        <f t="shared" si="26"/>
        <v>19164.850000000064</v>
      </c>
    </row>
    <row r="457" spans="1:8">
      <c r="A457" s="1">
        <v>42951</v>
      </c>
      <c r="B457">
        <v>356.91</v>
      </c>
      <c r="C457" s="2">
        <f t="shared" ca="1" si="25"/>
        <v>332.92500000000001</v>
      </c>
      <c r="D457" s="2">
        <f t="shared" ca="1" si="28"/>
        <v>330.84999999999997</v>
      </c>
      <c r="E457" t="b">
        <f t="shared" ca="1" si="27"/>
        <v>0</v>
      </c>
      <c r="F457">
        <v>19164.850000000064</v>
      </c>
      <c r="G457">
        <v>0</v>
      </c>
      <c r="H457">
        <f t="shared" si="26"/>
        <v>19164.850000000064</v>
      </c>
    </row>
    <row r="458" spans="1:8">
      <c r="A458" s="1">
        <v>42954</v>
      </c>
      <c r="B458">
        <v>355.17</v>
      </c>
      <c r="C458" s="2">
        <f t="shared" ca="1" si="25"/>
        <v>335.5625</v>
      </c>
      <c r="D458" s="2">
        <f t="shared" ca="1" si="28"/>
        <v>343.29666666666668</v>
      </c>
      <c r="E458" t="b">
        <f t="shared" ca="1" si="27"/>
        <v>1</v>
      </c>
      <c r="F458">
        <v>340.84000000007296</v>
      </c>
      <c r="G458">
        <v>18824.010000000002</v>
      </c>
      <c r="H458">
        <f t="shared" si="26"/>
        <v>19164.850000000075</v>
      </c>
    </row>
    <row r="459" spans="1:8">
      <c r="A459" s="1">
        <v>42955</v>
      </c>
      <c r="B459">
        <v>365.22</v>
      </c>
      <c r="C459" s="2">
        <f t="shared" ca="1" si="25"/>
        <v>337.66666666666669</v>
      </c>
      <c r="D459" s="2">
        <f t="shared" ca="1" si="28"/>
        <v>353.05666666666667</v>
      </c>
      <c r="E459" t="b">
        <f t="shared" ca="1" si="27"/>
        <v>1</v>
      </c>
      <c r="F459">
        <v>340.84000000007296</v>
      </c>
      <c r="G459">
        <v>19356.66</v>
      </c>
      <c r="H459">
        <f t="shared" si="26"/>
        <v>19697.500000000073</v>
      </c>
    </row>
    <row r="460" spans="1:8">
      <c r="A460" s="1">
        <v>42956</v>
      </c>
      <c r="B460">
        <v>363.53</v>
      </c>
      <c r="C460" s="2">
        <f t="shared" ca="1" si="25"/>
        <v>340.73499999999996</v>
      </c>
      <c r="D460" s="2">
        <f t="shared" ca="1" si="28"/>
        <v>359.10000000000008</v>
      </c>
      <c r="E460" t="b">
        <f t="shared" ca="1" si="27"/>
        <v>1</v>
      </c>
      <c r="F460">
        <v>340.84000000007296</v>
      </c>
      <c r="G460">
        <v>19267.09</v>
      </c>
      <c r="H460">
        <f t="shared" si="26"/>
        <v>19607.930000000073</v>
      </c>
    </row>
    <row r="461" spans="1:8">
      <c r="A461" s="1">
        <v>42957</v>
      </c>
      <c r="B461">
        <v>355.4</v>
      </c>
      <c r="C461" s="2">
        <f t="shared" ca="1" si="25"/>
        <v>342.48583333333335</v>
      </c>
      <c r="D461" s="2">
        <f t="shared" ca="1" si="28"/>
        <v>361.30666666666667</v>
      </c>
      <c r="E461" t="b">
        <f t="shared" ca="1" si="27"/>
        <v>1</v>
      </c>
      <c r="F461">
        <v>340.84000000007296</v>
      </c>
      <c r="G461">
        <v>18836.199999999997</v>
      </c>
      <c r="H461">
        <f t="shared" si="26"/>
        <v>19177.04000000007</v>
      </c>
    </row>
    <row r="462" spans="1:8">
      <c r="A462" s="1">
        <v>42958</v>
      </c>
      <c r="B462">
        <v>357.87</v>
      </c>
      <c r="C462" s="2">
        <f t="shared" ca="1" si="25"/>
        <v>343.80249999999995</v>
      </c>
      <c r="D462" s="2">
        <f t="shared" ca="1" si="28"/>
        <v>361.38333333333338</v>
      </c>
      <c r="E462" t="b">
        <f t="shared" ca="1" si="27"/>
        <v>1</v>
      </c>
      <c r="F462">
        <v>340.84000000007296</v>
      </c>
      <c r="G462">
        <v>18967.11</v>
      </c>
      <c r="H462">
        <f t="shared" si="26"/>
        <v>19307.950000000073</v>
      </c>
    </row>
    <row r="463" spans="1:8">
      <c r="A463" s="1">
        <v>42961</v>
      </c>
      <c r="B463">
        <v>363.8</v>
      </c>
      <c r="C463" s="2">
        <f t="shared" ca="1" si="25"/>
        <v>344.97083333333336</v>
      </c>
      <c r="D463" s="2">
        <f t="shared" ca="1" si="28"/>
        <v>358.93333333333334</v>
      </c>
      <c r="E463" t="b">
        <f t="shared" ca="1" si="27"/>
        <v>1</v>
      </c>
      <c r="F463">
        <v>340.84000000007296</v>
      </c>
      <c r="G463">
        <v>19281.400000000001</v>
      </c>
      <c r="H463">
        <f t="shared" si="26"/>
        <v>19622.240000000074</v>
      </c>
    </row>
    <row r="464" spans="1:8">
      <c r="A464" s="1">
        <v>42962</v>
      </c>
      <c r="B464">
        <v>362.33</v>
      </c>
      <c r="C464" s="2">
        <f t="shared" ca="1" si="25"/>
        <v>347.4158333333333</v>
      </c>
      <c r="D464" s="2">
        <f t="shared" ca="1" si="28"/>
        <v>359.02333333333331</v>
      </c>
      <c r="E464" t="b">
        <f t="shared" ca="1" si="27"/>
        <v>1</v>
      </c>
      <c r="F464">
        <v>340.84000000007296</v>
      </c>
      <c r="G464">
        <v>19203.489999999998</v>
      </c>
      <c r="H464">
        <f t="shared" si="26"/>
        <v>19544.330000000071</v>
      </c>
    </row>
    <row r="465" spans="1:8">
      <c r="A465" s="1">
        <v>42963</v>
      </c>
      <c r="B465">
        <v>362.91</v>
      </c>
      <c r="C465" s="2">
        <f t="shared" ca="1" si="25"/>
        <v>349.68750000000006</v>
      </c>
      <c r="D465" s="2">
        <f t="shared" ca="1" si="28"/>
        <v>361.33333333333331</v>
      </c>
      <c r="E465" t="b">
        <f t="shared" ca="1" si="27"/>
        <v>1</v>
      </c>
      <c r="F465">
        <v>340.84000000007296</v>
      </c>
      <c r="G465">
        <v>19234.23</v>
      </c>
      <c r="H465">
        <f t="shared" si="26"/>
        <v>19575.070000000072</v>
      </c>
    </row>
    <row r="466" spans="1:8">
      <c r="A466" s="1">
        <v>42964</v>
      </c>
      <c r="B466">
        <v>351.92</v>
      </c>
      <c r="C466" s="2">
        <f t="shared" ca="1" si="25"/>
        <v>352.97416666666669</v>
      </c>
      <c r="D466" s="2">
        <f t="shared" ca="1" si="28"/>
        <v>363.01333333333332</v>
      </c>
      <c r="E466" t="b">
        <f t="shared" ca="1" si="27"/>
        <v>1</v>
      </c>
      <c r="F466">
        <v>340.84000000007296</v>
      </c>
      <c r="G466">
        <v>18651.760000000002</v>
      </c>
      <c r="H466">
        <f t="shared" si="26"/>
        <v>18992.600000000075</v>
      </c>
    </row>
    <row r="467" spans="1:8">
      <c r="A467" s="1">
        <v>42965</v>
      </c>
      <c r="B467">
        <v>347.46</v>
      </c>
      <c r="C467" s="2">
        <f t="shared" ca="1" si="25"/>
        <v>355.67</v>
      </c>
      <c r="D467" s="2">
        <f t="shared" ca="1" si="28"/>
        <v>359.05333333333334</v>
      </c>
      <c r="E467" t="b">
        <f t="shared" ca="1" si="27"/>
        <v>1</v>
      </c>
      <c r="F467">
        <v>340.84000000007296</v>
      </c>
      <c r="G467">
        <v>18415.379999999997</v>
      </c>
      <c r="H467">
        <f t="shared" si="26"/>
        <v>18756.22000000007</v>
      </c>
    </row>
    <row r="468" spans="1:8">
      <c r="A468" s="1">
        <v>42968</v>
      </c>
      <c r="B468">
        <v>337.86</v>
      </c>
      <c r="C468" s="2">
        <f t="shared" ca="1" si="25"/>
        <v>357.46749999999997</v>
      </c>
      <c r="D468" s="2">
        <f t="shared" ca="1" si="28"/>
        <v>354.09666666666664</v>
      </c>
      <c r="E468" t="b">
        <f t="shared" ca="1" si="27"/>
        <v>0</v>
      </c>
      <c r="F468">
        <v>18247.420000000075</v>
      </c>
      <c r="G468">
        <v>0</v>
      </c>
      <c r="H468">
        <f t="shared" si="26"/>
        <v>18247.420000000075</v>
      </c>
    </row>
    <row r="469" spans="1:8">
      <c r="A469" s="1">
        <v>42969</v>
      </c>
      <c r="B469">
        <v>341.35</v>
      </c>
      <c r="C469" s="2">
        <f t="shared" ca="1" si="25"/>
        <v>356.69833333333332</v>
      </c>
      <c r="D469" s="2">
        <f t="shared" ca="1" si="28"/>
        <v>345.74666666666667</v>
      </c>
      <c r="E469" t="b">
        <f t="shared" ca="1" si="27"/>
        <v>0</v>
      </c>
      <c r="F469">
        <v>18247.420000000075</v>
      </c>
      <c r="G469">
        <v>0</v>
      </c>
      <c r="H469">
        <f t="shared" si="26"/>
        <v>18247.420000000075</v>
      </c>
    </row>
    <row r="470" spans="1:8">
      <c r="A470" s="1">
        <v>42970</v>
      </c>
      <c r="B470">
        <v>352.77</v>
      </c>
      <c r="C470" s="2">
        <f t="shared" ref="C470:C533" ca="1" si="29">AVERAGE(INDIRECT(ADDRESS(ROW()-$C$1,COLUMN()-1)&amp;":"&amp;ADDRESS(ROW()-1,COLUMN()-1)))</f>
        <v>355.4016666666667</v>
      </c>
      <c r="D470" s="2">
        <f t="shared" ca="1" si="28"/>
        <v>342.22333333333336</v>
      </c>
      <c r="E470" t="b">
        <f t="shared" ca="1" si="27"/>
        <v>0</v>
      </c>
      <c r="F470">
        <v>18247.420000000075</v>
      </c>
      <c r="G470">
        <v>0</v>
      </c>
      <c r="H470">
        <f t="shared" ref="H470:H533" si="30">G470+F470</f>
        <v>18247.420000000075</v>
      </c>
    </row>
    <row r="471" spans="1:8">
      <c r="A471" s="1">
        <v>42971</v>
      </c>
      <c r="B471">
        <v>352.93</v>
      </c>
      <c r="C471" s="2">
        <f t="shared" ca="1" si="29"/>
        <v>355.20166666666665</v>
      </c>
      <c r="D471" s="2">
        <f t="shared" ca="1" si="28"/>
        <v>343.99333333333334</v>
      </c>
      <c r="E471" t="b">
        <f t="shared" ca="1" si="27"/>
        <v>0</v>
      </c>
      <c r="F471">
        <v>18247.420000000075</v>
      </c>
      <c r="G471">
        <v>0</v>
      </c>
      <c r="H471">
        <f t="shared" si="30"/>
        <v>18247.420000000075</v>
      </c>
    </row>
    <row r="472" spans="1:8">
      <c r="A472" s="1">
        <v>42972</v>
      </c>
      <c r="B472">
        <v>348.05</v>
      </c>
      <c r="C472" s="2">
        <f t="shared" ca="1" si="29"/>
        <v>354.17750000000001</v>
      </c>
      <c r="D472" s="2">
        <f t="shared" ca="1" si="28"/>
        <v>349.01666666666665</v>
      </c>
      <c r="E472" t="b">
        <f t="shared" ca="1" si="27"/>
        <v>0</v>
      </c>
      <c r="F472">
        <v>18247.420000000075</v>
      </c>
      <c r="G472">
        <v>0</v>
      </c>
      <c r="H472">
        <f t="shared" si="30"/>
        <v>18247.420000000075</v>
      </c>
    </row>
    <row r="473" spans="1:8">
      <c r="A473" s="1">
        <v>42975</v>
      </c>
      <c r="B473">
        <v>345.66</v>
      </c>
      <c r="C473" s="2">
        <f t="shared" ca="1" si="29"/>
        <v>352.88749999999999</v>
      </c>
      <c r="D473" s="2">
        <f t="shared" ca="1" si="28"/>
        <v>351.25</v>
      </c>
      <c r="E473" t="b">
        <f t="shared" ca="1" si="27"/>
        <v>0</v>
      </c>
      <c r="F473">
        <v>18247.420000000075</v>
      </c>
      <c r="G473">
        <v>0</v>
      </c>
      <c r="H473">
        <f t="shared" si="30"/>
        <v>18247.420000000075</v>
      </c>
    </row>
    <row r="474" spans="1:8">
      <c r="A474" s="1">
        <v>42976</v>
      </c>
      <c r="B474">
        <v>347.36</v>
      </c>
      <c r="C474" s="2">
        <f t="shared" ca="1" si="29"/>
        <v>352.07583333333332</v>
      </c>
      <c r="D474" s="2">
        <f t="shared" ca="1" si="28"/>
        <v>348.88000000000005</v>
      </c>
      <c r="E474" t="b">
        <f t="shared" ca="1" si="27"/>
        <v>0</v>
      </c>
      <c r="F474">
        <v>18247.420000000075</v>
      </c>
      <c r="G474">
        <v>0</v>
      </c>
      <c r="H474">
        <f t="shared" si="30"/>
        <v>18247.420000000075</v>
      </c>
    </row>
    <row r="475" spans="1:8">
      <c r="A475" s="1">
        <v>42977</v>
      </c>
      <c r="B475">
        <v>353.18</v>
      </c>
      <c r="C475" s="2">
        <f t="shared" ca="1" si="29"/>
        <v>351.2</v>
      </c>
      <c r="D475" s="2">
        <f t="shared" ca="1" si="28"/>
        <v>347.02333333333337</v>
      </c>
      <c r="E475" t="b">
        <f t="shared" ca="1" si="27"/>
        <v>0</v>
      </c>
      <c r="F475">
        <v>18247.420000000075</v>
      </c>
      <c r="G475">
        <v>0</v>
      </c>
      <c r="H475">
        <f t="shared" si="30"/>
        <v>18247.420000000075</v>
      </c>
    </row>
    <row r="476" spans="1:8">
      <c r="A476" s="1">
        <v>42978</v>
      </c>
      <c r="B476">
        <v>355.9</v>
      </c>
      <c r="C476" s="2">
        <f t="shared" ca="1" si="29"/>
        <v>350.315</v>
      </c>
      <c r="D476" s="2">
        <f t="shared" ca="1" si="28"/>
        <v>348.73333333333335</v>
      </c>
      <c r="E476" t="b">
        <f t="shared" ca="1" si="27"/>
        <v>0</v>
      </c>
      <c r="F476">
        <v>18247.420000000075</v>
      </c>
      <c r="G476">
        <v>0</v>
      </c>
      <c r="H476">
        <f t="shared" si="30"/>
        <v>18247.420000000075</v>
      </c>
    </row>
    <row r="477" spans="1:8">
      <c r="A477" s="1">
        <v>42979</v>
      </c>
      <c r="B477">
        <v>355.4</v>
      </c>
      <c r="C477" s="2">
        <f t="shared" ca="1" si="29"/>
        <v>349.77916666666664</v>
      </c>
      <c r="D477" s="2">
        <f t="shared" ca="1" si="28"/>
        <v>352.1466666666667</v>
      </c>
      <c r="E477" t="b">
        <f t="shared" ca="1" si="27"/>
        <v>1</v>
      </c>
      <c r="F477">
        <v>122.02000000007899</v>
      </c>
      <c r="G477">
        <v>18125.399999999998</v>
      </c>
      <c r="H477">
        <f t="shared" si="30"/>
        <v>18247.420000000078</v>
      </c>
    </row>
    <row r="478" spans="1:8">
      <c r="A478" s="1">
        <v>42983</v>
      </c>
      <c r="B478">
        <v>349.59</v>
      </c>
      <c r="C478" s="2">
        <f t="shared" ca="1" si="29"/>
        <v>349.15333333333336</v>
      </c>
      <c r="D478" s="2">
        <f t="shared" ca="1" si="28"/>
        <v>354.82666666666665</v>
      </c>
      <c r="E478" t="b">
        <f t="shared" ca="1" si="27"/>
        <v>1</v>
      </c>
      <c r="F478">
        <v>122.02000000007899</v>
      </c>
      <c r="G478">
        <v>17829.09</v>
      </c>
      <c r="H478">
        <f t="shared" si="30"/>
        <v>17951.110000000081</v>
      </c>
    </row>
    <row r="479" spans="1:8">
      <c r="A479" s="1">
        <v>42984</v>
      </c>
      <c r="B479">
        <v>344.53</v>
      </c>
      <c r="C479" s="2">
        <f t="shared" ca="1" si="29"/>
        <v>348.9591666666667</v>
      </c>
      <c r="D479" s="2">
        <f t="shared" ca="1" si="28"/>
        <v>353.62999999999994</v>
      </c>
      <c r="E479" t="b">
        <f t="shared" ca="1" si="27"/>
        <v>1</v>
      </c>
      <c r="F479">
        <v>122.02000000007899</v>
      </c>
      <c r="G479">
        <v>17571.03</v>
      </c>
      <c r="H479">
        <f t="shared" si="30"/>
        <v>17693.050000000079</v>
      </c>
    </row>
    <row r="480" spans="1:8">
      <c r="A480" s="1">
        <v>42985</v>
      </c>
      <c r="B480">
        <v>350.61</v>
      </c>
      <c r="C480" s="2">
        <f t="shared" ca="1" si="29"/>
        <v>348.71499999999997</v>
      </c>
      <c r="D480" s="2">
        <f t="shared" ca="1" si="28"/>
        <v>349.84</v>
      </c>
      <c r="E480" t="b">
        <f t="shared" ca="1" si="27"/>
        <v>1</v>
      </c>
      <c r="F480">
        <v>122.02000000007899</v>
      </c>
      <c r="G480">
        <v>17881.11</v>
      </c>
      <c r="H480">
        <f t="shared" si="30"/>
        <v>18003.130000000081</v>
      </c>
    </row>
    <row r="481" spans="1:8">
      <c r="A481" s="1">
        <v>42986</v>
      </c>
      <c r="B481">
        <v>343.4</v>
      </c>
      <c r="C481" s="2">
        <f t="shared" ca="1" si="29"/>
        <v>349.77749999999997</v>
      </c>
      <c r="D481" s="2">
        <f t="shared" ca="1" si="28"/>
        <v>348.24333333333334</v>
      </c>
      <c r="E481" t="b">
        <f t="shared" ca="1" si="27"/>
        <v>0</v>
      </c>
      <c r="F481">
        <v>17635.420000000078</v>
      </c>
      <c r="G481">
        <v>0</v>
      </c>
      <c r="H481">
        <f t="shared" si="30"/>
        <v>17635.420000000078</v>
      </c>
    </row>
    <row r="482" spans="1:8">
      <c r="A482" s="1">
        <v>42989</v>
      </c>
      <c r="B482">
        <v>363.69</v>
      </c>
      <c r="C482" s="2">
        <f t="shared" ca="1" si="29"/>
        <v>349.94833333333332</v>
      </c>
      <c r="D482" s="2">
        <f t="shared" ca="1" si="28"/>
        <v>346.18</v>
      </c>
      <c r="E482" t="b">
        <f t="shared" ca="1" si="27"/>
        <v>0</v>
      </c>
      <c r="F482">
        <v>17635.420000000078</v>
      </c>
      <c r="G482">
        <v>0</v>
      </c>
      <c r="H482">
        <f t="shared" si="30"/>
        <v>17635.420000000078</v>
      </c>
    </row>
    <row r="483" spans="1:8">
      <c r="A483" s="1">
        <v>42990</v>
      </c>
      <c r="B483">
        <v>362.75</v>
      </c>
      <c r="C483" s="2">
        <f t="shared" ca="1" si="29"/>
        <v>350.85833333333335</v>
      </c>
      <c r="D483" s="2">
        <f t="shared" ca="1" si="28"/>
        <v>352.56666666666666</v>
      </c>
      <c r="E483" t="b">
        <f t="shared" ca="1" si="27"/>
        <v>1</v>
      </c>
      <c r="F483">
        <v>223.42000000007829</v>
      </c>
      <c r="G483">
        <v>17412</v>
      </c>
      <c r="H483">
        <f t="shared" si="30"/>
        <v>17635.420000000078</v>
      </c>
    </row>
    <row r="484" spans="1:8">
      <c r="A484" s="1">
        <v>42991</v>
      </c>
      <c r="B484">
        <v>366.23</v>
      </c>
      <c r="C484" s="2">
        <f t="shared" ca="1" si="29"/>
        <v>351.67666666666673</v>
      </c>
      <c r="D484" s="2">
        <f t="shared" ca="1" si="28"/>
        <v>356.61333333333329</v>
      </c>
      <c r="E484" t="b">
        <f t="shared" ca="1" si="27"/>
        <v>1</v>
      </c>
      <c r="F484">
        <v>223.42000000007829</v>
      </c>
      <c r="G484">
        <v>17579.04</v>
      </c>
      <c r="H484">
        <f t="shared" si="30"/>
        <v>17802.460000000079</v>
      </c>
    </row>
    <row r="485" spans="1:8">
      <c r="A485" s="1">
        <v>42992</v>
      </c>
      <c r="B485">
        <v>377.64</v>
      </c>
      <c r="C485" s="2">
        <f t="shared" ca="1" si="29"/>
        <v>353.19166666666666</v>
      </c>
      <c r="D485" s="2">
        <f t="shared" ca="1" si="28"/>
        <v>364.22333333333336</v>
      </c>
      <c r="E485" t="b">
        <f t="shared" ca="1" si="27"/>
        <v>1</v>
      </c>
      <c r="F485">
        <v>223.42000000007829</v>
      </c>
      <c r="G485">
        <v>18126.72</v>
      </c>
      <c r="H485">
        <f t="shared" si="30"/>
        <v>18350.140000000079</v>
      </c>
    </row>
    <row r="486" spans="1:8">
      <c r="A486" s="1">
        <v>42993</v>
      </c>
      <c r="B486">
        <v>379.81</v>
      </c>
      <c r="C486" s="2">
        <f t="shared" ca="1" si="29"/>
        <v>355.85666666666674</v>
      </c>
      <c r="D486" s="2">
        <f t="shared" ca="1" si="28"/>
        <v>368.87333333333328</v>
      </c>
      <c r="E486" t="b">
        <f t="shared" ca="1" si="27"/>
        <v>1</v>
      </c>
      <c r="F486">
        <v>223.42000000007829</v>
      </c>
      <c r="G486">
        <v>18230.88</v>
      </c>
      <c r="H486">
        <f t="shared" si="30"/>
        <v>18454.300000000079</v>
      </c>
    </row>
    <row r="487" spans="1:8">
      <c r="A487" s="1">
        <v>42996</v>
      </c>
      <c r="B487">
        <v>385</v>
      </c>
      <c r="C487" s="2">
        <f t="shared" ca="1" si="29"/>
        <v>358.56083333333339</v>
      </c>
      <c r="D487" s="2">
        <f t="shared" ca="1" si="28"/>
        <v>374.56</v>
      </c>
      <c r="E487" t="b">
        <f t="shared" ca="1" si="27"/>
        <v>1</v>
      </c>
      <c r="F487">
        <v>223.42000000007829</v>
      </c>
      <c r="G487">
        <v>18480</v>
      </c>
      <c r="H487">
        <f t="shared" si="30"/>
        <v>18703.420000000078</v>
      </c>
    </row>
    <row r="488" spans="1:8">
      <c r="A488" s="1">
        <v>42997</v>
      </c>
      <c r="B488">
        <v>375.1</v>
      </c>
      <c r="C488" s="2">
        <f t="shared" ca="1" si="29"/>
        <v>361.21249999999992</v>
      </c>
      <c r="D488" s="2">
        <f t="shared" ca="1" si="28"/>
        <v>380.81666666666666</v>
      </c>
      <c r="E488" t="b">
        <f t="shared" ca="1" si="27"/>
        <v>1</v>
      </c>
      <c r="F488">
        <v>223.42000000007829</v>
      </c>
      <c r="G488">
        <v>18004.800000000003</v>
      </c>
      <c r="H488">
        <f t="shared" si="30"/>
        <v>18228.220000000081</v>
      </c>
    </row>
    <row r="489" spans="1:8">
      <c r="A489" s="1">
        <v>42998</v>
      </c>
      <c r="B489">
        <v>373.91</v>
      </c>
      <c r="C489" s="2">
        <f t="shared" ca="1" si="29"/>
        <v>362.8125</v>
      </c>
      <c r="D489" s="2">
        <f t="shared" ca="1" si="28"/>
        <v>379.96999999999997</v>
      </c>
      <c r="E489" t="b">
        <f t="shared" ca="1" si="27"/>
        <v>1</v>
      </c>
      <c r="F489">
        <v>223.42000000007829</v>
      </c>
      <c r="G489">
        <v>17947.68</v>
      </c>
      <c r="H489">
        <f t="shared" si="30"/>
        <v>18171.100000000079</v>
      </c>
    </row>
    <row r="490" spans="1:8">
      <c r="A490" s="1">
        <v>42999</v>
      </c>
      <c r="B490">
        <v>366.48</v>
      </c>
      <c r="C490" s="2">
        <f t="shared" ca="1" si="29"/>
        <v>364.35500000000002</v>
      </c>
      <c r="D490" s="2">
        <f t="shared" ca="1" si="28"/>
        <v>378.00333333333333</v>
      </c>
      <c r="E490" t="b">
        <f t="shared" ca="1" si="27"/>
        <v>1</v>
      </c>
      <c r="F490">
        <v>223.42000000007829</v>
      </c>
      <c r="G490">
        <v>17591.04</v>
      </c>
      <c r="H490">
        <f t="shared" si="30"/>
        <v>17814.460000000079</v>
      </c>
    </row>
    <row r="491" spans="1:8">
      <c r="A491" s="1">
        <v>43000</v>
      </c>
      <c r="B491">
        <v>351.09</v>
      </c>
      <c r="C491" s="2">
        <f t="shared" ca="1" si="29"/>
        <v>365.76249999999999</v>
      </c>
      <c r="D491" s="2">
        <f t="shared" ca="1" si="28"/>
        <v>371.83</v>
      </c>
      <c r="E491" t="b">
        <f t="shared" ca="1" si="27"/>
        <v>1</v>
      </c>
      <c r="F491">
        <v>223.42000000007829</v>
      </c>
      <c r="G491">
        <v>16852.32</v>
      </c>
      <c r="H491">
        <f t="shared" si="30"/>
        <v>17075.740000000078</v>
      </c>
    </row>
    <row r="492" spans="1:8">
      <c r="A492" s="1">
        <v>43003</v>
      </c>
      <c r="B492">
        <v>344.99</v>
      </c>
      <c r="C492" s="2">
        <f t="shared" ca="1" si="29"/>
        <v>366.30916666666667</v>
      </c>
      <c r="D492" s="2">
        <f t="shared" ca="1" si="28"/>
        <v>363.82666666666665</v>
      </c>
      <c r="E492" t="b">
        <f t="shared" ca="1" si="27"/>
        <v>0</v>
      </c>
      <c r="F492">
        <v>16782.940000000079</v>
      </c>
      <c r="G492">
        <v>0</v>
      </c>
      <c r="H492">
        <f t="shared" si="30"/>
        <v>16782.940000000079</v>
      </c>
    </row>
    <row r="493" spans="1:8">
      <c r="A493" s="1">
        <v>43004</v>
      </c>
      <c r="B493">
        <v>345.25</v>
      </c>
      <c r="C493" s="2">
        <f t="shared" ca="1" si="29"/>
        <v>365.84083333333336</v>
      </c>
      <c r="D493" s="2">
        <f t="shared" ca="1" si="28"/>
        <v>354.18666666666667</v>
      </c>
      <c r="E493" t="b">
        <f t="shared" ca="1" si="27"/>
        <v>0</v>
      </c>
      <c r="F493">
        <v>16782.940000000079</v>
      </c>
      <c r="G493">
        <v>0</v>
      </c>
      <c r="H493">
        <f t="shared" si="30"/>
        <v>16782.940000000079</v>
      </c>
    </row>
    <row r="494" spans="1:8">
      <c r="A494" s="1">
        <v>43005</v>
      </c>
      <c r="B494">
        <v>340.97</v>
      </c>
      <c r="C494" s="2">
        <f t="shared" ca="1" si="29"/>
        <v>365.99499999999995</v>
      </c>
      <c r="D494" s="2">
        <f t="shared" ca="1" si="28"/>
        <v>347.10999999999996</v>
      </c>
      <c r="E494" t="b">
        <f t="shared" ca="1" si="27"/>
        <v>0</v>
      </c>
      <c r="F494">
        <v>16782.940000000079</v>
      </c>
      <c r="G494">
        <v>0</v>
      </c>
      <c r="H494">
        <f t="shared" si="30"/>
        <v>16782.940000000079</v>
      </c>
    </row>
    <row r="495" spans="1:8">
      <c r="A495" s="1">
        <v>43006</v>
      </c>
      <c r="B495">
        <v>339.6</v>
      </c>
      <c r="C495" s="2">
        <f t="shared" ca="1" si="29"/>
        <v>364.10166666666669</v>
      </c>
      <c r="D495" s="2">
        <f t="shared" ca="1" si="28"/>
        <v>343.73666666666668</v>
      </c>
      <c r="E495" t="b">
        <f t="shared" ca="1" si="27"/>
        <v>0</v>
      </c>
      <c r="F495">
        <v>16782.940000000079</v>
      </c>
      <c r="G495">
        <v>0</v>
      </c>
      <c r="H495">
        <f t="shared" si="30"/>
        <v>16782.940000000079</v>
      </c>
    </row>
    <row r="496" spans="1:8">
      <c r="A496" s="1">
        <v>43007</v>
      </c>
      <c r="B496">
        <v>341.1</v>
      </c>
      <c r="C496" s="2">
        <f t="shared" ca="1" si="29"/>
        <v>362.17250000000007</v>
      </c>
      <c r="D496" s="2">
        <f t="shared" ca="1" si="28"/>
        <v>341.94000000000005</v>
      </c>
      <c r="E496" t="b">
        <f t="shared" ca="1" si="27"/>
        <v>0</v>
      </c>
      <c r="F496">
        <v>16782.940000000079</v>
      </c>
      <c r="G496">
        <v>0</v>
      </c>
      <c r="H496">
        <f t="shared" si="30"/>
        <v>16782.940000000079</v>
      </c>
    </row>
    <row r="497" spans="1:8">
      <c r="A497" s="1">
        <v>43010</v>
      </c>
      <c r="B497">
        <v>341.53</v>
      </c>
      <c r="C497" s="2">
        <f t="shared" ca="1" si="29"/>
        <v>360.07833333333338</v>
      </c>
      <c r="D497" s="2">
        <f t="shared" ca="1" si="28"/>
        <v>340.55666666666667</v>
      </c>
      <c r="E497" t="b">
        <f t="shared" ca="1" si="27"/>
        <v>0</v>
      </c>
      <c r="F497">
        <v>16782.940000000079</v>
      </c>
      <c r="G497">
        <v>0</v>
      </c>
      <c r="H497">
        <f t="shared" si="30"/>
        <v>16782.940000000079</v>
      </c>
    </row>
    <row r="498" spans="1:8">
      <c r="A498" s="1">
        <v>43011</v>
      </c>
      <c r="B498">
        <v>348.14</v>
      </c>
      <c r="C498" s="2">
        <f t="shared" ca="1" si="29"/>
        <v>357.06916666666666</v>
      </c>
      <c r="D498" s="2">
        <f t="shared" ca="1" si="28"/>
        <v>340.74333333333334</v>
      </c>
      <c r="E498" t="b">
        <f t="shared" ca="1" si="27"/>
        <v>0</v>
      </c>
      <c r="F498">
        <v>16782.940000000079</v>
      </c>
      <c r="G498">
        <v>0</v>
      </c>
      <c r="H498">
        <f t="shared" si="30"/>
        <v>16782.940000000079</v>
      </c>
    </row>
    <row r="499" spans="1:8">
      <c r="A499" s="1">
        <v>43012</v>
      </c>
      <c r="B499">
        <v>355.01</v>
      </c>
      <c r="C499" s="2">
        <f t="shared" ca="1" si="29"/>
        <v>354.43</v>
      </c>
      <c r="D499" s="2">
        <f t="shared" ca="1" si="28"/>
        <v>343.59</v>
      </c>
      <c r="E499" t="b">
        <f t="shared" ca="1" si="27"/>
        <v>0</v>
      </c>
      <c r="F499">
        <v>16782.940000000079</v>
      </c>
      <c r="G499">
        <v>0</v>
      </c>
      <c r="H499">
        <f t="shared" si="30"/>
        <v>16782.940000000079</v>
      </c>
    </row>
    <row r="500" spans="1:8">
      <c r="A500" s="1">
        <v>43013</v>
      </c>
      <c r="B500">
        <v>355.33</v>
      </c>
      <c r="C500" s="2">
        <f t="shared" ca="1" si="29"/>
        <v>351.93083333333328</v>
      </c>
      <c r="D500" s="2">
        <f t="shared" ca="1" si="28"/>
        <v>348.22666666666663</v>
      </c>
      <c r="E500" t="b">
        <f t="shared" ref="E500:E563" ca="1" si="31">D500&gt;C500</f>
        <v>0</v>
      </c>
      <c r="F500">
        <v>16782.940000000079</v>
      </c>
      <c r="G500">
        <v>0</v>
      </c>
      <c r="H500">
        <f t="shared" si="30"/>
        <v>16782.940000000079</v>
      </c>
    </row>
    <row r="501" spans="1:8">
      <c r="A501" s="1">
        <v>43014</v>
      </c>
      <c r="B501">
        <v>356.88</v>
      </c>
      <c r="C501" s="2">
        <f t="shared" ca="1" si="29"/>
        <v>350.2833333333333</v>
      </c>
      <c r="D501" s="2">
        <f t="shared" ca="1" si="28"/>
        <v>352.82666666666665</v>
      </c>
      <c r="E501" t="b">
        <f t="shared" ca="1" si="31"/>
        <v>1</v>
      </c>
      <c r="F501">
        <v>9.5800000000939463</v>
      </c>
      <c r="G501">
        <v>16773.36</v>
      </c>
      <c r="H501">
        <f t="shared" si="30"/>
        <v>16782.940000000093</v>
      </c>
    </row>
    <row r="502" spans="1:8">
      <c r="A502" s="1">
        <v>43017</v>
      </c>
      <c r="B502">
        <v>342.94</v>
      </c>
      <c r="C502" s="2">
        <f t="shared" ca="1" si="29"/>
        <v>348.86416666666668</v>
      </c>
      <c r="D502" s="2">
        <f t="shared" ca="1" si="28"/>
        <v>355.73999999999995</v>
      </c>
      <c r="E502" t="b">
        <f t="shared" ca="1" si="31"/>
        <v>1</v>
      </c>
      <c r="F502">
        <v>9.5800000000939463</v>
      </c>
      <c r="G502">
        <v>16118.18</v>
      </c>
      <c r="H502">
        <f t="shared" si="30"/>
        <v>16127.760000000095</v>
      </c>
    </row>
    <row r="503" spans="1:8">
      <c r="A503" s="1">
        <v>43018</v>
      </c>
      <c r="B503">
        <v>355.59</v>
      </c>
      <c r="C503" s="2">
        <f t="shared" ca="1" si="29"/>
        <v>346.90249999999992</v>
      </c>
      <c r="D503" s="2">
        <f t="shared" ca="1" si="28"/>
        <v>351.7166666666667</v>
      </c>
      <c r="E503" t="b">
        <f t="shared" ca="1" si="31"/>
        <v>1</v>
      </c>
      <c r="F503">
        <v>9.5800000000939463</v>
      </c>
      <c r="G503">
        <v>16712.73</v>
      </c>
      <c r="H503">
        <f t="shared" si="30"/>
        <v>16722.310000000092</v>
      </c>
    </row>
    <row r="504" spans="1:8">
      <c r="A504" s="1">
        <v>43019</v>
      </c>
      <c r="B504">
        <v>354.6</v>
      </c>
      <c r="C504" s="2">
        <f t="shared" ca="1" si="29"/>
        <v>347.27749999999992</v>
      </c>
      <c r="D504" s="2">
        <f t="shared" ca="1" si="28"/>
        <v>351.80333333333328</v>
      </c>
      <c r="E504" t="b">
        <f t="shared" ca="1" si="31"/>
        <v>1</v>
      </c>
      <c r="F504">
        <v>9.5800000000939463</v>
      </c>
      <c r="G504">
        <v>16666.2</v>
      </c>
      <c r="H504">
        <f t="shared" si="30"/>
        <v>16675.780000000093</v>
      </c>
    </row>
    <row r="505" spans="1:8">
      <c r="A505" s="1">
        <v>43020</v>
      </c>
      <c r="B505">
        <v>355.68</v>
      </c>
      <c r="C505" s="2">
        <f t="shared" ca="1" si="29"/>
        <v>348.07833333333338</v>
      </c>
      <c r="D505" s="2">
        <f t="shared" ca="1" si="28"/>
        <v>351.04333333333335</v>
      </c>
      <c r="E505" t="b">
        <f t="shared" ca="1" si="31"/>
        <v>1</v>
      </c>
      <c r="F505">
        <v>9.5800000000939463</v>
      </c>
      <c r="G505">
        <v>16716.96</v>
      </c>
      <c r="H505">
        <f t="shared" si="30"/>
        <v>16726.540000000092</v>
      </c>
    </row>
    <row r="506" spans="1:8">
      <c r="A506" s="1">
        <v>43021</v>
      </c>
      <c r="B506">
        <v>355.57</v>
      </c>
      <c r="C506" s="2">
        <f t="shared" ca="1" si="29"/>
        <v>348.94750000000005</v>
      </c>
      <c r="D506" s="2">
        <f t="shared" ca="1" si="28"/>
        <v>355.29</v>
      </c>
      <c r="E506" t="b">
        <f t="shared" ca="1" si="31"/>
        <v>1</v>
      </c>
      <c r="F506">
        <v>9.5800000000939463</v>
      </c>
      <c r="G506">
        <v>16711.79</v>
      </c>
      <c r="H506">
        <f t="shared" si="30"/>
        <v>16721.370000000094</v>
      </c>
    </row>
    <row r="507" spans="1:8">
      <c r="A507" s="1">
        <v>43024</v>
      </c>
      <c r="B507">
        <v>350.6</v>
      </c>
      <c r="C507" s="2">
        <f t="shared" ca="1" si="29"/>
        <v>350.16416666666669</v>
      </c>
      <c r="D507" s="2">
        <f t="shared" ca="1" si="28"/>
        <v>355.2833333333333</v>
      </c>
      <c r="E507" t="b">
        <f t="shared" ca="1" si="31"/>
        <v>1</v>
      </c>
      <c r="F507">
        <v>9.5800000000939463</v>
      </c>
      <c r="G507">
        <v>16478.2</v>
      </c>
      <c r="H507">
        <f t="shared" si="30"/>
        <v>16487.780000000093</v>
      </c>
    </row>
    <row r="508" spans="1:8">
      <c r="A508" s="1">
        <v>43025</v>
      </c>
      <c r="B508">
        <v>355.75</v>
      </c>
      <c r="C508" s="2">
        <f t="shared" ca="1" si="29"/>
        <v>351.08083333333337</v>
      </c>
      <c r="D508" s="2">
        <f t="shared" ca="1" si="28"/>
        <v>353.95</v>
      </c>
      <c r="E508" t="b">
        <f t="shared" ca="1" si="31"/>
        <v>1</v>
      </c>
      <c r="F508">
        <v>9.5800000000939463</v>
      </c>
      <c r="G508">
        <v>16720.25</v>
      </c>
      <c r="H508">
        <f t="shared" si="30"/>
        <v>16729.830000000093</v>
      </c>
    </row>
    <row r="509" spans="1:8">
      <c r="A509" s="1">
        <v>43026</v>
      </c>
      <c r="B509">
        <v>359.65</v>
      </c>
      <c r="C509" s="2">
        <f t="shared" ca="1" si="29"/>
        <v>352.30166666666668</v>
      </c>
      <c r="D509" s="2">
        <f t="shared" ca="1" si="28"/>
        <v>353.97333333333336</v>
      </c>
      <c r="E509" t="b">
        <f t="shared" ca="1" si="31"/>
        <v>1</v>
      </c>
      <c r="F509">
        <v>9.5800000000939463</v>
      </c>
      <c r="G509">
        <v>16903.55</v>
      </c>
      <c r="H509">
        <f t="shared" si="30"/>
        <v>16913.130000000092</v>
      </c>
    </row>
    <row r="510" spans="1:8">
      <c r="A510" s="1">
        <v>43027</v>
      </c>
      <c r="B510">
        <v>351.81</v>
      </c>
      <c r="C510" s="2">
        <f t="shared" ca="1" si="29"/>
        <v>353.81166666666667</v>
      </c>
      <c r="D510" s="2">
        <f t="shared" ca="1" si="28"/>
        <v>355.33333333333331</v>
      </c>
      <c r="E510" t="b">
        <f t="shared" ca="1" si="31"/>
        <v>1</v>
      </c>
      <c r="F510">
        <v>9.5800000000939463</v>
      </c>
      <c r="G510">
        <v>16535.07</v>
      </c>
      <c r="H510">
        <f t="shared" si="30"/>
        <v>16544.650000000092</v>
      </c>
    </row>
    <row r="511" spans="1:8">
      <c r="A511" s="1">
        <v>43028</v>
      </c>
      <c r="B511">
        <v>345.1</v>
      </c>
      <c r="C511" s="2">
        <f t="shared" ca="1" si="29"/>
        <v>354.11750000000001</v>
      </c>
      <c r="D511" s="2">
        <f t="shared" ca="1" si="28"/>
        <v>355.73666666666668</v>
      </c>
      <c r="E511" t="b">
        <f t="shared" ca="1" si="31"/>
        <v>1</v>
      </c>
      <c r="F511">
        <v>9.5800000000939463</v>
      </c>
      <c r="G511">
        <v>16219.7</v>
      </c>
      <c r="H511">
        <f t="shared" si="30"/>
        <v>16229.280000000095</v>
      </c>
    </row>
    <row r="512" spans="1:8">
      <c r="A512" s="1">
        <v>43031</v>
      </c>
      <c r="B512">
        <v>337.02</v>
      </c>
      <c r="C512" s="2">
        <f t="shared" ca="1" si="29"/>
        <v>353.29166666666669</v>
      </c>
      <c r="D512" s="2">
        <f t="shared" ca="1" si="28"/>
        <v>352.18666666666667</v>
      </c>
      <c r="E512" t="b">
        <f t="shared" ca="1" si="31"/>
        <v>0</v>
      </c>
      <c r="F512">
        <v>15849.520000000093</v>
      </c>
      <c r="G512">
        <v>0</v>
      </c>
      <c r="H512">
        <f t="shared" si="30"/>
        <v>15849.520000000093</v>
      </c>
    </row>
    <row r="513" spans="1:8">
      <c r="A513" s="1">
        <v>43032</v>
      </c>
      <c r="B513">
        <v>337.34</v>
      </c>
      <c r="C513" s="2">
        <f t="shared" ca="1" si="29"/>
        <v>351.76583333333332</v>
      </c>
      <c r="D513" s="2">
        <f t="shared" ca="1" si="28"/>
        <v>344.64333333333337</v>
      </c>
      <c r="E513" t="b">
        <f t="shared" ca="1" si="31"/>
        <v>0</v>
      </c>
      <c r="F513">
        <v>15849.520000000093</v>
      </c>
      <c r="G513">
        <v>0</v>
      </c>
      <c r="H513">
        <f t="shared" si="30"/>
        <v>15849.520000000093</v>
      </c>
    </row>
    <row r="514" spans="1:8">
      <c r="A514" s="1">
        <v>43033</v>
      </c>
      <c r="B514">
        <v>325.83999999999997</v>
      </c>
      <c r="C514" s="2">
        <f t="shared" ca="1" si="29"/>
        <v>350.13749999999999</v>
      </c>
      <c r="D514" s="2">
        <f t="shared" ca="1" si="28"/>
        <v>339.82</v>
      </c>
      <c r="E514" t="b">
        <f t="shared" ca="1" si="31"/>
        <v>0</v>
      </c>
      <c r="F514">
        <v>15849.520000000093</v>
      </c>
      <c r="G514">
        <v>0</v>
      </c>
      <c r="H514">
        <f t="shared" si="30"/>
        <v>15849.520000000093</v>
      </c>
    </row>
    <row r="515" spans="1:8">
      <c r="A515" s="1">
        <v>43034</v>
      </c>
      <c r="B515">
        <v>326.17</v>
      </c>
      <c r="C515" s="2">
        <f t="shared" ca="1" si="29"/>
        <v>348.71250000000003</v>
      </c>
      <c r="D515" s="2">
        <f t="shared" ca="1" si="28"/>
        <v>333.39999999999992</v>
      </c>
      <c r="E515" t="b">
        <f t="shared" ca="1" si="31"/>
        <v>0</v>
      </c>
      <c r="F515">
        <v>15849.520000000093</v>
      </c>
      <c r="G515">
        <v>0</v>
      </c>
      <c r="H515">
        <f t="shared" si="30"/>
        <v>15849.520000000093</v>
      </c>
    </row>
    <row r="516" spans="1:8">
      <c r="A516" s="1">
        <v>43035</v>
      </c>
      <c r="B516">
        <v>320.87</v>
      </c>
      <c r="C516" s="2">
        <f t="shared" ca="1" si="29"/>
        <v>346.26083333333332</v>
      </c>
      <c r="D516" s="2">
        <f t="shared" ca="1" si="28"/>
        <v>329.7833333333333</v>
      </c>
      <c r="E516" t="b">
        <f t="shared" ca="1" si="31"/>
        <v>0</v>
      </c>
      <c r="F516">
        <v>15849.520000000093</v>
      </c>
      <c r="G516">
        <v>0</v>
      </c>
      <c r="H516">
        <f t="shared" si="30"/>
        <v>15849.520000000093</v>
      </c>
    </row>
    <row r="517" spans="1:8">
      <c r="A517" s="1">
        <v>43038</v>
      </c>
      <c r="B517">
        <v>320.08</v>
      </c>
      <c r="C517" s="2">
        <f t="shared" ca="1" si="29"/>
        <v>343.45000000000005</v>
      </c>
      <c r="D517" s="2">
        <f t="shared" ref="D517:D580" ca="1" si="32">AVERAGE(INDIRECT(ADDRESS(ROW()-$D$1,COLUMN()-2)&amp;":"&amp;ADDRESS(ROW()-1,COLUMN()-2)))</f>
        <v>324.29333333333335</v>
      </c>
      <c r="E517" t="b">
        <f t="shared" ca="1" si="31"/>
        <v>0</v>
      </c>
      <c r="F517">
        <v>15849.520000000093</v>
      </c>
      <c r="G517">
        <v>0</v>
      </c>
      <c r="H517">
        <f t="shared" si="30"/>
        <v>15849.520000000093</v>
      </c>
    </row>
    <row r="518" spans="1:8">
      <c r="A518" s="1">
        <v>43039</v>
      </c>
      <c r="B518">
        <v>331.53</v>
      </c>
      <c r="C518" s="2">
        <f t="shared" ca="1" si="29"/>
        <v>340.48333333333335</v>
      </c>
      <c r="D518" s="2">
        <f t="shared" ca="1" si="32"/>
        <v>322.37333333333328</v>
      </c>
      <c r="E518" t="b">
        <f t="shared" ca="1" si="31"/>
        <v>0</v>
      </c>
      <c r="F518">
        <v>15849.520000000093</v>
      </c>
      <c r="G518">
        <v>0</v>
      </c>
      <c r="H518">
        <f t="shared" si="30"/>
        <v>15849.520000000093</v>
      </c>
    </row>
    <row r="519" spans="1:8">
      <c r="A519" s="1">
        <v>43040</v>
      </c>
      <c r="B519">
        <v>321.08</v>
      </c>
      <c r="C519" s="2">
        <f t="shared" ca="1" si="29"/>
        <v>338.48</v>
      </c>
      <c r="D519" s="2">
        <f t="shared" ca="1" si="32"/>
        <v>324.16000000000003</v>
      </c>
      <c r="E519" t="b">
        <f t="shared" ca="1" si="31"/>
        <v>0</v>
      </c>
      <c r="F519">
        <v>15849.520000000093</v>
      </c>
      <c r="G519">
        <v>0</v>
      </c>
      <c r="H519">
        <f t="shared" si="30"/>
        <v>15849.520000000093</v>
      </c>
    </row>
    <row r="520" spans="1:8">
      <c r="A520" s="1">
        <v>43041</v>
      </c>
      <c r="B520">
        <v>299.26</v>
      </c>
      <c r="C520" s="2">
        <f t="shared" ca="1" si="29"/>
        <v>336.02</v>
      </c>
      <c r="D520" s="2">
        <f t="shared" ca="1" si="32"/>
        <v>324.22999999999996</v>
      </c>
      <c r="E520" t="b">
        <f t="shared" ca="1" si="31"/>
        <v>0</v>
      </c>
      <c r="F520">
        <v>15849.520000000093</v>
      </c>
      <c r="G520">
        <v>0</v>
      </c>
      <c r="H520">
        <f t="shared" si="30"/>
        <v>15849.520000000093</v>
      </c>
    </row>
    <row r="521" spans="1:8">
      <c r="A521" s="1">
        <v>43042</v>
      </c>
      <c r="B521">
        <v>306.08999999999997</v>
      </c>
      <c r="C521" s="2">
        <f t="shared" ca="1" si="29"/>
        <v>331.3125</v>
      </c>
      <c r="D521" s="2">
        <f t="shared" ca="1" si="32"/>
        <v>317.28999999999996</v>
      </c>
      <c r="E521" t="b">
        <f t="shared" ca="1" si="31"/>
        <v>0</v>
      </c>
      <c r="F521">
        <v>15849.520000000093</v>
      </c>
      <c r="G521">
        <v>0</v>
      </c>
      <c r="H521">
        <f t="shared" si="30"/>
        <v>15849.520000000093</v>
      </c>
    </row>
    <row r="522" spans="1:8">
      <c r="A522" s="1">
        <v>43045</v>
      </c>
      <c r="B522">
        <v>302.77999999999997</v>
      </c>
      <c r="C522" s="2">
        <f t="shared" ca="1" si="29"/>
        <v>326.84916666666669</v>
      </c>
      <c r="D522" s="2">
        <f t="shared" ca="1" si="32"/>
        <v>308.80999999999995</v>
      </c>
      <c r="E522" t="b">
        <f t="shared" ca="1" si="31"/>
        <v>0</v>
      </c>
      <c r="F522">
        <v>15849.520000000093</v>
      </c>
      <c r="G522">
        <v>0</v>
      </c>
      <c r="H522">
        <f t="shared" si="30"/>
        <v>15849.520000000093</v>
      </c>
    </row>
    <row r="523" spans="1:8">
      <c r="A523" s="1">
        <v>43046</v>
      </c>
      <c r="B523">
        <v>306.05</v>
      </c>
      <c r="C523" s="2">
        <f t="shared" ca="1" si="29"/>
        <v>322.76333333333332</v>
      </c>
      <c r="D523" s="2">
        <f t="shared" ca="1" si="32"/>
        <v>302.70999999999998</v>
      </c>
      <c r="E523" t="b">
        <f t="shared" ca="1" si="31"/>
        <v>0</v>
      </c>
      <c r="F523">
        <v>15849.520000000093</v>
      </c>
      <c r="G523">
        <v>0</v>
      </c>
      <c r="H523">
        <f t="shared" si="30"/>
        <v>15849.520000000093</v>
      </c>
    </row>
    <row r="524" spans="1:8">
      <c r="A524" s="1">
        <v>43047</v>
      </c>
      <c r="B524">
        <v>304.39</v>
      </c>
      <c r="C524" s="2">
        <f t="shared" ca="1" si="29"/>
        <v>319.50916666666666</v>
      </c>
      <c r="D524" s="2">
        <f t="shared" ca="1" si="32"/>
        <v>304.9733333333333</v>
      </c>
      <c r="E524" t="b">
        <f t="shared" ca="1" si="31"/>
        <v>0</v>
      </c>
      <c r="F524">
        <v>15849.520000000093</v>
      </c>
      <c r="G524">
        <v>0</v>
      </c>
      <c r="H524">
        <f t="shared" si="30"/>
        <v>15849.520000000093</v>
      </c>
    </row>
    <row r="525" spans="1:8">
      <c r="A525" s="1">
        <v>43048</v>
      </c>
      <c r="B525">
        <v>302.99</v>
      </c>
      <c r="C525" s="2">
        <f t="shared" ca="1" si="29"/>
        <v>316.79000000000002</v>
      </c>
      <c r="D525" s="2">
        <f t="shared" ca="1" si="32"/>
        <v>304.40666666666664</v>
      </c>
      <c r="E525" t="b">
        <f t="shared" ca="1" si="31"/>
        <v>0</v>
      </c>
      <c r="F525">
        <v>15849.520000000093</v>
      </c>
      <c r="G525">
        <v>0</v>
      </c>
      <c r="H525">
        <f t="shared" si="30"/>
        <v>15849.520000000093</v>
      </c>
    </row>
    <row r="526" spans="1:8">
      <c r="A526" s="1">
        <v>43049</v>
      </c>
      <c r="B526">
        <v>302.99</v>
      </c>
      <c r="C526" s="2">
        <f t="shared" ca="1" si="29"/>
        <v>313.92750000000001</v>
      </c>
      <c r="D526" s="2">
        <f t="shared" ca="1" si="32"/>
        <v>304.47666666666669</v>
      </c>
      <c r="E526" t="b">
        <f t="shared" ca="1" si="31"/>
        <v>0</v>
      </c>
      <c r="F526">
        <v>15849.520000000093</v>
      </c>
      <c r="G526">
        <v>0</v>
      </c>
      <c r="H526">
        <f t="shared" si="30"/>
        <v>15849.520000000093</v>
      </c>
    </row>
    <row r="527" spans="1:8">
      <c r="A527" s="1">
        <v>43052</v>
      </c>
      <c r="B527">
        <v>315.39999999999998</v>
      </c>
      <c r="C527" s="2">
        <f t="shared" ca="1" si="29"/>
        <v>312.02333333333331</v>
      </c>
      <c r="D527" s="2">
        <f t="shared" ca="1" si="32"/>
        <v>303.45666666666665</v>
      </c>
      <c r="E527" t="b">
        <f t="shared" ca="1" si="31"/>
        <v>0</v>
      </c>
      <c r="F527">
        <v>15849.520000000093</v>
      </c>
      <c r="G527">
        <v>0</v>
      </c>
      <c r="H527">
        <f t="shared" si="30"/>
        <v>15849.520000000093</v>
      </c>
    </row>
    <row r="528" spans="1:8">
      <c r="A528" s="1">
        <v>43053</v>
      </c>
      <c r="B528">
        <v>308.7</v>
      </c>
      <c r="C528" s="2">
        <f t="shared" ca="1" si="29"/>
        <v>311.12583333333333</v>
      </c>
      <c r="D528" s="2">
        <f t="shared" ca="1" si="32"/>
        <v>307.12666666666667</v>
      </c>
      <c r="E528" t="b">
        <f t="shared" ca="1" si="31"/>
        <v>0</v>
      </c>
      <c r="F528">
        <v>15849.520000000093</v>
      </c>
      <c r="G528">
        <v>0</v>
      </c>
      <c r="H528">
        <f t="shared" si="30"/>
        <v>15849.520000000093</v>
      </c>
    </row>
    <row r="529" spans="1:8">
      <c r="A529" s="1">
        <v>43054</v>
      </c>
      <c r="B529">
        <v>311.3</v>
      </c>
      <c r="C529" s="2">
        <f t="shared" ca="1" si="29"/>
        <v>310.11166666666662</v>
      </c>
      <c r="D529" s="2">
        <f t="shared" ca="1" si="32"/>
        <v>309.02999999999997</v>
      </c>
      <c r="E529" t="b">
        <f t="shared" ca="1" si="31"/>
        <v>0</v>
      </c>
      <c r="F529">
        <v>15849.520000000093</v>
      </c>
      <c r="G529">
        <v>0</v>
      </c>
      <c r="H529">
        <f t="shared" si="30"/>
        <v>15849.520000000093</v>
      </c>
    </row>
    <row r="530" spans="1:8">
      <c r="A530" s="1">
        <v>43055</v>
      </c>
      <c r="B530">
        <v>312.5</v>
      </c>
      <c r="C530" s="2">
        <f t="shared" ca="1" si="29"/>
        <v>309.38</v>
      </c>
      <c r="D530" s="2">
        <f t="shared" ca="1" si="32"/>
        <v>311.79999999999995</v>
      </c>
      <c r="E530" t="b">
        <f t="shared" ca="1" si="31"/>
        <v>1</v>
      </c>
      <c r="F530">
        <v>224.52000000009321</v>
      </c>
      <c r="G530">
        <v>15625</v>
      </c>
      <c r="H530">
        <f t="shared" si="30"/>
        <v>15849.520000000093</v>
      </c>
    </row>
    <row r="531" spans="1:8">
      <c r="A531" s="1">
        <v>43056</v>
      </c>
      <c r="B531">
        <v>315.05</v>
      </c>
      <c r="C531" s="2">
        <f t="shared" ca="1" si="29"/>
        <v>307.79416666666663</v>
      </c>
      <c r="D531" s="2">
        <f t="shared" ca="1" si="32"/>
        <v>310.83333333333331</v>
      </c>
      <c r="E531" t="b">
        <f t="shared" ca="1" si="31"/>
        <v>1</v>
      </c>
      <c r="F531">
        <v>224.52000000009321</v>
      </c>
      <c r="G531">
        <v>15752.5</v>
      </c>
      <c r="H531">
        <f t="shared" si="30"/>
        <v>15977.020000000093</v>
      </c>
    </row>
    <row r="532" spans="1:8">
      <c r="A532" s="1">
        <v>43059</v>
      </c>
      <c r="B532">
        <v>308.74</v>
      </c>
      <c r="C532" s="2">
        <f t="shared" ca="1" si="29"/>
        <v>307.29166666666669</v>
      </c>
      <c r="D532" s="2">
        <f t="shared" ca="1" si="32"/>
        <v>312.95</v>
      </c>
      <c r="E532" t="b">
        <f t="shared" ca="1" si="31"/>
        <v>1</v>
      </c>
      <c r="F532">
        <v>224.52000000009321</v>
      </c>
      <c r="G532">
        <v>15437</v>
      </c>
      <c r="H532">
        <f t="shared" si="30"/>
        <v>15661.520000000093</v>
      </c>
    </row>
    <row r="533" spans="1:8">
      <c r="A533" s="1">
        <v>43060</v>
      </c>
      <c r="B533">
        <v>317.81</v>
      </c>
      <c r="C533" s="2">
        <f t="shared" ca="1" si="29"/>
        <v>308.08166666666671</v>
      </c>
      <c r="D533" s="2">
        <f t="shared" ca="1" si="32"/>
        <v>312.09666666666664</v>
      </c>
      <c r="E533" t="b">
        <f t="shared" ca="1" si="31"/>
        <v>1</v>
      </c>
      <c r="F533">
        <v>224.52000000009321</v>
      </c>
      <c r="G533">
        <v>15890.5</v>
      </c>
      <c r="H533">
        <f t="shared" si="30"/>
        <v>16115.020000000093</v>
      </c>
    </row>
    <row r="534" spans="1:8">
      <c r="A534" s="1">
        <v>43061</v>
      </c>
      <c r="B534">
        <v>312.60000000000002</v>
      </c>
      <c r="C534" s="2">
        <f t="shared" ref="C534:C597" ca="1" si="33">AVERAGE(INDIRECT(ADDRESS(ROW()-$C$1,COLUMN()-1)&amp;":"&amp;ADDRESS(ROW()-1,COLUMN()-1)))</f>
        <v>309.05833333333334</v>
      </c>
      <c r="D534" s="2">
        <f t="shared" ca="1" si="32"/>
        <v>313.86666666666662</v>
      </c>
      <c r="E534" t="b">
        <f t="shared" ca="1" si="31"/>
        <v>1</v>
      </c>
      <c r="F534">
        <v>224.52000000009321</v>
      </c>
      <c r="G534">
        <v>15630.000000000002</v>
      </c>
      <c r="H534">
        <f t="shared" ref="H534:H597" si="34">G534+F534</f>
        <v>15854.520000000095</v>
      </c>
    </row>
    <row r="535" spans="1:8">
      <c r="A535" s="1">
        <v>43063</v>
      </c>
      <c r="B535">
        <v>315.55</v>
      </c>
      <c r="C535" s="2">
        <f t="shared" ca="1" si="33"/>
        <v>309.87666666666672</v>
      </c>
      <c r="D535" s="2">
        <f t="shared" ca="1" si="32"/>
        <v>313.05</v>
      </c>
      <c r="E535" t="b">
        <f t="shared" ca="1" si="31"/>
        <v>1</v>
      </c>
      <c r="F535">
        <v>224.52000000009321</v>
      </c>
      <c r="G535">
        <v>15777.5</v>
      </c>
      <c r="H535">
        <f t="shared" si="34"/>
        <v>16002.020000000093</v>
      </c>
    </row>
    <row r="536" spans="1:8">
      <c r="A536" s="1">
        <v>43066</v>
      </c>
      <c r="B536">
        <v>316.81</v>
      </c>
      <c r="C536" s="2">
        <f t="shared" ca="1" si="33"/>
        <v>310.66833333333335</v>
      </c>
      <c r="D536" s="2">
        <f t="shared" ca="1" si="32"/>
        <v>315.32</v>
      </c>
      <c r="E536" t="b">
        <f t="shared" ca="1" si="31"/>
        <v>1</v>
      </c>
      <c r="F536">
        <v>224.52000000009321</v>
      </c>
      <c r="G536">
        <v>15840.5</v>
      </c>
      <c r="H536">
        <f t="shared" si="34"/>
        <v>16065.020000000093</v>
      </c>
    </row>
    <row r="537" spans="1:8">
      <c r="A537" s="1">
        <v>43067</v>
      </c>
      <c r="B537">
        <v>317.55</v>
      </c>
      <c r="C537" s="2">
        <f t="shared" ca="1" si="33"/>
        <v>311.70333333333332</v>
      </c>
      <c r="D537" s="2">
        <f t="shared" ca="1" si="32"/>
        <v>314.98666666666668</v>
      </c>
      <c r="E537" t="b">
        <f t="shared" ca="1" si="31"/>
        <v>1</v>
      </c>
      <c r="F537">
        <v>224.52000000009321</v>
      </c>
      <c r="G537">
        <v>15877.5</v>
      </c>
      <c r="H537">
        <f t="shared" si="34"/>
        <v>16102.020000000093</v>
      </c>
    </row>
    <row r="538" spans="1:8">
      <c r="A538" s="1">
        <v>43068</v>
      </c>
      <c r="B538">
        <v>307.54000000000002</v>
      </c>
      <c r="C538" s="2">
        <f t="shared" ca="1" si="33"/>
        <v>312.91666666666669</v>
      </c>
      <c r="D538" s="2">
        <f t="shared" ca="1" si="32"/>
        <v>316.63666666666671</v>
      </c>
      <c r="E538" t="b">
        <f t="shared" ca="1" si="31"/>
        <v>1</v>
      </c>
      <c r="F538">
        <v>224.52000000009321</v>
      </c>
      <c r="G538">
        <v>15377.000000000002</v>
      </c>
      <c r="H538">
        <f t="shared" si="34"/>
        <v>15601.520000000095</v>
      </c>
    </row>
    <row r="539" spans="1:8">
      <c r="A539" s="1">
        <v>43069</v>
      </c>
      <c r="B539">
        <v>308.85000000000002</v>
      </c>
      <c r="C539" s="2">
        <f t="shared" ca="1" si="33"/>
        <v>313.29583333333335</v>
      </c>
      <c r="D539" s="2">
        <f t="shared" ca="1" si="32"/>
        <v>313.9666666666667</v>
      </c>
      <c r="E539" t="b">
        <f t="shared" ca="1" si="31"/>
        <v>1</v>
      </c>
      <c r="F539">
        <v>224.52000000009321</v>
      </c>
      <c r="G539">
        <v>15442.500000000002</v>
      </c>
      <c r="H539">
        <f t="shared" si="34"/>
        <v>15667.020000000095</v>
      </c>
    </row>
    <row r="540" spans="1:8">
      <c r="A540" s="1">
        <v>43070</v>
      </c>
      <c r="B540">
        <v>306.52999999999997</v>
      </c>
      <c r="C540" s="2">
        <f t="shared" ca="1" si="33"/>
        <v>312.75</v>
      </c>
      <c r="D540" s="2">
        <f t="shared" ca="1" si="32"/>
        <v>311.31333333333333</v>
      </c>
      <c r="E540" t="b">
        <f t="shared" ca="1" si="31"/>
        <v>0</v>
      </c>
      <c r="F540">
        <v>15551.020000000091</v>
      </c>
      <c r="G540">
        <v>0</v>
      </c>
      <c r="H540">
        <f t="shared" si="34"/>
        <v>15551.020000000091</v>
      </c>
    </row>
    <row r="541" spans="1:8">
      <c r="A541" s="1">
        <v>43073</v>
      </c>
      <c r="B541">
        <v>305.2</v>
      </c>
      <c r="C541" s="2">
        <f t="shared" ca="1" si="33"/>
        <v>312.56916666666666</v>
      </c>
      <c r="D541" s="2">
        <f t="shared" ca="1" si="32"/>
        <v>307.64000000000004</v>
      </c>
      <c r="E541" t="b">
        <f t="shared" ca="1" si="31"/>
        <v>0</v>
      </c>
      <c r="F541">
        <v>15551.020000000091</v>
      </c>
      <c r="G541">
        <v>0</v>
      </c>
      <c r="H541">
        <f t="shared" si="34"/>
        <v>15551.020000000091</v>
      </c>
    </row>
    <row r="542" spans="1:8">
      <c r="A542" s="1">
        <v>43074</v>
      </c>
      <c r="B542">
        <v>303.7</v>
      </c>
      <c r="C542" s="2">
        <f t="shared" ca="1" si="33"/>
        <v>312.06083333333328</v>
      </c>
      <c r="D542" s="2">
        <f t="shared" ca="1" si="32"/>
        <v>306.85999999999996</v>
      </c>
      <c r="E542" t="b">
        <f t="shared" ca="1" si="31"/>
        <v>0</v>
      </c>
      <c r="F542">
        <v>15551.020000000091</v>
      </c>
      <c r="G542">
        <v>0</v>
      </c>
      <c r="H542">
        <f t="shared" si="34"/>
        <v>15551.020000000091</v>
      </c>
    </row>
    <row r="543" spans="1:8">
      <c r="A543" s="1">
        <v>43075</v>
      </c>
      <c r="B543">
        <v>313.26</v>
      </c>
      <c r="C543" s="2">
        <f t="shared" ca="1" si="33"/>
        <v>311.32749999999993</v>
      </c>
      <c r="D543" s="2">
        <f t="shared" ca="1" si="32"/>
        <v>305.14333333333337</v>
      </c>
      <c r="E543" t="b">
        <f t="shared" ca="1" si="31"/>
        <v>0</v>
      </c>
      <c r="F543">
        <v>15551.020000000091</v>
      </c>
      <c r="G543">
        <v>0</v>
      </c>
      <c r="H543">
        <f t="shared" si="34"/>
        <v>15551.020000000091</v>
      </c>
    </row>
    <row r="544" spans="1:8">
      <c r="A544" s="1">
        <v>43076</v>
      </c>
      <c r="B544">
        <v>311.24</v>
      </c>
      <c r="C544" s="2">
        <f t="shared" ca="1" si="33"/>
        <v>311.17833333333328</v>
      </c>
      <c r="D544" s="2">
        <f t="shared" ca="1" si="32"/>
        <v>307.38666666666666</v>
      </c>
      <c r="E544" t="b">
        <f t="shared" ca="1" si="31"/>
        <v>0</v>
      </c>
      <c r="F544">
        <v>15551.020000000091</v>
      </c>
      <c r="G544">
        <v>0</v>
      </c>
      <c r="H544">
        <f t="shared" si="34"/>
        <v>15551.020000000091</v>
      </c>
    </row>
    <row r="545" spans="1:8">
      <c r="A545" s="1">
        <v>43077</v>
      </c>
      <c r="B545">
        <v>315.13</v>
      </c>
      <c r="C545" s="2">
        <f t="shared" ca="1" si="33"/>
        <v>311.3866666666666</v>
      </c>
      <c r="D545" s="2">
        <f t="shared" ca="1" si="32"/>
        <v>309.40000000000003</v>
      </c>
      <c r="E545" t="b">
        <f t="shared" ca="1" si="31"/>
        <v>0</v>
      </c>
      <c r="F545">
        <v>15551.020000000091</v>
      </c>
      <c r="G545">
        <v>0</v>
      </c>
      <c r="H545">
        <f t="shared" si="34"/>
        <v>15551.020000000091</v>
      </c>
    </row>
    <row r="546" spans="1:8">
      <c r="A546" s="1">
        <v>43080</v>
      </c>
      <c r="B546">
        <v>328.91</v>
      </c>
      <c r="C546" s="2">
        <f t="shared" ca="1" si="33"/>
        <v>311.16333333333336</v>
      </c>
      <c r="D546" s="2">
        <f t="shared" ca="1" si="32"/>
        <v>313.20999999999998</v>
      </c>
      <c r="E546" t="b">
        <f t="shared" ca="1" si="31"/>
        <v>1</v>
      </c>
      <c r="F546">
        <v>92.250000000096975</v>
      </c>
      <c r="G546">
        <v>15458.77</v>
      </c>
      <c r="H546">
        <f t="shared" si="34"/>
        <v>15551.020000000097</v>
      </c>
    </row>
    <row r="547" spans="1:8">
      <c r="A547" s="1">
        <v>43081</v>
      </c>
      <c r="B547">
        <v>341.03</v>
      </c>
      <c r="C547" s="2">
        <f t="shared" ca="1" si="33"/>
        <v>312.52249999999998</v>
      </c>
      <c r="D547" s="2">
        <f t="shared" ca="1" si="32"/>
        <v>318.42666666666668</v>
      </c>
      <c r="E547" t="b">
        <f t="shared" ca="1" si="31"/>
        <v>1</v>
      </c>
      <c r="F547">
        <v>92.250000000096975</v>
      </c>
      <c r="G547">
        <v>16028.409999999998</v>
      </c>
      <c r="H547">
        <f t="shared" si="34"/>
        <v>16120.660000000094</v>
      </c>
    </row>
    <row r="548" spans="1:8">
      <c r="A548" s="1">
        <v>43082</v>
      </c>
      <c r="B548">
        <v>339.03</v>
      </c>
      <c r="C548" s="2">
        <f t="shared" ca="1" si="33"/>
        <v>314.64583333333326</v>
      </c>
      <c r="D548" s="2">
        <f t="shared" ca="1" si="32"/>
        <v>328.35666666666663</v>
      </c>
      <c r="E548" t="b">
        <f t="shared" ca="1" si="31"/>
        <v>1</v>
      </c>
      <c r="F548">
        <v>92.250000000096975</v>
      </c>
      <c r="G548">
        <v>15934.409999999998</v>
      </c>
      <c r="H548">
        <f t="shared" si="34"/>
        <v>16026.660000000094</v>
      </c>
    </row>
    <row r="549" spans="1:8">
      <c r="A549" s="1">
        <v>43083</v>
      </c>
      <c r="B549">
        <v>337.89</v>
      </c>
      <c r="C549" s="2">
        <f t="shared" ca="1" si="33"/>
        <v>316.49749999999995</v>
      </c>
      <c r="D549" s="2">
        <f t="shared" ca="1" si="32"/>
        <v>336.32333333333332</v>
      </c>
      <c r="E549" t="b">
        <f t="shared" ca="1" si="31"/>
        <v>1</v>
      </c>
      <c r="F549">
        <v>92.250000000096975</v>
      </c>
      <c r="G549">
        <v>15880.83</v>
      </c>
      <c r="H549">
        <f t="shared" si="34"/>
        <v>15973.080000000096</v>
      </c>
    </row>
    <row r="550" spans="1:8">
      <c r="A550" s="1">
        <v>43084</v>
      </c>
      <c r="B550">
        <v>343.45</v>
      </c>
      <c r="C550" s="2">
        <f t="shared" ca="1" si="33"/>
        <v>318.1925</v>
      </c>
      <c r="D550" s="2">
        <f t="shared" ca="1" si="32"/>
        <v>339.31666666666666</v>
      </c>
      <c r="E550" t="b">
        <f t="shared" ca="1" si="31"/>
        <v>1</v>
      </c>
      <c r="F550">
        <v>92.250000000096975</v>
      </c>
      <c r="G550">
        <v>16142.15</v>
      </c>
      <c r="H550">
        <f t="shared" si="34"/>
        <v>16234.400000000096</v>
      </c>
    </row>
    <row r="551" spans="1:8">
      <c r="A551" s="1">
        <v>43087</v>
      </c>
      <c r="B551">
        <v>338.87</v>
      </c>
      <c r="C551" s="2">
        <f t="shared" ca="1" si="33"/>
        <v>321.18499999999989</v>
      </c>
      <c r="D551" s="2">
        <f t="shared" ca="1" si="32"/>
        <v>340.12333333333328</v>
      </c>
      <c r="E551" t="b">
        <f t="shared" ca="1" si="31"/>
        <v>1</v>
      </c>
      <c r="F551">
        <v>92.250000000096975</v>
      </c>
      <c r="G551">
        <v>15926.89</v>
      </c>
      <c r="H551">
        <f t="shared" si="34"/>
        <v>16019.140000000096</v>
      </c>
    </row>
    <row r="552" spans="1:8">
      <c r="A552" s="1">
        <v>43088</v>
      </c>
      <c r="B552">
        <v>331.1</v>
      </c>
      <c r="C552" s="2">
        <f t="shared" ca="1" si="33"/>
        <v>323.68666666666661</v>
      </c>
      <c r="D552" s="2">
        <f t="shared" ca="1" si="32"/>
        <v>340.07</v>
      </c>
      <c r="E552" t="b">
        <f t="shared" ca="1" si="31"/>
        <v>1</v>
      </c>
      <c r="F552">
        <v>92.250000000096975</v>
      </c>
      <c r="G552">
        <v>15561.7</v>
      </c>
      <c r="H552">
        <f t="shared" si="34"/>
        <v>15653.950000000097</v>
      </c>
    </row>
    <row r="553" spans="1:8">
      <c r="A553" s="1">
        <v>43089</v>
      </c>
      <c r="B553">
        <v>328.98</v>
      </c>
      <c r="C553" s="2">
        <f t="shared" ca="1" si="33"/>
        <v>325.73416666666662</v>
      </c>
      <c r="D553" s="2">
        <f t="shared" ca="1" si="32"/>
        <v>337.80666666666667</v>
      </c>
      <c r="E553" t="b">
        <f t="shared" ca="1" si="31"/>
        <v>1</v>
      </c>
      <c r="F553">
        <v>92.250000000096975</v>
      </c>
      <c r="G553">
        <v>15462.060000000001</v>
      </c>
      <c r="H553">
        <f t="shared" si="34"/>
        <v>15554.310000000098</v>
      </c>
    </row>
    <row r="554" spans="1:8">
      <c r="A554" s="1">
        <v>43090</v>
      </c>
      <c r="B554">
        <v>331.66</v>
      </c>
      <c r="C554" s="2">
        <f t="shared" ca="1" si="33"/>
        <v>327.71583333333331</v>
      </c>
      <c r="D554" s="2">
        <f t="shared" ca="1" si="32"/>
        <v>332.98333333333335</v>
      </c>
      <c r="E554" t="b">
        <f t="shared" ca="1" si="31"/>
        <v>1</v>
      </c>
      <c r="F554">
        <v>92.250000000096975</v>
      </c>
      <c r="G554">
        <v>15588.02</v>
      </c>
      <c r="H554">
        <f t="shared" si="34"/>
        <v>15680.270000000097</v>
      </c>
    </row>
    <row r="555" spans="1:8">
      <c r="A555" s="1">
        <v>43091</v>
      </c>
      <c r="B555">
        <v>325.2</v>
      </c>
      <c r="C555" s="2">
        <f t="shared" ca="1" si="33"/>
        <v>330.04583333333329</v>
      </c>
      <c r="D555" s="2">
        <f t="shared" ca="1" si="32"/>
        <v>330.58</v>
      </c>
      <c r="E555" t="b">
        <f t="shared" ca="1" si="31"/>
        <v>1</v>
      </c>
      <c r="F555">
        <v>92.250000000096975</v>
      </c>
      <c r="G555">
        <v>15284.4</v>
      </c>
      <c r="H555">
        <f t="shared" si="34"/>
        <v>15376.650000000096</v>
      </c>
    </row>
    <row r="556" spans="1:8">
      <c r="A556" s="1">
        <v>43095</v>
      </c>
      <c r="B556">
        <v>317.29000000000002</v>
      </c>
      <c r="C556" s="2">
        <f t="shared" ca="1" si="33"/>
        <v>331.0408333333333</v>
      </c>
      <c r="D556" s="2">
        <f t="shared" ca="1" si="32"/>
        <v>328.6133333333334</v>
      </c>
      <c r="E556" t="b">
        <f t="shared" ca="1" si="31"/>
        <v>0</v>
      </c>
      <c r="F556">
        <v>15004.880000000097</v>
      </c>
      <c r="G556">
        <v>0</v>
      </c>
      <c r="H556">
        <f t="shared" si="34"/>
        <v>15004.880000000097</v>
      </c>
    </row>
    <row r="557" spans="1:8">
      <c r="A557" s="1">
        <v>43096</v>
      </c>
      <c r="B557">
        <v>311.64</v>
      </c>
      <c r="C557" s="2">
        <f t="shared" ca="1" si="33"/>
        <v>331.54499999999996</v>
      </c>
      <c r="D557" s="2">
        <f t="shared" ca="1" si="32"/>
        <v>324.7166666666667</v>
      </c>
      <c r="E557" t="b">
        <f t="shared" ca="1" si="31"/>
        <v>0</v>
      </c>
      <c r="F557">
        <v>15004.880000000097</v>
      </c>
      <c r="G557">
        <v>0</v>
      </c>
      <c r="H557">
        <f t="shared" si="34"/>
        <v>15004.880000000097</v>
      </c>
    </row>
    <row r="558" spans="1:8">
      <c r="A558" s="1">
        <v>43097</v>
      </c>
      <c r="B558">
        <v>315.36</v>
      </c>
      <c r="C558" s="2">
        <f t="shared" ca="1" si="33"/>
        <v>331.25416666666666</v>
      </c>
      <c r="D558" s="2">
        <f t="shared" ca="1" si="32"/>
        <v>318.04333333333335</v>
      </c>
      <c r="E558" t="b">
        <f t="shared" ca="1" si="31"/>
        <v>0</v>
      </c>
      <c r="F558">
        <v>15004.880000000097</v>
      </c>
      <c r="G558">
        <v>0</v>
      </c>
      <c r="H558">
        <f t="shared" si="34"/>
        <v>15004.880000000097</v>
      </c>
    </row>
    <row r="559" spans="1:8">
      <c r="A559" s="1">
        <v>43098</v>
      </c>
      <c r="B559">
        <v>311.35000000000002</v>
      </c>
      <c r="C559" s="2">
        <f t="shared" ca="1" si="33"/>
        <v>330.12499999999994</v>
      </c>
      <c r="D559" s="2">
        <f t="shared" ca="1" si="32"/>
        <v>314.76333333333338</v>
      </c>
      <c r="E559" t="b">
        <f t="shared" ca="1" si="31"/>
        <v>0</v>
      </c>
      <c r="F559">
        <v>15004.880000000097</v>
      </c>
      <c r="G559">
        <v>0</v>
      </c>
      <c r="H559">
        <f t="shared" si="34"/>
        <v>15004.880000000097</v>
      </c>
    </row>
    <row r="560" spans="1:8">
      <c r="A560" s="1">
        <v>43102</v>
      </c>
      <c r="B560">
        <v>320.52999999999997</v>
      </c>
      <c r="C560" s="2">
        <f t="shared" ca="1" si="33"/>
        <v>327.65166666666659</v>
      </c>
      <c r="D560" s="2">
        <f t="shared" ca="1" si="32"/>
        <v>312.78333333333336</v>
      </c>
      <c r="E560" t="b">
        <f t="shared" ca="1" si="31"/>
        <v>0</v>
      </c>
      <c r="F560">
        <v>15004.880000000097</v>
      </c>
      <c r="G560">
        <v>0</v>
      </c>
      <c r="H560">
        <f t="shared" si="34"/>
        <v>15004.880000000097</v>
      </c>
    </row>
    <row r="561" spans="1:8">
      <c r="A561" s="1">
        <v>43103</v>
      </c>
      <c r="B561">
        <v>317.25</v>
      </c>
      <c r="C561" s="2">
        <f t="shared" ca="1" si="33"/>
        <v>326.10999999999996</v>
      </c>
      <c r="D561" s="2">
        <f t="shared" ca="1" si="32"/>
        <v>315.74666666666667</v>
      </c>
      <c r="E561" t="b">
        <f t="shared" ca="1" si="31"/>
        <v>0</v>
      </c>
      <c r="F561">
        <v>15004.880000000097</v>
      </c>
      <c r="G561">
        <v>0</v>
      </c>
      <c r="H561">
        <f t="shared" si="34"/>
        <v>15004.880000000097</v>
      </c>
    </row>
    <row r="562" spans="1:8">
      <c r="A562" s="1">
        <v>43104</v>
      </c>
      <c r="B562">
        <v>314.62</v>
      </c>
      <c r="C562" s="2">
        <f t="shared" ca="1" si="33"/>
        <v>324.39000000000004</v>
      </c>
      <c r="D562" s="2">
        <f t="shared" ca="1" si="32"/>
        <v>316.37666666666667</v>
      </c>
      <c r="E562" t="b">
        <f t="shared" ca="1" si="31"/>
        <v>0</v>
      </c>
      <c r="F562">
        <v>15004.880000000097</v>
      </c>
      <c r="G562">
        <v>0</v>
      </c>
      <c r="H562">
        <f t="shared" si="34"/>
        <v>15004.880000000097</v>
      </c>
    </row>
    <row r="563" spans="1:8">
      <c r="A563" s="1">
        <v>43105</v>
      </c>
      <c r="B563">
        <v>316.58</v>
      </c>
      <c r="C563" s="2">
        <f t="shared" ca="1" si="33"/>
        <v>321.98750000000001</v>
      </c>
      <c r="D563" s="2">
        <f t="shared" ca="1" si="32"/>
        <v>317.46666666666664</v>
      </c>
      <c r="E563" t="b">
        <f t="shared" ca="1" si="31"/>
        <v>0</v>
      </c>
      <c r="F563">
        <v>15004.880000000097</v>
      </c>
      <c r="G563">
        <v>0</v>
      </c>
      <c r="H563">
        <f t="shared" si="34"/>
        <v>15004.880000000097</v>
      </c>
    </row>
    <row r="564" spans="1:8">
      <c r="A564" s="1">
        <v>43108</v>
      </c>
      <c r="B564">
        <v>336.41</v>
      </c>
      <c r="C564" s="2">
        <f t="shared" ca="1" si="33"/>
        <v>320.12999999999994</v>
      </c>
      <c r="D564" s="2">
        <f t="shared" ca="1" si="32"/>
        <v>316.15000000000003</v>
      </c>
      <c r="E564" t="b">
        <f t="shared" ref="E564:E627" ca="1" si="35">D564&gt;C564</f>
        <v>0</v>
      </c>
      <c r="F564">
        <v>15004.880000000097</v>
      </c>
      <c r="G564">
        <v>0</v>
      </c>
      <c r="H564">
        <f t="shared" si="34"/>
        <v>15004.880000000097</v>
      </c>
    </row>
    <row r="565" spans="1:8">
      <c r="A565" s="1">
        <v>43109</v>
      </c>
      <c r="B565">
        <v>333.69</v>
      </c>
      <c r="C565" s="2">
        <f t="shared" ca="1" si="33"/>
        <v>320.57249999999999</v>
      </c>
      <c r="D565" s="2">
        <f t="shared" ca="1" si="32"/>
        <v>322.53666666666669</v>
      </c>
      <c r="E565" t="b">
        <f t="shared" ca="1" si="35"/>
        <v>1</v>
      </c>
      <c r="F565">
        <v>322.52000000009144</v>
      </c>
      <c r="G565">
        <v>14682.36</v>
      </c>
      <c r="H565">
        <f t="shared" si="34"/>
        <v>15004.880000000092</v>
      </c>
    </row>
    <row r="566" spans="1:8">
      <c r="A566" s="1">
        <v>43110</v>
      </c>
      <c r="B566">
        <v>334.8</v>
      </c>
      <c r="C566" s="2">
        <f t="shared" ca="1" si="33"/>
        <v>320.96499999999997</v>
      </c>
      <c r="D566" s="2">
        <f t="shared" ca="1" si="32"/>
        <v>328.89333333333337</v>
      </c>
      <c r="E566" t="b">
        <f t="shared" ca="1" si="35"/>
        <v>1</v>
      </c>
      <c r="F566">
        <v>322.52000000009144</v>
      </c>
      <c r="G566">
        <v>14731.2</v>
      </c>
      <c r="H566">
        <f t="shared" si="34"/>
        <v>15053.720000000092</v>
      </c>
    </row>
    <row r="567" spans="1:8">
      <c r="A567" s="1">
        <v>43111</v>
      </c>
      <c r="B567">
        <v>337.95</v>
      </c>
      <c r="C567" s="2">
        <f t="shared" ca="1" si="33"/>
        <v>321.22666666666663</v>
      </c>
      <c r="D567" s="2">
        <f t="shared" ca="1" si="32"/>
        <v>334.9666666666667</v>
      </c>
      <c r="E567" t="b">
        <f t="shared" ca="1" si="35"/>
        <v>1</v>
      </c>
      <c r="F567">
        <v>322.52000000009144</v>
      </c>
      <c r="G567">
        <v>14869.8</v>
      </c>
      <c r="H567">
        <f t="shared" si="34"/>
        <v>15192.320000000091</v>
      </c>
    </row>
    <row r="568" spans="1:8">
      <c r="A568" s="1">
        <v>43112</v>
      </c>
      <c r="B568">
        <v>336.22</v>
      </c>
      <c r="C568" s="2">
        <f t="shared" ca="1" si="33"/>
        <v>322.28916666666663</v>
      </c>
      <c r="D568" s="2">
        <f t="shared" ca="1" si="32"/>
        <v>335.48</v>
      </c>
      <c r="E568" t="b">
        <f t="shared" ca="1" si="35"/>
        <v>1</v>
      </c>
      <c r="F568">
        <v>322.52000000009144</v>
      </c>
      <c r="G568">
        <v>14793.68</v>
      </c>
      <c r="H568">
        <f t="shared" si="34"/>
        <v>15116.200000000092</v>
      </c>
    </row>
    <row r="569" spans="1:8">
      <c r="A569" s="1">
        <v>43116</v>
      </c>
      <c r="B569">
        <v>340.06</v>
      </c>
      <c r="C569" s="2">
        <f t="shared" ca="1" si="33"/>
        <v>323.86666666666662</v>
      </c>
      <c r="D569" s="2">
        <f t="shared" ca="1" si="32"/>
        <v>336.32333333333332</v>
      </c>
      <c r="E569" t="b">
        <f t="shared" ca="1" si="35"/>
        <v>1</v>
      </c>
      <c r="F569">
        <v>322.52000000009144</v>
      </c>
      <c r="G569">
        <v>14962.64</v>
      </c>
      <c r="H569">
        <f t="shared" si="34"/>
        <v>15285.160000000091</v>
      </c>
    </row>
    <row r="570" spans="1:8">
      <c r="A570" s="1">
        <v>43117</v>
      </c>
      <c r="B570">
        <v>347.16</v>
      </c>
      <c r="C570" s="2">
        <f t="shared" ca="1" si="33"/>
        <v>326.23500000000001</v>
      </c>
      <c r="D570" s="2">
        <f t="shared" ca="1" si="32"/>
        <v>338.07666666666665</v>
      </c>
      <c r="E570" t="b">
        <f t="shared" ca="1" si="35"/>
        <v>1</v>
      </c>
      <c r="F570">
        <v>322.52000000009144</v>
      </c>
      <c r="G570">
        <v>15275.04</v>
      </c>
      <c r="H570">
        <f t="shared" si="34"/>
        <v>15597.560000000092</v>
      </c>
    </row>
    <row r="571" spans="1:8">
      <c r="A571" s="1">
        <v>43118</v>
      </c>
      <c r="B571">
        <v>344.57</v>
      </c>
      <c r="C571" s="2">
        <f t="shared" ca="1" si="33"/>
        <v>328.88499999999993</v>
      </c>
      <c r="D571" s="2">
        <f t="shared" ca="1" si="32"/>
        <v>341.1466666666667</v>
      </c>
      <c r="E571" t="b">
        <f t="shared" ca="1" si="35"/>
        <v>1</v>
      </c>
      <c r="F571">
        <v>322.52000000009144</v>
      </c>
      <c r="G571">
        <v>15161.08</v>
      </c>
      <c r="H571">
        <f t="shared" si="34"/>
        <v>15483.600000000091</v>
      </c>
    </row>
    <row r="572" spans="1:8">
      <c r="A572" s="1">
        <v>43119</v>
      </c>
      <c r="B572">
        <v>350.02</v>
      </c>
      <c r="C572" s="2">
        <f t="shared" ca="1" si="33"/>
        <v>331.65333333333336</v>
      </c>
      <c r="D572" s="2">
        <f t="shared" ca="1" si="32"/>
        <v>343.93</v>
      </c>
      <c r="E572" t="b">
        <f t="shared" ca="1" si="35"/>
        <v>1</v>
      </c>
      <c r="F572">
        <v>322.52000000009144</v>
      </c>
      <c r="G572">
        <v>15400.88</v>
      </c>
      <c r="H572">
        <f t="shared" si="34"/>
        <v>15723.400000000091</v>
      </c>
    </row>
    <row r="573" spans="1:8">
      <c r="A573" s="1">
        <v>43122</v>
      </c>
      <c r="B573">
        <v>351.56</v>
      </c>
      <c r="C573" s="2">
        <f t="shared" ca="1" si="33"/>
        <v>334.11083333333335</v>
      </c>
      <c r="D573" s="2">
        <f t="shared" ca="1" si="32"/>
        <v>347.25</v>
      </c>
      <c r="E573" t="b">
        <f t="shared" ca="1" si="35"/>
        <v>1</v>
      </c>
      <c r="F573">
        <v>322.52000000009144</v>
      </c>
      <c r="G573">
        <v>15468.64</v>
      </c>
      <c r="H573">
        <f t="shared" si="34"/>
        <v>15791.160000000091</v>
      </c>
    </row>
    <row r="574" spans="1:8">
      <c r="A574" s="1">
        <v>43123</v>
      </c>
      <c r="B574">
        <v>352.79</v>
      </c>
      <c r="C574" s="2">
        <f t="shared" ca="1" si="33"/>
        <v>336.97</v>
      </c>
      <c r="D574" s="2">
        <f t="shared" ca="1" si="32"/>
        <v>348.71666666666664</v>
      </c>
      <c r="E574" t="b">
        <f t="shared" ca="1" si="35"/>
        <v>1</v>
      </c>
      <c r="F574">
        <v>322.52000000009144</v>
      </c>
      <c r="G574">
        <v>15522.76</v>
      </c>
      <c r="H574">
        <f t="shared" si="34"/>
        <v>15845.280000000092</v>
      </c>
    </row>
    <row r="575" spans="1:8">
      <c r="A575" s="1">
        <v>43124</v>
      </c>
      <c r="B575">
        <v>345.89</v>
      </c>
      <c r="C575" s="2">
        <f t="shared" ca="1" si="33"/>
        <v>340.15083333333331</v>
      </c>
      <c r="D575" s="2">
        <f t="shared" ca="1" si="32"/>
        <v>351.45666666666665</v>
      </c>
      <c r="E575" t="b">
        <f t="shared" ca="1" si="35"/>
        <v>1</v>
      </c>
      <c r="F575">
        <v>322.52000000009144</v>
      </c>
      <c r="G575">
        <v>15219.16</v>
      </c>
      <c r="H575">
        <f t="shared" si="34"/>
        <v>15541.680000000091</v>
      </c>
    </row>
    <row r="576" spans="1:8">
      <c r="A576" s="1">
        <v>43125</v>
      </c>
      <c r="B576">
        <v>337.64</v>
      </c>
      <c r="C576" s="2">
        <f t="shared" ca="1" si="33"/>
        <v>342.59333333333331</v>
      </c>
      <c r="D576" s="2">
        <f t="shared" ca="1" si="32"/>
        <v>350.08</v>
      </c>
      <c r="E576" t="b">
        <f t="shared" ca="1" si="35"/>
        <v>1</v>
      </c>
      <c r="F576">
        <v>322.52000000009144</v>
      </c>
      <c r="G576">
        <v>14856.16</v>
      </c>
      <c r="H576">
        <f t="shared" si="34"/>
        <v>15178.680000000091</v>
      </c>
    </row>
    <row r="577" spans="1:8">
      <c r="A577" s="1">
        <v>43126</v>
      </c>
      <c r="B577">
        <v>342.85</v>
      </c>
      <c r="C577" s="2">
        <f t="shared" ca="1" si="33"/>
        <v>342.69583333333338</v>
      </c>
      <c r="D577" s="2">
        <f t="shared" ca="1" si="32"/>
        <v>345.44000000000005</v>
      </c>
      <c r="E577" t="b">
        <f t="shared" ca="1" si="35"/>
        <v>1</v>
      </c>
      <c r="F577">
        <v>322.52000000009144</v>
      </c>
      <c r="G577">
        <v>15085.400000000001</v>
      </c>
      <c r="H577">
        <f t="shared" si="34"/>
        <v>15407.920000000093</v>
      </c>
    </row>
    <row r="578" spans="1:8">
      <c r="A578" s="1">
        <v>43129</v>
      </c>
      <c r="B578">
        <v>349.53</v>
      </c>
      <c r="C578" s="2">
        <f t="shared" ca="1" si="33"/>
        <v>343.45916666666659</v>
      </c>
      <c r="D578" s="2">
        <f t="shared" ca="1" si="32"/>
        <v>342.12666666666672</v>
      </c>
      <c r="E578" t="b">
        <f t="shared" ca="1" si="35"/>
        <v>0</v>
      </c>
      <c r="F578">
        <v>15701.840000000091</v>
      </c>
      <c r="G578">
        <v>0</v>
      </c>
      <c r="H578">
        <f t="shared" si="34"/>
        <v>15701.840000000091</v>
      </c>
    </row>
    <row r="579" spans="1:8">
      <c r="A579" s="1">
        <v>43130</v>
      </c>
      <c r="B579">
        <v>345.82</v>
      </c>
      <c r="C579" s="2">
        <f t="shared" ca="1" si="33"/>
        <v>344.68666666666667</v>
      </c>
      <c r="D579" s="2">
        <f t="shared" ca="1" si="32"/>
        <v>343.34</v>
      </c>
      <c r="E579" t="b">
        <f t="shared" ca="1" si="35"/>
        <v>0</v>
      </c>
      <c r="F579">
        <v>15701.840000000091</v>
      </c>
      <c r="G579">
        <v>0</v>
      </c>
      <c r="H579">
        <f t="shared" si="34"/>
        <v>15701.840000000091</v>
      </c>
    </row>
    <row r="580" spans="1:8">
      <c r="A580" s="1">
        <v>43131</v>
      </c>
      <c r="B580">
        <v>354.31</v>
      </c>
      <c r="C580" s="2">
        <f t="shared" ca="1" si="33"/>
        <v>345.34249999999997</v>
      </c>
      <c r="D580" s="2">
        <f t="shared" ca="1" si="32"/>
        <v>346.06666666666666</v>
      </c>
      <c r="E580" t="b">
        <f t="shared" ca="1" si="35"/>
        <v>1</v>
      </c>
      <c r="F580">
        <v>112.20000000009793</v>
      </c>
      <c r="G580">
        <v>15589.64</v>
      </c>
      <c r="H580">
        <f t="shared" si="34"/>
        <v>15701.840000000097</v>
      </c>
    </row>
    <row r="581" spans="1:8">
      <c r="A581" s="1">
        <v>43132</v>
      </c>
      <c r="B581">
        <v>349.25</v>
      </c>
      <c r="C581" s="2">
        <f t="shared" ca="1" si="33"/>
        <v>346.84999999999997</v>
      </c>
      <c r="D581" s="2">
        <f t="shared" ref="D581:D644" ca="1" si="36">AVERAGE(INDIRECT(ADDRESS(ROW()-$D$1,COLUMN()-2)&amp;":"&amp;ADDRESS(ROW()-1,COLUMN()-2)))</f>
        <v>349.8866666666666</v>
      </c>
      <c r="E581" t="b">
        <f t="shared" ca="1" si="35"/>
        <v>1</v>
      </c>
      <c r="F581">
        <v>112.20000000009793</v>
      </c>
      <c r="G581">
        <v>15367</v>
      </c>
      <c r="H581">
        <f t="shared" si="34"/>
        <v>15479.200000000097</v>
      </c>
    </row>
    <row r="582" spans="1:8">
      <c r="A582" s="1">
        <v>43133</v>
      </c>
      <c r="B582">
        <v>343.75</v>
      </c>
      <c r="C582" s="2">
        <f t="shared" ca="1" si="33"/>
        <v>347.61583333333328</v>
      </c>
      <c r="D582" s="2">
        <f t="shared" ca="1" si="36"/>
        <v>349.79333333333335</v>
      </c>
      <c r="E582" t="b">
        <f t="shared" ca="1" si="35"/>
        <v>1</v>
      </c>
      <c r="F582">
        <v>112.20000000009793</v>
      </c>
      <c r="G582">
        <v>15125</v>
      </c>
      <c r="H582">
        <f t="shared" si="34"/>
        <v>15237.200000000097</v>
      </c>
    </row>
    <row r="583" spans="1:8">
      <c r="A583" s="1">
        <v>43136</v>
      </c>
      <c r="B583">
        <v>333.13</v>
      </c>
      <c r="C583" s="2">
        <f t="shared" ca="1" si="33"/>
        <v>347.33166666666665</v>
      </c>
      <c r="D583" s="2">
        <f t="shared" ca="1" si="36"/>
        <v>349.1033333333333</v>
      </c>
      <c r="E583" t="b">
        <f t="shared" ca="1" si="35"/>
        <v>1</v>
      </c>
      <c r="F583">
        <v>112.20000000009793</v>
      </c>
      <c r="G583">
        <v>14657.72</v>
      </c>
      <c r="H583">
        <f t="shared" si="34"/>
        <v>14769.920000000096</v>
      </c>
    </row>
    <row r="584" spans="1:8">
      <c r="A584" s="1">
        <v>43137</v>
      </c>
      <c r="B584">
        <v>333.97</v>
      </c>
      <c r="C584" s="2">
        <f t="shared" ca="1" si="33"/>
        <v>346.37833333333333</v>
      </c>
      <c r="D584" s="2">
        <f t="shared" ca="1" si="36"/>
        <v>342.04333333333335</v>
      </c>
      <c r="E584" t="b">
        <f t="shared" ca="1" si="35"/>
        <v>0</v>
      </c>
      <c r="F584">
        <v>14806.880000000097</v>
      </c>
      <c r="G584">
        <v>0</v>
      </c>
      <c r="H584">
        <f t="shared" si="34"/>
        <v>14806.880000000097</v>
      </c>
    </row>
    <row r="585" spans="1:8">
      <c r="A585" s="1">
        <v>43138</v>
      </c>
      <c r="B585">
        <v>345</v>
      </c>
      <c r="C585" s="2">
        <f t="shared" ca="1" si="33"/>
        <v>345.04083333333341</v>
      </c>
      <c r="D585" s="2">
        <f t="shared" ca="1" si="36"/>
        <v>336.95</v>
      </c>
      <c r="E585" t="b">
        <f t="shared" ca="1" si="35"/>
        <v>0</v>
      </c>
      <c r="F585">
        <v>14806.880000000097</v>
      </c>
      <c r="G585">
        <v>0</v>
      </c>
      <c r="H585">
        <f t="shared" si="34"/>
        <v>14806.880000000097</v>
      </c>
    </row>
    <row r="586" spans="1:8">
      <c r="A586" s="1">
        <v>43139</v>
      </c>
      <c r="B586">
        <v>315.23</v>
      </c>
      <c r="C586" s="2">
        <f t="shared" ca="1" si="33"/>
        <v>344.49416666666667</v>
      </c>
      <c r="D586" s="2">
        <f t="shared" ca="1" si="36"/>
        <v>337.36666666666667</v>
      </c>
      <c r="E586" t="b">
        <f t="shared" ca="1" si="35"/>
        <v>0</v>
      </c>
      <c r="F586">
        <v>14806.880000000097</v>
      </c>
      <c r="G586">
        <v>0</v>
      </c>
      <c r="H586">
        <f t="shared" si="34"/>
        <v>14806.880000000097</v>
      </c>
    </row>
    <row r="587" spans="1:8">
      <c r="A587" s="1">
        <v>43140</v>
      </c>
      <c r="B587">
        <v>310.42</v>
      </c>
      <c r="C587" s="2">
        <f t="shared" ca="1" si="33"/>
        <v>341.36416666666673</v>
      </c>
      <c r="D587" s="2">
        <f t="shared" ca="1" si="36"/>
        <v>331.40000000000003</v>
      </c>
      <c r="E587" t="b">
        <f t="shared" ca="1" si="35"/>
        <v>0</v>
      </c>
      <c r="F587">
        <v>14806.880000000097</v>
      </c>
      <c r="G587">
        <v>0</v>
      </c>
      <c r="H587">
        <f t="shared" si="34"/>
        <v>14806.880000000097</v>
      </c>
    </row>
    <row r="588" spans="1:8">
      <c r="A588" s="1">
        <v>43143</v>
      </c>
      <c r="B588">
        <v>315.73</v>
      </c>
      <c r="C588" s="2">
        <f t="shared" ca="1" si="33"/>
        <v>338.40833333333336</v>
      </c>
      <c r="D588" s="2">
        <f t="shared" ca="1" si="36"/>
        <v>323.55</v>
      </c>
      <c r="E588" t="b">
        <f t="shared" ca="1" si="35"/>
        <v>0</v>
      </c>
      <c r="F588">
        <v>14806.880000000097</v>
      </c>
      <c r="G588">
        <v>0</v>
      </c>
      <c r="H588">
        <f t="shared" si="34"/>
        <v>14806.880000000097</v>
      </c>
    </row>
    <row r="589" spans="1:8">
      <c r="A589" s="1">
        <v>43144</v>
      </c>
      <c r="B589">
        <v>323.66000000000003</v>
      </c>
      <c r="C589" s="2">
        <f t="shared" ca="1" si="33"/>
        <v>336.58250000000004</v>
      </c>
      <c r="D589" s="2">
        <f t="shared" ca="1" si="36"/>
        <v>313.79333333333335</v>
      </c>
      <c r="E589" t="b">
        <f t="shared" ca="1" si="35"/>
        <v>0</v>
      </c>
      <c r="F589">
        <v>14806.880000000097</v>
      </c>
      <c r="G589">
        <v>0</v>
      </c>
      <c r="H589">
        <f t="shared" si="34"/>
        <v>14806.880000000097</v>
      </c>
    </row>
    <row r="590" spans="1:8">
      <c r="A590" s="1">
        <v>43145</v>
      </c>
      <c r="B590">
        <v>322.31</v>
      </c>
      <c r="C590" s="2">
        <f t="shared" ca="1" si="33"/>
        <v>334.98333333333335</v>
      </c>
      <c r="D590" s="2">
        <f t="shared" ca="1" si="36"/>
        <v>316.60333333333341</v>
      </c>
      <c r="E590" t="b">
        <f t="shared" ca="1" si="35"/>
        <v>0</v>
      </c>
      <c r="F590">
        <v>14806.880000000097</v>
      </c>
      <c r="G590">
        <v>0</v>
      </c>
      <c r="H590">
        <f t="shared" si="34"/>
        <v>14806.880000000097</v>
      </c>
    </row>
    <row r="591" spans="1:8">
      <c r="A591" s="1">
        <v>43146</v>
      </c>
      <c r="B591">
        <v>334.065</v>
      </c>
      <c r="C591" s="2">
        <f t="shared" ca="1" si="33"/>
        <v>332.71500000000003</v>
      </c>
      <c r="D591" s="2">
        <f t="shared" ca="1" si="36"/>
        <v>320.56666666666666</v>
      </c>
      <c r="E591" t="b">
        <f t="shared" ca="1" si="35"/>
        <v>0</v>
      </c>
      <c r="F591">
        <v>14806.880000000097</v>
      </c>
      <c r="G591">
        <v>0</v>
      </c>
      <c r="H591">
        <f t="shared" si="34"/>
        <v>14806.880000000097</v>
      </c>
    </row>
    <row r="592" spans="1:8">
      <c r="A592" s="1">
        <v>43147</v>
      </c>
      <c r="B592">
        <v>335.49</v>
      </c>
      <c r="C592" s="2">
        <f t="shared" ca="1" si="33"/>
        <v>331.73541666666665</v>
      </c>
      <c r="D592" s="2">
        <f t="shared" ca="1" si="36"/>
        <v>326.67833333333334</v>
      </c>
      <c r="E592" t="b">
        <f t="shared" ca="1" si="35"/>
        <v>0</v>
      </c>
      <c r="F592">
        <v>14806.880000000097</v>
      </c>
      <c r="G592">
        <v>0</v>
      </c>
      <c r="H592">
        <f t="shared" si="34"/>
        <v>14806.880000000097</v>
      </c>
    </row>
    <row r="593" spans="1:8">
      <c r="A593" s="1">
        <v>43151</v>
      </c>
      <c r="B593">
        <v>334.77</v>
      </c>
      <c r="C593" s="2">
        <f t="shared" ca="1" si="33"/>
        <v>330.16708333333332</v>
      </c>
      <c r="D593" s="2">
        <f t="shared" ca="1" si="36"/>
        <v>330.62166666666667</v>
      </c>
      <c r="E593" t="b">
        <f t="shared" ca="1" si="35"/>
        <v>1</v>
      </c>
      <c r="F593">
        <v>77.000000000084128</v>
      </c>
      <c r="G593">
        <v>14729.88</v>
      </c>
      <c r="H593">
        <f t="shared" si="34"/>
        <v>14806.880000000083</v>
      </c>
    </row>
    <row r="594" spans="1:8">
      <c r="A594" s="1">
        <v>43152</v>
      </c>
      <c r="B594">
        <v>333.3</v>
      </c>
      <c r="C594" s="2">
        <f t="shared" ca="1" si="33"/>
        <v>328.96041666666667</v>
      </c>
      <c r="D594" s="2">
        <f t="shared" ca="1" si="36"/>
        <v>334.77500000000003</v>
      </c>
      <c r="E594" t="b">
        <f t="shared" ca="1" si="35"/>
        <v>1</v>
      </c>
      <c r="F594">
        <v>77.000000000084128</v>
      </c>
      <c r="G594">
        <v>14665.2</v>
      </c>
      <c r="H594">
        <f t="shared" si="34"/>
        <v>14742.200000000084</v>
      </c>
    </row>
    <row r="595" spans="1:8">
      <c r="A595" s="1">
        <v>43153</v>
      </c>
      <c r="B595">
        <v>346.17</v>
      </c>
      <c r="C595" s="2">
        <f t="shared" ca="1" si="33"/>
        <v>328.08958333333334</v>
      </c>
      <c r="D595" s="2">
        <f t="shared" ca="1" si="36"/>
        <v>334.52</v>
      </c>
      <c r="E595" t="b">
        <f t="shared" ca="1" si="35"/>
        <v>1</v>
      </c>
      <c r="F595">
        <v>77.000000000084128</v>
      </c>
      <c r="G595">
        <v>15231.480000000001</v>
      </c>
      <c r="H595">
        <f t="shared" si="34"/>
        <v>15308.480000000085</v>
      </c>
    </row>
    <row r="596" spans="1:8">
      <c r="A596" s="1">
        <v>43154</v>
      </c>
      <c r="B596">
        <v>352.05</v>
      </c>
      <c r="C596" s="2">
        <f t="shared" ca="1" si="33"/>
        <v>329.17625000000004</v>
      </c>
      <c r="D596" s="2">
        <f t="shared" ca="1" si="36"/>
        <v>338.08</v>
      </c>
      <c r="E596" t="b">
        <f t="shared" ca="1" si="35"/>
        <v>1</v>
      </c>
      <c r="F596">
        <v>77.000000000084128</v>
      </c>
      <c r="G596">
        <v>15490.2</v>
      </c>
      <c r="H596">
        <f t="shared" si="34"/>
        <v>15567.200000000084</v>
      </c>
    </row>
    <row r="597" spans="1:8">
      <c r="A597" s="1">
        <v>43157</v>
      </c>
      <c r="B597">
        <v>357.42</v>
      </c>
      <c r="C597" s="2">
        <f t="shared" ca="1" si="33"/>
        <v>330.6829166666667</v>
      </c>
      <c r="D597" s="2">
        <f t="shared" ca="1" si="36"/>
        <v>343.84</v>
      </c>
      <c r="E597" t="b">
        <f t="shared" ca="1" si="35"/>
        <v>1</v>
      </c>
      <c r="F597">
        <v>77.000000000084128</v>
      </c>
      <c r="G597">
        <v>15726.480000000001</v>
      </c>
      <c r="H597">
        <f t="shared" si="34"/>
        <v>15803.480000000085</v>
      </c>
    </row>
    <row r="598" spans="1:8">
      <c r="A598" s="1">
        <v>43158</v>
      </c>
      <c r="B598">
        <v>350.99</v>
      </c>
      <c r="C598" s="2">
        <f t="shared" ref="C598:C661" ca="1" si="37">AVERAGE(INDIRECT(ADDRESS(ROW()-$C$1,COLUMN()-1)&amp;":"&amp;ADDRESS(ROW()-1,COLUMN()-1)))</f>
        <v>331.71791666666672</v>
      </c>
      <c r="D598" s="2">
        <f t="shared" ca="1" si="36"/>
        <v>351.88000000000005</v>
      </c>
      <c r="E598" t="b">
        <f t="shared" ca="1" si="35"/>
        <v>1</v>
      </c>
      <c r="F598">
        <v>77.000000000084128</v>
      </c>
      <c r="G598">
        <v>15443.560000000001</v>
      </c>
      <c r="H598">
        <f t="shared" ref="H598:H661" si="38">G598+F598</f>
        <v>15520.560000000085</v>
      </c>
    </row>
    <row r="599" spans="1:8">
      <c r="A599" s="1">
        <v>43159</v>
      </c>
      <c r="B599">
        <v>343.06</v>
      </c>
      <c r="C599" s="2">
        <f t="shared" ca="1" si="37"/>
        <v>334.69791666666674</v>
      </c>
      <c r="D599" s="2">
        <f t="shared" ca="1" si="36"/>
        <v>353.48666666666668</v>
      </c>
      <c r="E599" t="b">
        <f t="shared" ca="1" si="35"/>
        <v>1</v>
      </c>
      <c r="F599">
        <v>77.000000000084128</v>
      </c>
      <c r="G599">
        <v>15094.64</v>
      </c>
      <c r="H599">
        <f t="shared" si="38"/>
        <v>15171.640000000083</v>
      </c>
    </row>
    <row r="600" spans="1:8">
      <c r="A600" s="1">
        <v>43160</v>
      </c>
      <c r="B600">
        <v>330.93</v>
      </c>
      <c r="C600" s="2">
        <f t="shared" ca="1" si="37"/>
        <v>337.41791666666671</v>
      </c>
      <c r="D600" s="2">
        <f t="shared" ca="1" si="36"/>
        <v>350.49</v>
      </c>
      <c r="E600" t="b">
        <f t="shared" ca="1" si="35"/>
        <v>1</v>
      </c>
      <c r="F600">
        <v>77.000000000084128</v>
      </c>
      <c r="G600">
        <v>14560.92</v>
      </c>
      <c r="H600">
        <f t="shared" si="38"/>
        <v>14637.920000000084</v>
      </c>
    </row>
    <row r="601" spans="1:8">
      <c r="A601" s="1">
        <v>43161</v>
      </c>
      <c r="B601">
        <v>335.12</v>
      </c>
      <c r="C601" s="2">
        <f t="shared" ca="1" si="37"/>
        <v>338.68458333333336</v>
      </c>
      <c r="D601" s="2">
        <f t="shared" ca="1" si="36"/>
        <v>341.66</v>
      </c>
      <c r="E601" t="b">
        <f t="shared" ca="1" si="35"/>
        <v>1</v>
      </c>
      <c r="F601">
        <v>77.000000000084128</v>
      </c>
      <c r="G601">
        <v>14745.28</v>
      </c>
      <c r="H601">
        <f t="shared" si="38"/>
        <v>14822.280000000084</v>
      </c>
    </row>
    <row r="602" spans="1:8">
      <c r="A602" s="1">
        <v>43164</v>
      </c>
      <c r="B602">
        <v>333.35</v>
      </c>
      <c r="C602" s="2">
        <f t="shared" ca="1" si="37"/>
        <v>339.63958333333335</v>
      </c>
      <c r="D602" s="2">
        <f t="shared" ca="1" si="36"/>
        <v>336.37</v>
      </c>
      <c r="E602" t="b">
        <f t="shared" ca="1" si="35"/>
        <v>0</v>
      </c>
      <c r="F602">
        <v>14744.400000000085</v>
      </c>
      <c r="G602">
        <v>0</v>
      </c>
      <c r="H602">
        <f t="shared" si="38"/>
        <v>14744.400000000085</v>
      </c>
    </row>
    <row r="603" spans="1:8">
      <c r="A603" s="1">
        <v>43165</v>
      </c>
      <c r="B603">
        <v>328.2</v>
      </c>
      <c r="C603" s="2">
        <f t="shared" ca="1" si="37"/>
        <v>340.55958333333331</v>
      </c>
      <c r="D603" s="2">
        <f t="shared" ca="1" si="36"/>
        <v>333.13333333333333</v>
      </c>
      <c r="E603" t="b">
        <f t="shared" ca="1" si="35"/>
        <v>0</v>
      </c>
      <c r="F603">
        <v>14744.400000000085</v>
      </c>
      <c r="G603">
        <v>0</v>
      </c>
      <c r="H603">
        <f t="shared" si="38"/>
        <v>14744.400000000085</v>
      </c>
    </row>
    <row r="604" spans="1:8">
      <c r="A604" s="1">
        <v>43166</v>
      </c>
      <c r="B604">
        <v>332.3</v>
      </c>
      <c r="C604" s="2">
        <f t="shared" ca="1" si="37"/>
        <v>340.07083333333327</v>
      </c>
      <c r="D604" s="2">
        <f t="shared" ca="1" si="36"/>
        <v>332.22333333333336</v>
      </c>
      <c r="E604" t="b">
        <f t="shared" ca="1" si="35"/>
        <v>0</v>
      </c>
      <c r="F604">
        <v>14744.400000000085</v>
      </c>
      <c r="G604">
        <v>0</v>
      </c>
      <c r="H604">
        <f t="shared" si="38"/>
        <v>14744.400000000085</v>
      </c>
    </row>
    <row r="605" spans="1:8">
      <c r="A605" s="1">
        <v>43167</v>
      </c>
      <c r="B605">
        <v>329.1</v>
      </c>
      <c r="C605" s="2">
        <f t="shared" ca="1" si="37"/>
        <v>339.80499999999995</v>
      </c>
      <c r="D605" s="2">
        <f t="shared" ca="1" si="36"/>
        <v>331.2833333333333</v>
      </c>
      <c r="E605" t="b">
        <f t="shared" ca="1" si="35"/>
        <v>0</v>
      </c>
      <c r="F605">
        <v>14744.400000000085</v>
      </c>
      <c r="G605">
        <v>0</v>
      </c>
      <c r="H605">
        <f t="shared" si="38"/>
        <v>14744.400000000085</v>
      </c>
    </row>
    <row r="606" spans="1:8">
      <c r="A606" s="1">
        <v>43168</v>
      </c>
      <c r="B606">
        <v>327.17</v>
      </c>
      <c r="C606" s="2">
        <f t="shared" ca="1" si="37"/>
        <v>339.33249999999998</v>
      </c>
      <c r="D606" s="2">
        <f t="shared" ca="1" si="36"/>
        <v>329.86666666666667</v>
      </c>
      <c r="E606" t="b">
        <f t="shared" ca="1" si="35"/>
        <v>0</v>
      </c>
      <c r="F606">
        <v>14744.400000000085</v>
      </c>
      <c r="G606">
        <v>0</v>
      </c>
      <c r="H606">
        <f t="shared" si="38"/>
        <v>14744.400000000085</v>
      </c>
    </row>
    <row r="607" spans="1:8">
      <c r="A607" s="1">
        <v>43171</v>
      </c>
      <c r="B607">
        <v>345.51</v>
      </c>
      <c r="C607" s="2">
        <f t="shared" ca="1" si="37"/>
        <v>338.82166666666666</v>
      </c>
      <c r="D607" s="2">
        <f t="shared" ca="1" si="36"/>
        <v>329.52333333333337</v>
      </c>
      <c r="E607" t="b">
        <f t="shared" ca="1" si="35"/>
        <v>0</v>
      </c>
      <c r="F607">
        <v>14744.400000000085</v>
      </c>
      <c r="G607">
        <v>0</v>
      </c>
      <c r="H607">
        <f t="shared" si="38"/>
        <v>14744.400000000085</v>
      </c>
    </row>
    <row r="608" spans="1:8">
      <c r="A608" s="1">
        <v>43172</v>
      </c>
      <c r="B608">
        <v>341.84</v>
      </c>
      <c r="C608" s="2">
        <f t="shared" ca="1" si="37"/>
        <v>338.76666666666665</v>
      </c>
      <c r="D608" s="2">
        <f t="shared" ca="1" si="36"/>
        <v>333.92666666666668</v>
      </c>
      <c r="E608" t="b">
        <f t="shared" ca="1" si="35"/>
        <v>0</v>
      </c>
      <c r="F608">
        <v>14744.400000000085</v>
      </c>
      <c r="G608">
        <v>0</v>
      </c>
      <c r="H608">
        <f t="shared" si="38"/>
        <v>14744.400000000085</v>
      </c>
    </row>
    <row r="609" spans="1:8">
      <c r="A609" s="1">
        <v>43173</v>
      </c>
      <c r="B609">
        <v>326.63</v>
      </c>
      <c r="C609" s="2">
        <f t="shared" ca="1" si="37"/>
        <v>337.9158333333333</v>
      </c>
      <c r="D609" s="2">
        <f t="shared" ca="1" si="36"/>
        <v>338.17333333333335</v>
      </c>
      <c r="E609" t="b">
        <f t="shared" ca="1" si="35"/>
        <v>1</v>
      </c>
      <c r="F609">
        <v>46.050000000098748</v>
      </c>
      <c r="G609">
        <v>14698.35</v>
      </c>
      <c r="H609">
        <f t="shared" si="38"/>
        <v>14744.4000000001</v>
      </c>
    </row>
    <row r="610" spans="1:8">
      <c r="A610" s="1">
        <v>43174</v>
      </c>
      <c r="B610">
        <v>325.60000000000002</v>
      </c>
      <c r="C610" s="2">
        <f t="shared" ca="1" si="37"/>
        <v>335.34999999999997</v>
      </c>
      <c r="D610" s="2">
        <f t="shared" ca="1" si="36"/>
        <v>337.99333333333328</v>
      </c>
      <c r="E610" t="b">
        <f t="shared" ca="1" si="35"/>
        <v>1</v>
      </c>
      <c r="F610">
        <v>46.050000000098748</v>
      </c>
      <c r="G610">
        <v>14652.000000000002</v>
      </c>
      <c r="H610">
        <f t="shared" si="38"/>
        <v>14698.050000000101</v>
      </c>
    </row>
    <row r="611" spans="1:8">
      <c r="A611" s="1">
        <v>43175</v>
      </c>
      <c r="B611">
        <v>321.35000000000002</v>
      </c>
      <c r="C611" s="2">
        <f t="shared" ca="1" si="37"/>
        <v>333.23416666666668</v>
      </c>
      <c r="D611" s="2">
        <f t="shared" ca="1" si="36"/>
        <v>331.35666666666668</v>
      </c>
      <c r="E611" t="b">
        <f t="shared" ca="1" si="35"/>
        <v>0</v>
      </c>
      <c r="F611">
        <v>14506.800000000101</v>
      </c>
      <c r="G611">
        <v>0</v>
      </c>
      <c r="H611">
        <f t="shared" si="38"/>
        <v>14506.800000000101</v>
      </c>
    </row>
    <row r="612" spans="1:8">
      <c r="A612" s="1">
        <v>43178</v>
      </c>
      <c r="B612">
        <v>313.56</v>
      </c>
      <c r="C612" s="2">
        <f t="shared" ca="1" si="37"/>
        <v>331.42500000000001</v>
      </c>
      <c r="D612" s="2">
        <f t="shared" ca="1" si="36"/>
        <v>324.5266666666667</v>
      </c>
      <c r="E612" t="b">
        <f t="shared" ca="1" si="35"/>
        <v>0</v>
      </c>
      <c r="F612">
        <v>14506.800000000101</v>
      </c>
      <c r="G612">
        <v>0</v>
      </c>
      <c r="H612">
        <f t="shared" si="38"/>
        <v>14506.800000000101</v>
      </c>
    </row>
    <row r="613" spans="1:8">
      <c r="A613" s="1">
        <v>43179</v>
      </c>
      <c r="B613">
        <v>310.55</v>
      </c>
      <c r="C613" s="2">
        <f t="shared" ca="1" si="37"/>
        <v>329.97750000000002</v>
      </c>
      <c r="D613" s="2">
        <f t="shared" ca="1" si="36"/>
        <v>320.17</v>
      </c>
      <c r="E613" t="b">
        <f t="shared" ca="1" si="35"/>
        <v>0</v>
      </c>
      <c r="F613">
        <v>14506.800000000101</v>
      </c>
      <c r="G613">
        <v>0</v>
      </c>
      <c r="H613">
        <f t="shared" si="38"/>
        <v>14506.800000000101</v>
      </c>
    </row>
    <row r="614" spans="1:8">
      <c r="A614" s="1">
        <v>43180</v>
      </c>
      <c r="B614">
        <v>316.52999999999997</v>
      </c>
      <c r="C614" s="2">
        <f t="shared" ca="1" si="37"/>
        <v>327.93</v>
      </c>
      <c r="D614" s="2">
        <f t="shared" ca="1" si="36"/>
        <v>315.15333333333336</v>
      </c>
      <c r="E614" t="b">
        <f t="shared" ca="1" si="35"/>
        <v>0</v>
      </c>
      <c r="F614">
        <v>14506.800000000101</v>
      </c>
      <c r="G614">
        <v>0</v>
      </c>
      <c r="H614">
        <f t="shared" si="38"/>
        <v>14506.800000000101</v>
      </c>
    </row>
    <row r="615" spans="1:8">
      <c r="A615" s="1">
        <v>43181</v>
      </c>
      <c r="B615">
        <v>309.10000000000002</v>
      </c>
      <c r="C615" s="2">
        <f t="shared" ca="1" si="37"/>
        <v>326.52833333333336</v>
      </c>
      <c r="D615" s="2">
        <f t="shared" ca="1" si="36"/>
        <v>313.54666666666668</v>
      </c>
      <c r="E615" t="b">
        <f t="shared" ca="1" si="35"/>
        <v>0</v>
      </c>
      <c r="F615">
        <v>14506.800000000101</v>
      </c>
      <c r="G615">
        <v>0</v>
      </c>
      <c r="H615">
        <f t="shared" si="38"/>
        <v>14506.800000000101</v>
      </c>
    </row>
    <row r="616" spans="1:8">
      <c r="A616" s="1">
        <v>43182</v>
      </c>
      <c r="B616">
        <v>301.54000000000002</v>
      </c>
      <c r="C616" s="2">
        <f t="shared" ca="1" si="37"/>
        <v>324.93666666666667</v>
      </c>
      <c r="D616" s="2">
        <f t="shared" ca="1" si="36"/>
        <v>312.06</v>
      </c>
      <c r="E616" t="b">
        <f t="shared" ca="1" si="35"/>
        <v>0</v>
      </c>
      <c r="F616">
        <v>14506.800000000101</v>
      </c>
      <c r="G616">
        <v>0</v>
      </c>
      <c r="H616">
        <f t="shared" si="38"/>
        <v>14506.800000000101</v>
      </c>
    </row>
    <row r="617" spans="1:8">
      <c r="A617" s="1">
        <v>43185</v>
      </c>
      <c r="B617">
        <v>304.18</v>
      </c>
      <c r="C617" s="2">
        <f t="shared" ca="1" si="37"/>
        <v>322.37333333333333</v>
      </c>
      <c r="D617" s="2">
        <f t="shared" ca="1" si="36"/>
        <v>309.05666666666667</v>
      </c>
      <c r="E617" t="b">
        <f t="shared" ca="1" si="35"/>
        <v>0</v>
      </c>
      <c r="F617">
        <v>14506.800000000101</v>
      </c>
      <c r="G617">
        <v>0</v>
      </c>
      <c r="H617">
        <f t="shared" si="38"/>
        <v>14506.800000000101</v>
      </c>
    </row>
    <row r="618" spans="1:8">
      <c r="A618" s="1">
        <v>43186</v>
      </c>
      <c r="B618">
        <v>279.18</v>
      </c>
      <c r="C618" s="2">
        <f t="shared" ca="1" si="37"/>
        <v>320.29666666666662</v>
      </c>
      <c r="D618" s="2">
        <f t="shared" ca="1" si="36"/>
        <v>304.94000000000005</v>
      </c>
      <c r="E618" t="b">
        <f t="shared" ca="1" si="35"/>
        <v>0</v>
      </c>
      <c r="F618">
        <v>14506.800000000101</v>
      </c>
      <c r="G618">
        <v>0</v>
      </c>
      <c r="H618">
        <f t="shared" si="38"/>
        <v>14506.800000000101</v>
      </c>
    </row>
    <row r="619" spans="1:8">
      <c r="A619" s="1">
        <v>43187</v>
      </c>
      <c r="B619">
        <v>257.77999999999997</v>
      </c>
      <c r="C619" s="2">
        <f t="shared" ca="1" si="37"/>
        <v>316.29749999999996</v>
      </c>
      <c r="D619" s="2">
        <f t="shared" ca="1" si="36"/>
        <v>294.9666666666667</v>
      </c>
      <c r="E619" t="b">
        <f t="shared" ca="1" si="35"/>
        <v>0</v>
      </c>
      <c r="F619">
        <v>14506.800000000101</v>
      </c>
      <c r="G619">
        <v>0</v>
      </c>
      <c r="H619">
        <f t="shared" si="38"/>
        <v>14506.800000000101</v>
      </c>
    </row>
    <row r="620" spans="1:8">
      <c r="A620" s="1">
        <v>43188</v>
      </c>
      <c r="B620">
        <v>266.13</v>
      </c>
      <c r="C620" s="2">
        <f t="shared" ca="1" si="37"/>
        <v>308.98666666666662</v>
      </c>
      <c r="D620" s="2">
        <f t="shared" ca="1" si="36"/>
        <v>280.38</v>
      </c>
      <c r="E620" t="b">
        <f t="shared" ca="1" si="35"/>
        <v>0</v>
      </c>
      <c r="F620">
        <v>14506.800000000101</v>
      </c>
      <c r="G620">
        <v>0</v>
      </c>
      <c r="H620">
        <f t="shared" si="38"/>
        <v>14506.800000000101</v>
      </c>
    </row>
    <row r="621" spans="1:8">
      <c r="A621" s="1">
        <v>43192</v>
      </c>
      <c r="B621">
        <v>252.48</v>
      </c>
      <c r="C621" s="2">
        <f t="shared" ca="1" si="37"/>
        <v>302.67750000000001</v>
      </c>
      <c r="D621" s="2">
        <f t="shared" ca="1" si="36"/>
        <v>267.69666666666666</v>
      </c>
      <c r="E621" t="b">
        <f t="shared" ca="1" si="35"/>
        <v>0</v>
      </c>
      <c r="F621">
        <v>14506.800000000101</v>
      </c>
      <c r="G621">
        <v>0</v>
      </c>
      <c r="H621">
        <f t="shared" si="38"/>
        <v>14506.800000000101</v>
      </c>
    </row>
    <row r="622" spans="1:8">
      <c r="A622" s="1">
        <v>43193</v>
      </c>
      <c r="B622">
        <v>267.52999999999997</v>
      </c>
      <c r="C622" s="2">
        <f t="shared" ca="1" si="37"/>
        <v>296.49833333333333</v>
      </c>
      <c r="D622" s="2">
        <f t="shared" ca="1" si="36"/>
        <v>258.79666666666668</v>
      </c>
      <c r="E622" t="b">
        <f t="shared" ca="1" si="35"/>
        <v>0</v>
      </c>
      <c r="F622">
        <v>14506.800000000101</v>
      </c>
      <c r="G622">
        <v>0</v>
      </c>
      <c r="H622">
        <f t="shared" si="38"/>
        <v>14506.800000000101</v>
      </c>
    </row>
    <row r="623" spans="1:8">
      <c r="A623" s="1">
        <v>43194</v>
      </c>
      <c r="B623">
        <v>286.94</v>
      </c>
      <c r="C623" s="2">
        <f t="shared" ca="1" si="37"/>
        <v>291.65916666666664</v>
      </c>
      <c r="D623" s="2">
        <f t="shared" ca="1" si="36"/>
        <v>262.04666666666668</v>
      </c>
      <c r="E623" t="b">
        <f t="shared" ca="1" si="35"/>
        <v>0</v>
      </c>
      <c r="F623">
        <v>14506.800000000101</v>
      </c>
      <c r="G623">
        <v>0</v>
      </c>
      <c r="H623">
        <f t="shared" si="38"/>
        <v>14506.800000000101</v>
      </c>
    </row>
    <row r="624" spans="1:8">
      <c r="A624" s="1">
        <v>43195</v>
      </c>
      <c r="B624">
        <v>305.72000000000003</v>
      </c>
      <c r="C624" s="2">
        <f t="shared" ca="1" si="37"/>
        <v>288.79166666666669</v>
      </c>
      <c r="D624" s="2">
        <f t="shared" ca="1" si="36"/>
        <v>268.98333333333335</v>
      </c>
      <c r="E624" t="b">
        <f t="shared" ca="1" si="35"/>
        <v>0</v>
      </c>
      <c r="F624">
        <v>14506.800000000101</v>
      </c>
      <c r="G624">
        <v>0</v>
      </c>
      <c r="H624">
        <f t="shared" si="38"/>
        <v>14506.800000000101</v>
      </c>
    </row>
    <row r="625" spans="1:8">
      <c r="A625" s="1">
        <v>43196</v>
      </c>
      <c r="B625">
        <v>299.3</v>
      </c>
      <c r="C625" s="2">
        <f t="shared" ca="1" si="37"/>
        <v>288.13833333333332</v>
      </c>
      <c r="D625" s="2">
        <f t="shared" ca="1" si="36"/>
        <v>286.73</v>
      </c>
      <c r="E625" t="b">
        <f t="shared" ca="1" si="35"/>
        <v>0</v>
      </c>
      <c r="F625">
        <v>14506.800000000101</v>
      </c>
      <c r="G625">
        <v>0</v>
      </c>
      <c r="H625">
        <f t="shared" si="38"/>
        <v>14506.800000000101</v>
      </c>
    </row>
    <row r="626" spans="1:8">
      <c r="A626" s="1">
        <v>43199</v>
      </c>
      <c r="B626">
        <v>289.66000000000003</v>
      </c>
      <c r="C626" s="2">
        <f t="shared" ca="1" si="37"/>
        <v>287.20083333333332</v>
      </c>
      <c r="D626" s="2">
        <f t="shared" ca="1" si="36"/>
        <v>297.32</v>
      </c>
      <c r="E626" t="b">
        <f t="shared" ca="1" si="35"/>
        <v>1</v>
      </c>
      <c r="F626">
        <v>23.800000000106934</v>
      </c>
      <c r="G626">
        <v>14483.000000000002</v>
      </c>
      <c r="H626">
        <f t="shared" si="38"/>
        <v>14506.800000000108</v>
      </c>
    </row>
    <row r="627" spans="1:8">
      <c r="A627" s="1">
        <v>43200</v>
      </c>
      <c r="B627">
        <v>304.7</v>
      </c>
      <c r="C627" s="2">
        <f t="shared" ca="1" si="37"/>
        <v>284.96166666666664</v>
      </c>
      <c r="D627" s="2">
        <f t="shared" ca="1" si="36"/>
        <v>298.22666666666669</v>
      </c>
      <c r="E627" t="b">
        <f t="shared" ca="1" si="35"/>
        <v>1</v>
      </c>
      <c r="F627">
        <v>23.800000000106934</v>
      </c>
      <c r="G627">
        <v>15235</v>
      </c>
      <c r="H627">
        <f t="shared" si="38"/>
        <v>15258.800000000107</v>
      </c>
    </row>
    <row r="628" spans="1:8">
      <c r="A628" s="1">
        <v>43201</v>
      </c>
      <c r="B628">
        <v>300.93</v>
      </c>
      <c r="C628" s="2">
        <f t="shared" ca="1" si="37"/>
        <v>284.59499999999997</v>
      </c>
      <c r="D628" s="2">
        <f t="shared" ca="1" si="36"/>
        <v>297.88666666666671</v>
      </c>
      <c r="E628" t="b">
        <f t="shared" ref="E628:E691" ca="1" si="39">D628&gt;C628</f>
        <v>1</v>
      </c>
      <c r="F628">
        <v>23.800000000106934</v>
      </c>
      <c r="G628">
        <v>15046.5</v>
      </c>
      <c r="H628">
        <f t="shared" si="38"/>
        <v>15070.300000000107</v>
      </c>
    </row>
    <row r="629" spans="1:8">
      <c r="A629" s="1">
        <v>43202</v>
      </c>
      <c r="B629">
        <v>294.08</v>
      </c>
      <c r="C629" s="2">
        <f t="shared" ca="1" si="37"/>
        <v>284.54416666666663</v>
      </c>
      <c r="D629" s="2">
        <f t="shared" ca="1" si="36"/>
        <v>298.43</v>
      </c>
      <c r="E629" t="b">
        <f t="shared" ca="1" si="39"/>
        <v>1</v>
      </c>
      <c r="F629">
        <v>23.800000000106934</v>
      </c>
      <c r="G629">
        <v>14704</v>
      </c>
      <c r="H629">
        <f t="shared" si="38"/>
        <v>14727.800000000107</v>
      </c>
    </row>
    <row r="630" spans="1:8">
      <c r="A630" s="1">
        <v>43203</v>
      </c>
      <c r="B630">
        <v>300.33999999999997</v>
      </c>
      <c r="C630" s="2">
        <f t="shared" ca="1" si="37"/>
        <v>283.70249999999993</v>
      </c>
      <c r="D630" s="2">
        <f t="shared" ca="1" si="36"/>
        <v>299.90333333333336</v>
      </c>
      <c r="E630" t="b">
        <f t="shared" ca="1" si="39"/>
        <v>1</v>
      </c>
      <c r="F630">
        <v>23.800000000106934</v>
      </c>
      <c r="G630">
        <v>15016.999999999998</v>
      </c>
      <c r="H630">
        <f t="shared" si="38"/>
        <v>15040.800000000105</v>
      </c>
    </row>
    <row r="631" spans="1:8">
      <c r="A631" s="1">
        <v>43206</v>
      </c>
      <c r="B631">
        <v>291.20999999999998</v>
      </c>
      <c r="C631" s="2">
        <f t="shared" ca="1" si="37"/>
        <v>285.46583333333331</v>
      </c>
      <c r="D631" s="2">
        <f t="shared" ca="1" si="36"/>
        <v>298.45</v>
      </c>
      <c r="E631" t="b">
        <f t="shared" ca="1" si="39"/>
        <v>1</v>
      </c>
      <c r="F631">
        <v>23.800000000106934</v>
      </c>
      <c r="G631">
        <v>14560.499999999998</v>
      </c>
      <c r="H631">
        <f t="shared" si="38"/>
        <v>14584.300000000105</v>
      </c>
    </row>
    <row r="632" spans="1:8">
      <c r="A632" s="1">
        <v>43207</v>
      </c>
      <c r="B632">
        <v>287.69</v>
      </c>
      <c r="C632" s="2">
        <f t="shared" ca="1" si="37"/>
        <v>288.25166666666667</v>
      </c>
      <c r="D632" s="2">
        <f t="shared" ca="1" si="36"/>
        <v>295.20999999999998</v>
      </c>
      <c r="E632" t="b">
        <f t="shared" ca="1" si="39"/>
        <v>1</v>
      </c>
      <c r="F632">
        <v>23.800000000106934</v>
      </c>
      <c r="G632">
        <v>14384.5</v>
      </c>
      <c r="H632">
        <f t="shared" si="38"/>
        <v>14408.300000000107</v>
      </c>
    </row>
    <row r="633" spans="1:8">
      <c r="A633" s="1">
        <v>43208</v>
      </c>
      <c r="B633">
        <v>293.35000000000002</v>
      </c>
      <c r="C633" s="2">
        <f t="shared" ca="1" si="37"/>
        <v>290.04833333333335</v>
      </c>
      <c r="D633" s="2">
        <f t="shared" ca="1" si="36"/>
        <v>293.08</v>
      </c>
      <c r="E633" t="b">
        <f t="shared" ca="1" si="39"/>
        <v>1</v>
      </c>
      <c r="F633">
        <v>23.800000000106934</v>
      </c>
      <c r="G633">
        <v>14667.500000000002</v>
      </c>
      <c r="H633">
        <f t="shared" si="38"/>
        <v>14691.300000000108</v>
      </c>
    </row>
    <row r="634" spans="1:8">
      <c r="A634" s="1">
        <v>43209</v>
      </c>
      <c r="B634">
        <v>300.08</v>
      </c>
      <c r="C634" s="2">
        <f t="shared" ca="1" si="37"/>
        <v>293.45416666666671</v>
      </c>
      <c r="D634" s="2">
        <f t="shared" ca="1" si="36"/>
        <v>290.75</v>
      </c>
      <c r="E634" t="b">
        <f t="shared" ca="1" si="39"/>
        <v>0</v>
      </c>
      <c r="F634">
        <v>15027.800000000107</v>
      </c>
      <c r="G634">
        <v>0</v>
      </c>
      <c r="H634">
        <f t="shared" si="38"/>
        <v>15027.800000000107</v>
      </c>
    </row>
    <row r="635" spans="1:8">
      <c r="A635" s="1">
        <v>43210</v>
      </c>
      <c r="B635">
        <v>290.24</v>
      </c>
      <c r="C635" s="2">
        <f t="shared" ca="1" si="37"/>
        <v>296.16666666666669</v>
      </c>
      <c r="D635" s="2">
        <f t="shared" ca="1" si="36"/>
        <v>293.70666666666665</v>
      </c>
      <c r="E635" t="b">
        <f t="shared" ca="1" si="39"/>
        <v>0</v>
      </c>
      <c r="F635">
        <v>15027.800000000107</v>
      </c>
      <c r="G635">
        <v>0</v>
      </c>
      <c r="H635">
        <f t="shared" si="38"/>
        <v>15027.800000000107</v>
      </c>
    </row>
    <row r="636" spans="1:8">
      <c r="A636" s="1">
        <v>43213</v>
      </c>
      <c r="B636">
        <v>283.37</v>
      </c>
      <c r="C636" s="2">
        <f t="shared" ca="1" si="37"/>
        <v>296.44166666666666</v>
      </c>
      <c r="D636" s="2">
        <f t="shared" ca="1" si="36"/>
        <v>294.55666666666667</v>
      </c>
      <c r="E636" t="b">
        <f t="shared" ca="1" si="39"/>
        <v>0</v>
      </c>
      <c r="F636">
        <v>15027.800000000107</v>
      </c>
      <c r="G636">
        <v>0</v>
      </c>
      <c r="H636">
        <f t="shared" si="38"/>
        <v>15027.800000000107</v>
      </c>
    </row>
    <row r="637" spans="1:8">
      <c r="A637" s="1">
        <v>43214</v>
      </c>
      <c r="B637">
        <v>283.45999999999998</v>
      </c>
      <c r="C637" s="2">
        <f t="shared" ca="1" si="37"/>
        <v>294.57916666666665</v>
      </c>
      <c r="D637" s="2">
        <f t="shared" ca="1" si="36"/>
        <v>291.22999999999996</v>
      </c>
      <c r="E637" t="b">
        <f t="shared" ca="1" si="39"/>
        <v>0</v>
      </c>
      <c r="F637">
        <v>15027.800000000107</v>
      </c>
      <c r="G637">
        <v>0</v>
      </c>
      <c r="H637">
        <f t="shared" si="38"/>
        <v>15027.800000000107</v>
      </c>
    </row>
    <row r="638" spans="1:8">
      <c r="A638" s="1">
        <v>43215</v>
      </c>
      <c r="B638">
        <v>280.69</v>
      </c>
      <c r="C638" s="2">
        <f t="shared" ca="1" si="37"/>
        <v>293.25916666666666</v>
      </c>
      <c r="D638" s="2">
        <f t="shared" ca="1" si="36"/>
        <v>285.69</v>
      </c>
      <c r="E638" t="b">
        <f t="shared" ca="1" si="39"/>
        <v>0</v>
      </c>
      <c r="F638">
        <v>15027.800000000107</v>
      </c>
      <c r="G638">
        <v>0</v>
      </c>
      <c r="H638">
        <f t="shared" si="38"/>
        <v>15027.800000000107</v>
      </c>
    </row>
    <row r="639" spans="1:8">
      <c r="A639" s="1">
        <v>43216</v>
      </c>
      <c r="B639">
        <v>285.48</v>
      </c>
      <c r="C639" s="2">
        <f t="shared" ca="1" si="37"/>
        <v>292.51166666666666</v>
      </c>
      <c r="D639" s="2">
        <f t="shared" ca="1" si="36"/>
        <v>282.50666666666666</v>
      </c>
      <c r="E639" t="b">
        <f t="shared" ca="1" si="39"/>
        <v>0</v>
      </c>
      <c r="F639">
        <v>15027.800000000107</v>
      </c>
      <c r="G639">
        <v>0</v>
      </c>
      <c r="H639">
        <f t="shared" si="38"/>
        <v>15027.800000000107</v>
      </c>
    </row>
    <row r="640" spans="1:8">
      <c r="A640" s="1">
        <v>43217</v>
      </c>
      <c r="B640">
        <v>294.07499999999999</v>
      </c>
      <c r="C640" s="2">
        <f t="shared" ca="1" si="37"/>
        <v>290.91000000000003</v>
      </c>
      <c r="D640" s="2">
        <f t="shared" ca="1" si="36"/>
        <v>283.20999999999998</v>
      </c>
      <c r="E640" t="b">
        <f t="shared" ca="1" si="39"/>
        <v>0</v>
      </c>
      <c r="F640">
        <v>15027.800000000107</v>
      </c>
      <c r="G640">
        <v>0</v>
      </c>
      <c r="H640">
        <f t="shared" si="38"/>
        <v>15027.800000000107</v>
      </c>
    </row>
    <row r="641" spans="1:8">
      <c r="A641" s="1">
        <v>43220</v>
      </c>
      <c r="B641">
        <v>293.89999999999998</v>
      </c>
      <c r="C641" s="2">
        <f t="shared" ca="1" si="37"/>
        <v>290.33874999999995</v>
      </c>
      <c r="D641" s="2">
        <f t="shared" ca="1" si="36"/>
        <v>286.74833333333339</v>
      </c>
      <c r="E641" t="b">
        <f t="shared" ca="1" si="39"/>
        <v>0</v>
      </c>
      <c r="F641">
        <v>15027.800000000107</v>
      </c>
      <c r="G641">
        <v>0</v>
      </c>
      <c r="H641">
        <f t="shared" si="38"/>
        <v>15027.800000000107</v>
      </c>
    </row>
    <row r="642" spans="1:8">
      <c r="A642" s="1">
        <v>43221</v>
      </c>
      <c r="B642">
        <v>299.92</v>
      </c>
      <c r="C642" s="2">
        <f t="shared" ca="1" si="37"/>
        <v>290.32375000000002</v>
      </c>
      <c r="D642" s="2">
        <f t="shared" ca="1" si="36"/>
        <v>291.1516666666667</v>
      </c>
      <c r="E642" t="b">
        <f t="shared" ca="1" si="39"/>
        <v>1</v>
      </c>
      <c r="F642">
        <v>31.800000000103068</v>
      </c>
      <c r="G642">
        <v>14996</v>
      </c>
      <c r="H642">
        <f t="shared" si="38"/>
        <v>15027.800000000103</v>
      </c>
    </row>
    <row r="643" spans="1:8">
      <c r="A643" s="1">
        <v>43222</v>
      </c>
      <c r="B643">
        <v>301.14999999999998</v>
      </c>
      <c r="C643" s="2">
        <f t="shared" ca="1" si="37"/>
        <v>290.28874999999999</v>
      </c>
      <c r="D643" s="2">
        <f t="shared" ca="1" si="36"/>
        <v>295.96499999999997</v>
      </c>
      <c r="E643" t="b">
        <f t="shared" ca="1" si="39"/>
        <v>1</v>
      </c>
      <c r="F643">
        <v>31.800000000103068</v>
      </c>
      <c r="G643">
        <v>15057.499999999998</v>
      </c>
      <c r="H643">
        <f t="shared" si="38"/>
        <v>15089.300000000101</v>
      </c>
    </row>
    <row r="644" spans="1:8">
      <c r="A644" s="1">
        <v>43223</v>
      </c>
      <c r="B644">
        <v>284.45</v>
      </c>
      <c r="C644" s="2">
        <f t="shared" ca="1" si="37"/>
        <v>291.11708333333337</v>
      </c>
      <c r="D644" s="2">
        <f t="shared" ca="1" si="36"/>
        <v>298.32333333333332</v>
      </c>
      <c r="E644" t="b">
        <f t="shared" ca="1" si="39"/>
        <v>1</v>
      </c>
      <c r="F644">
        <v>31.800000000103068</v>
      </c>
      <c r="G644">
        <v>14222.5</v>
      </c>
      <c r="H644">
        <f t="shared" si="38"/>
        <v>14254.300000000103</v>
      </c>
    </row>
    <row r="645" spans="1:8">
      <c r="A645" s="1">
        <v>43224</v>
      </c>
      <c r="B645">
        <v>294.08999999999997</v>
      </c>
      <c r="C645" s="2">
        <f t="shared" ca="1" si="37"/>
        <v>290.84708333333333</v>
      </c>
      <c r="D645" s="2">
        <f t="shared" ref="D645:D708" ca="1" si="40">AVERAGE(INDIRECT(ADDRESS(ROW()-$D$1,COLUMN()-2)&amp;":"&amp;ADDRESS(ROW()-1,COLUMN()-2)))</f>
        <v>295.17333333333335</v>
      </c>
      <c r="E645" t="b">
        <f t="shared" ca="1" si="39"/>
        <v>1</v>
      </c>
      <c r="F645">
        <v>31.800000000103068</v>
      </c>
      <c r="G645">
        <v>14704.499999999998</v>
      </c>
      <c r="H645">
        <f t="shared" si="38"/>
        <v>14736.300000000101</v>
      </c>
    </row>
    <row r="646" spans="1:8">
      <c r="A646" s="1">
        <v>43227</v>
      </c>
      <c r="B646">
        <v>302.77</v>
      </c>
      <c r="C646" s="2">
        <f t="shared" ca="1" si="37"/>
        <v>290.90875</v>
      </c>
      <c r="D646" s="2">
        <f t="shared" ca="1" si="40"/>
        <v>293.22999999999996</v>
      </c>
      <c r="E646" t="b">
        <f t="shared" ca="1" si="39"/>
        <v>1</v>
      </c>
      <c r="F646">
        <v>31.800000000103068</v>
      </c>
      <c r="G646">
        <v>15138.5</v>
      </c>
      <c r="H646">
        <f t="shared" si="38"/>
        <v>15170.300000000103</v>
      </c>
    </row>
    <row r="647" spans="1:8">
      <c r="A647" s="1">
        <v>43228</v>
      </c>
      <c r="B647">
        <v>301.97000000000003</v>
      </c>
      <c r="C647" s="2">
        <f t="shared" ca="1" si="37"/>
        <v>291.13291666666669</v>
      </c>
      <c r="D647" s="2">
        <f t="shared" ca="1" si="40"/>
        <v>293.77</v>
      </c>
      <c r="E647" t="b">
        <f t="shared" ca="1" si="39"/>
        <v>1</v>
      </c>
      <c r="F647">
        <v>31.800000000103068</v>
      </c>
      <c r="G647">
        <v>15098.500000000002</v>
      </c>
      <c r="H647">
        <f t="shared" si="38"/>
        <v>15130.300000000105</v>
      </c>
    </row>
    <row r="648" spans="1:8">
      <c r="A648" s="1">
        <v>43229</v>
      </c>
      <c r="B648">
        <v>306.85000000000002</v>
      </c>
      <c r="C648" s="2">
        <f t="shared" ca="1" si="37"/>
        <v>292.11041666666665</v>
      </c>
      <c r="D648" s="2">
        <f t="shared" ca="1" si="40"/>
        <v>299.60999999999996</v>
      </c>
      <c r="E648" t="b">
        <f t="shared" ca="1" si="39"/>
        <v>1</v>
      </c>
      <c r="F648">
        <v>31.800000000103068</v>
      </c>
      <c r="G648">
        <v>15342.500000000002</v>
      </c>
      <c r="H648">
        <f t="shared" si="38"/>
        <v>15374.300000000105</v>
      </c>
    </row>
    <row r="649" spans="1:8">
      <c r="A649" s="1">
        <v>43230</v>
      </c>
      <c r="B649">
        <v>305.02</v>
      </c>
      <c r="C649" s="2">
        <f t="shared" ca="1" si="37"/>
        <v>294.0670833333333</v>
      </c>
      <c r="D649" s="2">
        <f t="shared" ca="1" si="40"/>
        <v>303.86333333333334</v>
      </c>
      <c r="E649" t="b">
        <f t="shared" ca="1" si="39"/>
        <v>1</v>
      </c>
      <c r="F649">
        <v>31.800000000103068</v>
      </c>
      <c r="G649">
        <v>15251</v>
      </c>
      <c r="H649">
        <f t="shared" si="38"/>
        <v>15282.800000000103</v>
      </c>
    </row>
    <row r="650" spans="1:8">
      <c r="A650" s="1">
        <v>43231</v>
      </c>
      <c r="B650">
        <v>301.06</v>
      </c>
      <c r="C650" s="2">
        <f t="shared" ca="1" si="37"/>
        <v>295.86374999999998</v>
      </c>
      <c r="D650" s="2">
        <f t="shared" ca="1" si="40"/>
        <v>304.61333333333334</v>
      </c>
      <c r="E650" t="b">
        <f t="shared" ca="1" si="39"/>
        <v>1</v>
      </c>
      <c r="F650">
        <v>31.800000000103068</v>
      </c>
      <c r="G650">
        <v>15053</v>
      </c>
      <c r="H650">
        <f t="shared" si="38"/>
        <v>15084.800000000103</v>
      </c>
    </row>
    <row r="651" spans="1:8">
      <c r="A651" s="1">
        <v>43234</v>
      </c>
      <c r="B651">
        <v>291.97000000000003</v>
      </c>
      <c r="C651" s="2">
        <f t="shared" ca="1" si="37"/>
        <v>297.56125000000003</v>
      </c>
      <c r="D651" s="2">
        <f t="shared" ca="1" si="40"/>
        <v>304.31</v>
      </c>
      <c r="E651" t="b">
        <f t="shared" ca="1" si="39"/>
        <v>1</v>
      </c>
      <c r="F651">
        <v>31.800000000103068</v>
      </c>
      <c r="G651">
        <v>14598.500000000002</v>
      </c>
      <c r="H651">
        <f t="shared" si="38"/>
        <v>14630.300000000105</v>
      </c>
    </row>
    <row r="652" spans="1:8">
      <c r="A652" s="1">
        <v>43235</v>
      </c>
      <c r="B652">
        <v>284.18</v>
      </c>
      <c r="C652" s="2">
        <f t="shared" ca="1" si="37"/>
        <v>298.10208333333327</v>
      </c>
      <c r="D652" s="2">
        <f t="shared" ca="1" si="40"/>
        <v>299.34999999999997</v>
      </c>
      <c r="E652" t="b">
        <f t="shared" ca="1" si="39"/>
        <v>1</v>
      </c>
      <c r="F652">
        <v>31.800000000103068</v>
      </c>
      <c r="G652">
        <v>14209</v>
      </c>
      <c r="H652">
        <f t="shared" si="38"/>
        <v>14240.800000000103</v>
      </c>
    </row>
    <row r="653" spans="1:8">
      <c r="A653" s="1">
        <v>43236</v>
      </c>
      <c r="B653">
        <v>286.48</v>
      </c>
      <c r="C653" s="2">
        <f t="shared" ca="1" si="37"/>
        <v>297.27749999999997</v>
      </c>
      <c r="D653" s="2">
        <f t="shared" ca="1" si="40"/>
        <v>292.40333333333336</v>
      </c>
      <c r="E653" t="b">
        <f t="shared" ca="1" si="39"/>
        <v>0</v>
      </c>
      <c r="F653">
        <v>14355.800000000103</v>
      </c>
      <c r="G653">
        <v>0</v>
      </c>
      <c r="H653">
        <f t="shared" si="38"/>
        <v>14355.800000000103</v>
      </c>
    </row>
    <row r="654" spans="1:8">
      <c r="A654" s="1">
        <v>43237</v>
      </c>
      <c r="B654">
        <v>284.54000000000002</v>
      </c>
      <c r="C654" s="2">
        <f t="shared" ca="1" si="37"/>
        <v>296.65916666666664</v>
      </c>
      <c r="D654" s="2">
        <f t="shared" ca="1" si="40"/>
        <v>287.54333333333335</v>
      </c>
      <c r="E654" t="b">
        <f t="shared" ca="1" si="39"/>
        <v>0</v>
      </c>
      <c r="F654">
        <v>14355.800000000103</v>
      </c>
      <c r="G654">
        <v>0</v>
      </c>
      <c r="H654">
        <f t="shared" si="38"/>
        <v>14355.800000000103</v>
      </c>
    </row>
    <row r="655" spans="1:8">
      <c r="A655" s="1">
        <v>43238</v>
      </c>
      <c r="B655">
        <v>276.82</v>
      </c>
      <c r="C655" s="2">
        <f t="shared" ca="1" si="37"/>
        <v>295.3775</v>
      </c>
      <c r="D655" s="2">
        <f t="shared" ca="1" si="40"/>
        <v>285.06666666666666</v>
      </c>
      <c r="E655" t="b">
        <f t="shared" ca="1" si="39"/>
        <v>0</v>
      </c>
      <c r="F655">
        <v>14355.800000000103</v>
      </c>
      <c r="G655">
        <v>0</v>
      </c>
      <c r="H655">
        <f t="shared" si="38"/>
        <v>14355.800000000103</v>
      </c>
    </row>
    <row r="656" spans="1:8">
      <c r="A656" s="1">
        <v>43241</v>
      </c>
      <c r="B656">
        <v>284.49</v>
      </c>
      <c r="C656" s="2">
        <f t="shared" ca="1" si="37"/>
        <v>293.35000000000002</v>
      </c>
      <c r="D656" s="2">
        <f t="shared" ca="1" si="40"/>
        <v>282.61333333333329</v>
      </c>
      <c r="E656" t="b">
        <f t="shared" ca="1" si="39"/>
        <v>0</v>
      </c>
      <c r="F656">
        <v>14355.800000000103</v>
      </c>
      <c r="G656">
        <v>0</v>
      </c>
      <c r="H656">
        <f t="shared" si="38"/>
        <v>14355.800000000103</v>
      </c>
    </row>
    <row r="657" spans="1:8">
      <c r="A657" s="1">
        <v>43242</v>
      </c>
      <c r="B657">
        <v>275.01</v>
      </c>
      <c r="C657" s="2">
        <f t="shared" ca="1" si="37"/>
        <v>293.3533333333333</v>
      </c>
      <c r="D657" s="2">
        <f t="shared" ca="1" si="40"/>
        <v>281.95</v>
      </c>
      <c r="E657" t="b">
        <f t="shared" ca="1" si="39"/>
        <v>0</v>
      </c>
      <c r="F657">
        <v>14355.800000000103</v>
      </c>
      <c r="G657">
        <v>0</v>
      </c>
      <c r="H657">
        <f t="shared" si="38"/>
        <v>14355.800000000103</v>
      </c>
    </row>
    <row r="658" spans="1:8">
      <c r="A658" s="1">
        <v>43243</v>
      </c>
      <c r="B658">
        <v>279.07</v>
      </c>
      <c r="C658" s="2">
        <f t="shared" ca="1" si="37"/>
        <v>291.76333333333338</v>
      </c>
      <c r="D658" s="2">
        <f t="shared" ca="1" si="40"/>
        <v>278.77333333333331</v>
      </c>
      <c r="E658" t="b">
        <f t="shared" ca="1" si="39"/>
        <v>0</v>
      </c>
      <c r="F658">
        <v>14355.800000000103</v>
      </c>
      <c r="G658">
        <v>0</v>
      </c>
      <c r="H658">
        <f t="shared" si="38"/>
        <v>14355.800000000103</v>
      </c>
    </row>
    <row r="659" spans="1:8">
      <c r="A659" s="1">
        <v>43244</v>
      </c>
      <c r="B659">
        <v>277.85000000000002</v>
      </c>
      <c r="C659" s="2">
        <f t="shared" ca="1" si="37"/>
        <v>289.78833333333336</v>
      </c>
      <c r="D659" s="2">
        <f t="shared" ca="1" si="40"/>
        <v>279.52333333333331</v>
      </c>
      <c r="E659" t="b">
        <f t="shared" ca="1" si="39"/>
        <v>0</v>
      </c>
      <c r="F659">
        <v>14355.800000000103</v>
      </c>
      <c r="G659">
        <v>0</v>
      </c>
      <c r="H659">
        <f t="shared" si="38"/>
        <v>14355.800000000103</v>
      </c>
    </row>
    <row r="660" spans="1:8">
      <c r="A660" s="1">
        <v>43245</v>
      </c>
      <c r="B660">
        <v>278.85000000000002</v>
      </c>
      <c r="C660" s="2">
        <f t="shared" ca="1" si="37"/>
        <v>287.77833333333342</v>
      </c>
      <c r="D660" s="2">
        <f t="shared" ca="1" si="40"/>
        <v>277.31</v>
      </c>
      <c r="E660" t="b">
        <f t="shared" ca="1" si="39"/>
        <v>0</v>
      </c>
      <c r="F660">
        <v>14355.800000000103</v>
      </c>
      <c r="G660">
        <v>0</v>
      </c>
      <c r="H660">
        <f t="shared" si="38"/>
        <v>14355.800000000103</v>
      </c>
    </row>
    <row r="661" spans="1:8">
      <c r="A661" s="1">
        <v>43249</v>
      </c>
      <c r="B661">
        <v>283.76</v>
      </c>
      <c r="C661" s="2">
        <f t="shared" ca="1" si="37"/>
        <v>285.44499999999999</v>
      </c>
      <c r="D661" s="2">
        <f t="shared" ca="1" si="40"/>
        <v>278.59000000000003</v>
      </c>
      <c r="E661" t="b">
        <f t="shared" ca="1" si="39"/>
        <v>0</v>
      </c>
      <c r="F661">
        <v>14355.800000000103</v>
      </c>
      <c r="G661">
        <v>0</v>
      </c>
      <c r="H661">
        <f t="shared" si="38"/>
        <v>14355.800000000103</v>
      </c>
    </row>
    <row r="662" spans="1:8">
      <c r="A662" s="1">
        <v>43250</v>
      </c>
      <c r="B662">
        <v>291.72000000000003</v>
      </c>
      <c r="C662" s="2">
        <f t="shared" ref="C662:C725" ca="1" si="41">AVERAGE(INDIRECT(ADDRESS(ROW()-$C$1,COLUMN()-1)&amp;":"&amp;ADDRESS(ROW()-1,COLUMN()-1)))</f>
        <v>283.67333333333335</v>
      </c>
      <c r="D662" s="2">
        <f t="shared" ca="1" si="40"/>
        <v>280.15333333333336</v>
      </c>
      <c r="E662" t="b">
        <f t="shared" ca="1" si="39"/>
        <v>0</v>
      </c>
      <c r="F662">
        <v>14355.800000000103</v>
      </c>
      <c r="G662">
        <v>0</v>
      </c>
      <c r="H662">
        <f t="shared" ref="H662:H725" si="42">G662+F662</f>
        <v>14355.800000000103</v>
      </c>
    </row>
    <row r="663" spans="1:8">
      <c r="A663" s="1">
        <v>43251</v>
      </c>
      <c r="B663">
        <v>284.73</v>
      </c>
      <c r="C663" s="2">
        <f t="shared" ca="1" si="41"/>
        <v>282.89499999999998</v>
      </c>
      <c r="D663" s="2">
        <f t="shared" ca="1" si="40"/>
        <v>284.7766666666667</v>
      </c>
      <c r="E663" t="b">
        <f t="shared" ca="1" si="39"/>
        <v>1</v>
      </c>
      <c r="F663">
        <v>119.30000000011842</v>
      </c>
      <c r="G663">
        <v>14236.5</v>
      </c>
      <c r="H663">
        <f t="shared" si="42"/>
        <v>14355.800000000119</v>
      </c>
    </row>
    <row r="664" spans="1:8">
      <c r="A664" s="1">
        <v>43252</v>
      </c>
      <c r="B664">
        <v>291.82</v>
      </c>
      <c r="C664" s="2">
        <f t="shared" ca="1" si="41"/>
        <v>282.29166666666669</v>
      </c>
      <c r="D664" s="2">
        <f t="shared" ca="1" si="40"/>
        <v>286.73666666666668</v>
      </c>
      <c r="E664" t="b">
        <f t="shared" ca="1" si="39"/>
        <v>1</v>
      </c>
      <c r="F664">
        <v>119.30000000011842</v>
      </c>
      <c r="G664">
        <v>14591</v>
      </c>
      <c r="H664">
        <f t="shared" si="42"/>
        <v>14710.300000000119</v>
      </c>
    </row>
    <row r="665" spans="1:8">
      <c r="A665" s="1">
        <v>43255</v>
      </c>
      <c r="B665">
        <v>296.74</v>
      </c>
      <c r="C665" s="2">
        <f t="shared" ca="1" si="41"/>
        <v>282.92833333333334</v>
      </c>
      <c r="D665" s="2">
        <f t="shared" ca="1" si="40"/>
        <v>289.42333333333335</v>
      </c>
      <c r="E665" t="b">
        <f t="shared" ca="1" si="39"/>
        <v>1</v>
      </c>
      <c r="F665">
        <v>119.30000000011842</v>
      </c>
      <c r="G665">
        <v>14837</v>
      </c>
      <c r="H665">
        <f t="shared" si="42"/>
        <v>14956.300000000119</v>
      </c>
    </row>
    <row r="666" spans="1:8">
      <c r="A666" s="1">
        <v>43256</v>
      </c>
      <c r="B666">
        <v>291.13</v>
      </c>
      <c r="C666" s="2">
        <f t="shared" ca="1" si="41"/>
        <v>283.78333333333336</v>
      </c>
      <c r="D666" s="2">
        <f t="shared" ca="1" si="40"/>
        <v>291.09666666666664</v>
      </c>
      <c r="E666" t="b">
        <f t="shared" ca="1" si="39"/>
        <v>1</v>
      </c>
      <c r="F666">
        <v>119.30000000011842</v>
      </c>
      <c r="G666">
        <v>14556.5</v>
      </c>
      <c r="H666">
        <f t="shared" si="42"/>
        <v>14675.800000000119</v>
      </c>
    </row>
    <row r="667" spans="1:8">
      <c r="A667" s="1">
        <v>43257</v>
      </c>
      <c r="B667">
        <v>319.5</v>
      </c>
      <c r="C667" s="2">
        <f t="shared" ca="1" si="41"/>
        <v>284.33249999999998</v>
      </c>
      <c r="D667" s="2">
        <f t="shared" ca="1" si="40"/>
        <v>293.22999999999996</v>
      </c>
      <c r="E667" t="b">
        <f t="shared" ca="1" si="39"/>
        <v>1</v>
      </c>
      <c r="F667">
        <v>119.30000000011842</v>
      </c>
      <c r="G667">
        <v>15975</v>
      </c>
      <c r="H667">
        <f t="shared" si="42"/>
        <v>16094.300000000119</v>
      </c>
    </row>
    <row r="668" spans="1:8">
      <c r="A668" s="1">
        <v>43258</v>
      </c>
      <c r="B668">
        <v>316.08999999999997</v>
      </c>
      <c r="C668" s="2">
        <f t="shared" ca="1" si="41"/>
        <v>287.88916666666665</v>
      </c>
      <c r="D668" s="2">
        <f t="shared" ca="1" si="40"/>
        <v>302.45666666666665</v>
      </c>
      <c r="E668" t="b">
        <f t="shared" ca="1" si="39"/>
        <v>1</v>
      </c>
      <c r="F668">
        <v>119.30000000011842</v>
      </c>
      <c r="G668">
        <v>15804.499999999998</v>
      </c>
      <c r="H668">
        <f t="shared" si="42"/>
        <v>15923.800000000116</v>
      </c>
    </row>
    <row r="669" spans="1:8">
      <c r="A669" s="1">
        <v>43259</v>
      </c>
      <c r="B669">
        <v>317.66000000000003</v>
      </c>
      <c r="C669" s="2">
        <f t="shared" ca="1" si="41"/>
        <v>290.52250000000004</v>
      </c>
      <c r="D669" s="2">
        <f t="shared" ca="1" si="40"/>
        <v>308.90666666666669</v>
      </c>
      <c r="E669" t="b">
        <f t="shared" ca="1" si="39"/>
        <v>1</v>
      </c>
      <c r="F669">
        <v>119.30000000011842</v>
      </c>
      <c r="G669">
        <v>15883.000000000002</v>
      </c>
      <c r="H669">
        <f t="shared" si="42"/>
        <v>16002.300000000119</v>
      </c>
    </row>
    <row r="670" spans="1:8">
      <c r="A670" s="1">
        <v>43262</v>
      </c>
      <c r="B670">
        <v>332.1</v>
      </c>
      <c r="C670" s="2">
        <f t="shared" ca="1" si="41"/>
        <v>294.07666666666665</v>
      </c>
      <c r="D670" s="2">
        <f t="shared" ca="1" si="40"/>
        <v>317.75</v>
      </c>
      <c r="E670" t="b">
        <f t="shared" ca="1" si="39"/>
        <v>1</v>
      </c>
      <c r="F670">
        <v>119.30000000011842</v>
      </c>
      <c r="G670">
        <v>16605</v>
      </c>
      <c r="H670">
        <f t="shared" si="42"/>
        <v>16724.300000000119</v>
      </c>
    </row>
    <row r="671" spans="1:8">
      <c r="A671" s="1">
        <v>43263</v>
      </c>
      <c r="B671">
        <v>342.77</v>
      </c>
      <c r="C671" s="2">
        <f t="shared" ca="1" si="41"/>
        <v>298.49583333333334</v>
      </c>
      <c r="D671" s="2">
        <f t="shared" ca="1" si="40"/>
        <v>321.95</v>
      </c>
      <c r="E671" t="b">
        <f t="shared" ca="1" si="39"/>
        <v>1</v>
      </c>
      <c r="F671">
        <v>119.30000000011842</v>
      </c>
      <c r="G671">
        <v>17138.5</v>
      </c>
      <c r="H671">
        <f t="shared" si="42"/>
        <v>17257.800000000119</v>
      </c>
    </row>
    <row r="672" spans="1:8">
      <c r="A672" s="1">
        <v>43264</v>
      </c>
      <c r="B672">
        <v>344.78</v>
      </c>
      <c r="C672" s="2">
        <f t="shared" ca="1" si="41"/>
        <v>303.90583333333331</v>
      </c>
      <c r="D672" s="2">
        <f t="shared" ca="1" si="40"/>
        <v>330.84333333333331</v>
      </c>
      <c r="E672" t="b">
        <f t="shared" ca="1" si="39"/>
        <v>1</v>
      </c>
      <c r="F672">
        <v>119.30000000011842</v>
      </c>
      <c r="G672">
        <v>17239</v>
      </c>
      <c r="H672">
        <f t="shared" si="42"/>
        <v>17358.300000000119</v>
      </c>
    </row>
    <row r="673" spans="1:8">
      <c r="A673" s="1">
        <v>43265</v>
      </c>
      <c r="B673">
        <v>357.72</v>
      </c>
      <c r="C673" s="2">
        <f t="shared" ca="1" si="41"/>
        <v>309.40000000000003</v>
      </c>
      <c r="D673" s="2">
        <f t="shared" ca="1" si="40"/>
        <v>339.88333333333333</v>
      </c>
      <c r="E673" t="b">
        <f t="shared" ca="1" si="39"/>
        <v>1</v>
      </c>
      <c r="F673">
        <v>119.30000000011842</v>
      </c>
      <c r="G673">
        <v>17886</v>
      </c>
      <c r="H673">
        <f t="shared" si="42"/>
        <v>18005.300000000119</v>
      </c>
    </row>
    <row r="674" spans="1:8">
      <c r="A674" s="1">
        <v>43266</v>
      </c>
      <c r="B674">
        <v>358.17</v>
      </c>
      <c r="C674" s="2">
        <f t="shared" ca="1" si="41"/>
        <v>315.56333333333333</v>
      </c>
      <c r="D674" s="2">
        <f t="shared" ca="1" si="40"/>
        <v>348.42333333333335</v>
      </c>
      <c r="E674" t="b">
        <f t="shared" ca="1" si="39"/>
        <v>1</v>
      </c>
      <c r="F674">
        <v>119.30000000011842</v>
      </c>
      <c r="G674">
        <v>17908.5</v>
      </c>
      <c r="H674">
        <f t="shared" si="42"/>
        <v>18027.800000000119</v>
      </c>
    </row>
    <row r="675" spans="1:8">
      <c r="A675" s="1">
        <v>43269</v>
      </c>
      <c r="B675">
        <v>370.83</v>
      </c>
      <c r="C675" s="2">
        <f t="shared" ca="1" si="41"/>
        <v>321.10083333333336</v>
      </c>
      <c r="D675" s="2">
        <f t="shared" ca="1" si="40"/>
        <v>353.55666666666667</v>
      </c>
      <c r="E675" t="b">
        <f t="shared" ca="1" si="39"/>
        <v>1</v>
      </c>
      <c r="F675">
        <v>119.30000000011842</v>
      </c>
      <c r="G675">
        <v>18541.5</v>
      </c>
      <c r="H675">
        <f t="shared" si="42"/>
        <v>18660.800000000119</v>
      </c>
    </row>
    <row r="676" spans="1:8">
      <c r="A676" s="1">
        <v>43270</v>
      </c>
      <c r="B676">
        <v>352.55</v>
      </c>
      <c r="C676" s="2">
        <f t="shared" ca="1" si="41"/>
        <v>328.27583333333337</v>
      </c>
      <c r="D676" s="2">
        <f t="shared" ca="1" si="40"/>
        <v>362.24</v>
      </c>
      <c r="E676" t="b">
        <f t="shared" ca="1" si="39"/>
        <v>1</v>
      </c>
      <c r="F676">
        <v>119.30000000011842</v>
      </c>
      <c r="G676">
        <v>17627.5</v>
      </c>
      <c r="H676">
        <f t="shared" si="42"/>
        <v>17746.800000000119</v>
      </c>
    </row>
    <row r="677" spans="1:8">
      <c r="A677" s="1">
        <v>43271</v>
      </c>
      <c r="B677">
        <v>362.22</v>
      </c>
      <c r="C677" s="2">
        <f t="shared" ca="1" si="41"/>
        <v>333.33666666666676</v>
      </c>
      <c r="D677" s="2">
        <f t="shared" ca="1" si="40"/>
        <v>360.51666666666665</v>
      </c>
      <c r="E677" t="b">
        <f t="shared" ca="1" si="39"/>
        <v>1</v>
      </c>
      <c r="F677">
        <v>119.30000000011842</v>
      </c>
      <c r="G677">
        <v>18111</v>
      </c>
      <c r="H677">
        <f t="shared" si="42"/>
        <v>18230.300000000119</v>
      </c>
    </row>
    <row r="678" spans="1:8">
      <c r="A678" s="1">
        <v>43272</v>
      </c>
      <c r="B678">
        <v>347.51</v>
      </c>
      <c r="C678" s="2">
        <f t="shared" ca="1" si="41"/>
        <v>338.79333333333335</v>
      </c>
      <c r="D678" s="2">
        <f t="shared" ca="1" si="40"/>
        <v>361.86666666666662</v>
      </c>
      <c r="E678" t="b">
        <f t="shared" ca="1" si="39"/>
        <v>1</v>
      </c>
      <c r="F678">
        <v>119.30000000011842</v>
      </c>
      <c r="G678">
        <v>17375.5</v>
      </c>
      <c r="H678">
        <f t="shared" si="42"/>
        <v>17494.800000000119</v>
      </c>
    </row>
    <row r="679" spans="1:8">
      <c r="A679" s="1">
        <v>43273</v>
      </c>
      <c r="B679">
        <v>333.63</v>
      </c>
      <c r="C679" s="2">
        <f t="shared" ca="1" si="41"/>
        <v>343.49166666666673</v>
      </c>
      <c r="D679" s="2">
        <f t="shared" ca="1" si="40"/>
        <v>354.09333333333331</v>
      </c>
      <c r="E679" t="b">
        <f t="shared" ca="1" si="39"/>
        <v>1</v>
      </c>
      <c r="F679">
        <v>119.30000000011842</v>
      </c>
      <c r="G679">
        <v>16681.5</v>
      </c>
      <c r="H679">
        <f t="shared" si="42"/>
        <v>16800.800000000119</v>
      </c>
    </row>
    <row r="680" spans="1:8">
      <c r="A680" s="1">
        <v>43276</v>
      </c>
      <c r="B680">
        <v>333.01</v>
      </c>
      <c r="C680" s="2">
        <f t="shared" ca="1" si="41"/>
        <v>344.66916666666674</v>
      </c>
      <c r="D680" s="2">
        <f t="shared" ca="1" si="40"/>
        <v>347.78666666666669</v>
      </c>
      <c r="E680" t="b">
        <f t="shared" ca="1" si="39"/>
        <v>1</v>
      </c>
      <c r="F680">
        <v>119.30000000011842</v>
      </c>
      <c r="G680">
        <v>16650.5</v>
      </c>
      <c r="H680">
        <f t="shared" si="42"/>
        <v>16769.800000000119</v>
      </c>
    </row>
    <row r="681" spans="1:8">
      <c r="A681" s="1">
        <v>43277</v>
      </c>
      <c r="B681">
        <v>342</v>
      </c>
      <c r="C681" s="2">
        <f t="shared" ca="1" si="41"/>
        <v>346.07916666666671</v>
      </c>
      <c r="D681" s="2">
        <f t="shared" ca="1" si="40"/>
        <v>338.05</v>
      </c>
      <c r="E681" t="b">
        <f t="shared" ca="1" si="39"/>
        <v>0</v>
      </c>
      <c r="F681">
        <v>17219.300000000119</v>
      </c>
      <c r="G681">
        <v>0</v>
      </c>
      <c r="H681">
        <f t="shared" si="42"/>
        <v>17219.300000000119</v>
      </c>
    </row>
    <row r="682" spans="1:8">
      <c r="A682" s="1">
        <v>43278</v>
      </c>
      <c r="B682">
        <v>344.5</v>
      </c>
      <c r="C682" s="2">
        <f t="shared" ca="1" si="41"/>
        <v>348.10750000000007</v>
      </c>
      <c r="D682" s="2">
        <f t="shared" ca="1" si="40"/>
        <v>336.21333333333331</v>
      </c>
      <c r="E682" t="b">
        <f t="shared" ca="1" si="39"/>
        <v>0</v>
      </c>
      <c r="F682">
        <v>17219.300000000119</v>
      </c>
      <c r="G682">
        <v>0</v>
      </c>
      <c r="H682">
        <f t="shared" si="42"/>
        <v>17219.300000000119</v>
      </c>
    </row>
    <row r="683" spans="1:8">
      <c r="A683" s="1">
        <v>43279</v>
      </c>
      <c r="B683">
        <v>349.93</v>
      </c>
      <c r="C683" s="2">
        <f t="shared" ca="1" si="41"/>
        <v>349.14083333333338</v>
      </c>
      <c r="D683" s="2">
        <f t="shared" ca="1" si="40"/>
        <v>339.83666666666664</v>
      </c>
      <c r="E683" t="b">
        <f t="shared" ca="1" si="39"/>
        <v>0</v>
      </c>
      <c r="F683">
        <v>17219.300000000119</v>
      </c>
      <c r="G683">
        <v>0</v>
      </c>
      <c r="H683">
        <f t="shared" si="42"/>
        <v>17219.300000000119</v>
      </c>
    </row>
    <row r="684" spans="1:8">
      <c r="A684" s="1">
        <v>43280</v>
      </c>
      <c r="B684">
        <v>342.95</v>
      </c>
      <c r="C684" s="2">
        <f t="shared" ca="1" si="41"/>
        <v>349.73750000000001</v>
      </c>
      <c r="D684" s="2">
        <f t="shared" ca="1" si="40"/>
        <v>345.47666666666669</v>
      </c>
      <c r="E684" t="b">
        <f t="shared" ca="1" si="39"/>
        <v>0</v>
      </c>
      <c r="F684">
        <v>17219.300000000119</v>
      </c>
      <c r="G684">
        <v>0</v>
      </c>
      <c r="H684">
        <f t="shared" si="42"/>
        <v>17219.300000000119</v>
      </c>
    </row>
    <row r="685" spans="1:8">
      <c r="A685" s="1">
        <v>43283</v>
      </c>
      <c r="B685">
        <v>335.07</v>
      </c>
      <c r="C685" s="2">
        <f t="shared" ca="1" si="41"/>
        <v>349.58500000000004</v>
      </c>
      <c r="D685" s="2">
        <f t="shared" ca="1" si="40"/>
        <v>345.79333333333335</v>
      </c>
      <c r="E685" t="b">
        <f t="shared" ca="1" si="39"/>
        <v>0</v>
      </c>
      <c r="F685">
        <v>17219.300000000119</v>
      </c>
      <c r="G685">
        <v>0</v>
      </c>
      <c r="H685">
        <f t="shared" si="42"/>
        <v>17219.300000000119</v>
      </c>
    </row>
    <row r="686" spans="1:8">
      <c r="A686" s="1">
        <v>43284</v>
      </c>
      <c r="B686">
        <v>310.86</v>
      </c>
      <c r="C686" s="2">
        <f t="shared" ca="1" si="41"/>
        <v>347.69749999999999</v>
      </c>
      <c r="D686" s="2">
        <f t="shared" ca="1" si="40"/>
        <v>342.65000000000003</v>
      </c>
      <c r="E686" t="b">
        <f t="shared" ca="1" si="39"/>
        <v>0</v>
      </c>
      <c r="F686">
        <v>17219.300000000119</v>
      </c>
      <c r="G686">
        <v>0</v>
      </c>
      <c r="H686">
        <f t="shared" si="42"/>
        <v>17219.300000000119</v>
      </c>
    </row>
    <row r="687" spans="1:8">
      <c r="A687" s="1">
        <v>43286</v>
      </c>
      <c r="B687">
        <v>309.16000000000003</v>
      </c>
      <c r="C687" s="2">
        <f t="shared" ca="1" si="41"/>
        <v>343.75499999999994</v>
      </c>
      <c r="D687" s="2">
        <f t="shared" ca="1" si="40"/>
        <v>329.62666666666667</v>
      </c>
      <c r="E687" t="b">
        <f t="shared" ca="1" si="39"/>
        <v>0</v>
      </c>
      <c r="F687">
        <v>17219.300000000119</v>
      </c>
      <c r="G687">
        <v>0</v>
      </c>
      <c r="H687">
        <f t="shared" si="42"/>
        <v>17219.300000000119</v>
      </c>
    </row>
    <row r="688" spans="1:8">
      <c r="A688" s="1">
        <v>43287</v>
      </c>
      <c r="B688">
        <v>308.89999999999998</v>
      </c>
      <c r="C688" s="2">
        <f t="shared" ca="1" si="41"/>
        <v>338.61583333333334</v>
      </c>
      <c r="D688" s="2">
        <f t="shared" ca="1" si="40"/>
        <v>318.3633333333334</v>
      </c>
      <c r="E688" t="b">
        <f t="shared" ca="1" si="39"/>
        <v>0</v>
      </c>
      <c r="F688">
        <v>17219.300000000119</v>
      </c>
      <c r="G688">
        <v>0</v>
      </c>
      <c r="H688">
        <f t="shared" si="42"/>
        <v>17219.300000000119</v>
      </c>
    </row>
    <row r="689" spans="1:8">
      <c r="A689" s="1">
        <v>43290</v>
      </c>
      <c r="B689">
        <v>318.51</v>
      </c>
      <c r="C689" s="2">
        <f t="shared" ca="1" si="41"/>
        <v>334.9783333333333</v>
      </c>
      <c r="D689" s="2">
        <f t="shared" ca="1" si="40"/>
        <v>309.64</v>
      </c>
      <c r="E689" t="b">
        <f t="shared" ca="1" si="39"/>
        <v>0</v>
      </c>
      <c r="F689">
        <v>17219.300000000119</v>
      </c>
      <c r="G689">
        <v>0</v>
      </c>
      <c r="H689">
        <f t="shared" si="42"/>
        <v>17219.300000000119</v>
      </c>
    </row>
    <row r="690" spans="1:8">
      <c r="A690" s="1">
        <v>43291</v>
      </c>
      <c r="B690">
        <v>322.47000000000003</v>
      </c>
      <c r="C690" s="2">
        <f t="shared" ca="1" si="41"/>
        <v>331.33583333333331</v>
      </c>
      <c r="D690" s="2">
        <f t="shared" ca="1" si="40"/>
        <v>312.19</v>
      </c>
      <c r="E690" t="b">
        <f t="shared" ca="1" si="39"/>
        <v>0</v>
      </c>
      <c r="F690">
        <v>17219.300000000119</v>
      </c>
      <c r="G690">
        <v>0</v>
      </c>
      <c r="H690">
        <f t="shared" si="42"/>
        <v>17219.300000000119</v>
      </c>
    </row>
    <row r="691" spans="1:8">
      <c r="A691" s="1">
        <v>43292</v>
      </c>
      <c r="B691">
        <v>318.95999999999998</v>
      </c>
      <c r="C691" s="2">
        <f t="shared" ca="1" si="41"/>
        <v>329.24916666666672</v>
      </c>
      <c r="D691" s="2">
        <f t="shared" ca="1" si="40"/>
        <v>316.62666666666667</v>
      </c>
      <c r="E691" t="b">
        <f t="shared" ca="1" si="39"/>
        <v>0</v>
      </c>
      <c r="F691">
        <v>17219.300000000119</v>
      </c>
      <c r="G691">
        <v>0</v>
      </c>
      <c r="H691">
        <f t="shared" si="42"/>
        <v>17219.300000000119</v>
      </c>
    </row>
    <row r="692" spans="1:8">
      <c r="A692" s="1">
        <v>43293</v>
      </c>
      <c r="B692">
        <v>316.70999999999998</v>
      </c>
      <c r="C692" s="2">
        <f t="shared" ca="1" si="41"/>
        <v>328.0266666666667</v>
      </c>
      <c r="D692" s="2">
        <f t="shared" ca="1" si="40"/>
        <v>319.98</v>
      </c>
      <c r="E692" t="b">
        <f t="shared" ref="E692:E755" ca="1" si="43">D692&gt;C692</f>
        <v>0</v>
      </c>
      <c r="F692">
        <v>17219.300000000119</v>
      </c>
      <c r="G692">
        <v>0</v>
      </c>
      <c r="H692">
        <f t="shared" si="42"/>
        <v>17219.300000000119</v>
      </c>
    </row>
    <row r="693" spans="1:8">
      <c r="A693" s="1">
        <v>43294</v>
      </c>
      <c r="B693">
        <v>318.87</v>
      </c>
      <c r="C693" s="2">
        <f t="shared" ca="1" si="41"/>
        <v>326.66833333333335</v>
      </c>
      <c r="D693" s="2">
        <f t="shared" ca="1" si="40"/>
        <v>319.38000000000005</v>
      </c>
      <c r="E693" t="b">
        <f t="shared" ca="1" si="43"/>
        <v>0</v>
      </c>
      <c r="F693">
        <v>17219.300000000119</v>
      </c>
      <c r="G693">
        <v>0</v>
      </c>
      <c r="H693">
        <f t="shared" si="42"/>
        <v>17219.300000000119</v>
      </c>
    </row>
    <row r="694" spans="1:8">
      <c r="A694" s="1">
        <v>43297</v>
      </c>
      <c r="B694">
        <v>310.10000000000002</v>
      </c>
      <c r="C694" s="2">
        <f t="shared" ca="1" si="41"/>
        <v>324.74083333333334</v>
      </c>
      <c r="D694" s="2">
        <f t="shared" ca="1" si="40"/>
        <v>318.18</v>
      </c>
      <c r="E694" t="b">
        <f t="shared" ca="1" si="43"/>
        <v>0</v>
      </c>
      <c r="F694">
        <v>17219.300000000119</v>
      </c>
      <c r="G694">
        <v>0</v>
      </c>
      <c r="H694">
        <f t="shared" si="42"/>
        <v>17219.300000000119</v>
      </c>
    </row>
    <row r="695" spans="1:8">
      <c r="A695" s="1">
        <v>43298</v>
      </c>
      <c r="B695">
        <v>322.69</v>
      </c>
      <c r="C695" s="2">
        <f t="shared" ca="1" si="41"/>
        <v>321.87416666666667</v>
      </c>
      <c r="D695" s="2">
        <f t="shared" ca="1" si="40"/>
        <v>315.22666666666663</v>
      </c>
      <c r="E695" t="b">
        <f t="shared" ca="1" si="43"/>
        <v>0</v>
      </c>
      <c r="F695">
        <v>17219.300000000119</v>
      </c>
      <c r="G695">
        <v>0</v>
      </c>
      <c r="H695">
        <f t="shared" si="42"/>
        <v>17219.300000000119</v>
      </c>
    </row>
    <row r="696" spans="1:8">
      <c r="A696" s="1">
        <v>43299</v>
      </c>
      <c r="B696">
        <v>323.85000000000002</v>
      </c>
      <c r="C696" s="2">
        <f t="shared" ca="1" si="41"/>
        <v>319.60416666666669</v>
      </c>
      <c r="D696" s="2">
        <f t="shared" ca="1" si="40"/>
        <v>317.22000000000003</v>
      </c>
      <c r="E696" t="b">
        <f t="shared" ca="1" si="43"/>
        <v>0</v>
      </c>
      <c r="F696">
        <v>17219.300000000119</v>
      </c>
      <c r="G696">
        <v>0</v>
      </c>
      <c r="H696">
        <f t="shared" si="42"/>
        <v>17219.300000000119</v>
      </c>
    </row>
    <row r="697" spans="1:8">
      <c r="A697" s="1">
        <v>43300</v>
      </c>
      <c r="B697">
        <v>320.23</v>
      </c>
      <c r="C697" s="2">
        <f t="shared" ca="1" si="41"/>
        <v>318.01249999999999</v>
      </c>
      <c r="D697" s="2">
        <f t="shared" ca="1" si="40"/>
        <v>318.88</v>
      </c>
      <c r="E697" t="b">
        <f t="shared" ca="1" si="43"/>
        <v>1</v>
      </c>
      <c r="F697">
        <v>247.11000000013655</v>
      </c>
      <c r="G697">
        <v>16972.190000000002</v>
      </c>
      <c r="H697">
        <f t="shared" si="42"/>
        <v>17219.300000000138</v>
      </c>
    </row>
    <row r="698" spans="1:8">
      <c r="A698" s="1">
        <v>43301</v>
      </c>
      <c r="B698">
        <v>313.58</v>
      </c>
      <c r="C698" s="2">
        <f t="shared" ca="1" si="41"/>
        <v>316.77583333333331</v>
      </c>
      <c r="D698" s="2">
        <f t="shared" ca="1" si="40"/>
        <v>322.25666666666666</v>
      </c>
      <c r="E698" t="b">
        <f t="shared" ca="1" si="43"/>
        <v>1</v>
      </c>
      <c r="F698">
        <v>247.11000000013655</v>
      </c>
      <c r="G698">
        <v>16619.739999999998</v>
      </c>
      <c r="H698">
        <f t="shared" si="42"/>
        <v>16866.850000000133</v>
      </c>
    </row>
    <row r="699" spans="1:8">
      <c r="A699" s="1">
        <v>43304</v>
      </c>
      <c r="B699">
        <v>303.2</v>
      </c>
      <c r="C699" s="2">
        <f t="shared" ca="1" si="41"/>
        <v>317.0025</v>
      </c>
      <c r="D699" s="2">
        <f t="shared" ca="1" si="40"/>
        <v>319.22000000000003</v>
      </c>
      <c r="E699" t="b">
        <f t="shared" ca="1" si="43"/>
        <v>1</v>
      </c>
      <c r="F699">
        <v>247.11000000013655</v>
      </c>
      <c r="G699">
        <v>16069.599999999999</v>
      </c>
      <c r="H699">
        <f t="shared" si="42"/>
        <v>16316.710000000136</v>
      </c>
    </row>
    <row r="700" spans="1:8">
      <c r="A700" s="1">
        <v>43305</v>
      </c>
      <c r="B700">
        <v>297.43</v>
      </c>
      <c r="C700" s="2">
        <f t="shared" ca="1" si="41"/>
        <v>316.50583333333333</v>
      </c>
      <c r="D700" s="2">
        <f t="shared" ca="1" si="40"/>
        <v>312.33666666666664</v>
      </c>
      <c r="E700" t="b">
        <f t="shared" ca="1" si="43"/>
        <v>0</v>
      </c>
      <c r="F700">
        <v>16010.900000000138</v>
      </c>
      <c r="G700">
        <v>0</v>
      </c>
      <c r="H700">
        <f t="shared" si="42"/>
        <v>16010.900000000138</v>
      </c>
    </row>
    <row r="701" spans="1:8">
      <c r="A701" s="1">
        <v>43306</v>
      </c>
      <c r="B701">
        <v>308.74</v>
      </c>
      <c r="C701" s="2">
        <f t="shared" ca="1" si="41"/>
        <v>315.54999999999995</v>
      </c>
      <c r="D701" s="2">
        <f t="shared" ca="1" si="40"/>
        <v>304.73666666666668</v>
      </c>
      <c r="E701" t="b">
        <f t="shared" ca="1" si="43"/>
        <v>0</v>
      </c>
      <c r="F701">
        <v>16010.900000000138</v>
      </c>
      <c r="G701">
        <v>0</v>
      </c>
      <c r="H701">
        <f t="shared" si="42"/>
        <v>16010.900000000138</v>
      </c>
    </row>
    <row r="702" spans="1:8">
      <c r="A702" s="1">
        <v>43307</v>
      </c>
      <c r="B702">
        <v>306.64999999999998</v>
      </c>
      <c r="C702" s="2">
        <f t="shared" ca="1" si="41"/>
        <v>314.73583333333335</v>
      </c>
      <c r="D702" s="2">
        <f t="shared" ca="1" si="40"/>
        <v>303.12333333333333</v>
      </c>
      <c r="E702" t="b">
        <f t="shared" ca="1" si="43"/>
        <v>0</v>
      </c>
      <c r="F702">
        <v>16010.900000000138</v>
      </c>
      <c r="G702">
        <v>0</v>
      </c>
      <c r="H702">
        <f t="shared" si="42"/>
        <v>16010.900000000138</v>
      </c>
    </row>
    <row r="703" spans="1:8">
      <c r="A703" s="1">
        <v>43308</v>
      </c>
      <c r="B703">
        <v>297.18</v>
      </c>
      <c r="C703" s="2">
        <f t="shared" ca="1" si="41"/>
        <v>313.41749999999996</v>
      </c>
      <c r="D703" s="2">
        <f t="shared" ca="1" si="40"/>
        <v>304.27333333333337</v>
      </c>
      <c r="E703" t="b">
        <f t="shared" ca="1" si="43"/>
        <v>0</v>
      </c>
      <c r="F703">
        <v>16010.900000000138</v>
      </c>
      <c r="G703">
        <v>0</v>
      </c>
      <c r="H703">
        <f t="shared" si="42"/>
        <v>16010.900000000138</v>
      </c>
    </row>
    <row r="704" spans="1:8">
      <c r="A704" s="1">
        <v>43311</v>
      </c>
      <c r="B704">
        <v>290.17</v>
      </c>
      <c r="C704" s="2">
        <f t="shared" ca="1" si="41"/>
        <v>311.60249999999996</v>
      </c>
      <c r="D704" s="2">
        <f t="shared" ca="1" si="40"/>
        <v>304.19</v>
      </c>
      <c r="E704" t="b">
        <f t="shared" ca="1" si="43"/>
        <v>0</v>
      </c>
      <c r="F704">
        <v>16010.900000000138</v>
      </c>
      <c r="G704">
        <v>0</v>
      </c>
      <c r="H704">
        <f t="shared" si="42"/>
        <v>16010.900000000138</v>
      </c>
    </row>
    <row r="705" spans="1:8">
      <c r="A705" s="1">
        <v>43312</v>
      </c>
      <c r="B705">
        <v>298.14</v>
      </c>
      <c r="C705" s="2">
        <f t="shared" ca="1" si="41"/>
        <v>309.39083333333332</v>
      </c>
      <c r="D705" s="2">
        <f t="shared" ca="1" si="40"/>
        <v>298</v>
      </c>
      <c r="E705" t="b">
        <f t="shared" ca="1" si="43"/>
        <v>0</v>
      </c>
      <c r="F705">
        <v>16010.900000000138</v>
      </c>
      <c r="G705">
        <v>0</v>
      </c>
      <c r="H705">
        <f t="shared" si="42"/>
        <v>16010.900000000138</v>
      </c>
    </row>
    <row r="706" spans="1:8">
      <c r="A706" s="1">
        <v>43313</v>
      </c>
      <c r="B706">
        <v>300.83999999999997</v>
      </c>
      <c r="C706" s="2">
        <f t="shared" ca="1" si="41"/>
        <v>307.6633333333333</v>
      </c>
      <c r="D706" s="2">
        <f t="shared" ca="1" si="40"/>
        <v>295.16333333333336</v>
      </c>
      <c r="E706" t="b">
        <f t="shared" ca="1" si="43"/>
        <v>0</v>
      </c>
      <c r="F706">
        <v>16010.900000000138</v>
      </c>
      <c r="G706">
        <v>0</v>
      </c>
      <c r="H706">
        <f t="shared" si="42"/>
        <v>16010.900000000138</v>
      </c>
    </row>
    <row r="707" spans="1:8">
      <c r="A707" s="1">
        <v>43314</v>
      </c>
      <c r="B707">
        <v>349.54</v>
      </c>
      <c r="C707" s="2">
        <f t="shared" ca="1" si="41"/>
        <v>306.89166666666671</v>
      </c>
      <c r="D707" s="2">
        <f t="shared" ca="1" si="40"/>
        <v>296.38333333333327</v>
      </c>
      <c r="E707" t="b">
        <f t="shared" ca="1" si="43"/>
        <v>0</v>
      </c>
      <c r="F707">
        <v>16010.900000000138</v>
      </c>
      <c r="G707">
        <v>0</v>
      </c>
      <c r="H707">
        <f t="shared" si="42"/>
        <v>16010.900000000138</v>
      </c>
    </row>
    <row r="708" spans="1:8">
      <c r="A708" s="1">
        <v>43315</v>
      </c>
      <c r="B708">
        <v>348.17</v>
      </c>
      <c r="C708" s="2">
        <f t="shared" ca="1" si="41"/>
        <v>309.12916666666666</v>
      </c>
      <c r="D708" s="2">
        <f t="shared" ca="1" si="40"/>
        <v>316.17333333333335</v>
      </c>
      <c r="E708" t="b">
        <f t="shared" ca="1" si="43"/>
        <v>1</v>
      </c>
      <c r="F708">
        <v>343.25000000013466</v>
      </c>
      <c r="G708">
        <v>15667.650000000001</v>
      </c>
      <c r="H708">
        <f t="shared" si="42"/>
        <v>16010.900000000136</v>
      </c>
    </row>
    <row r="709" spans="1:8">
      <c r="A709" s="1">
        <v>43318</v>
      </c>
      <c r="B709">
        <v>341.99</v>
      </c>
      <c r="C709" s="2">
        <f t="shared" ca="1" si="41"/>
        <v>311.15583333333331</v>
      </c>
      <c r="D709" s="2">
        <f t="shared" ref="D709:D758" ca="1" si="44">AVERAGE(INDIRECT(ADDRESS(ROW()-$D$1,COLUMN()-2)&amp;":"&amp;ADDRESS(ROW()-1,COLUMN()-2)))</f>
        <v>332.84999999999997</v>
      </c>
      <c r="E709" t="b">
        <f t="shared" ca="1" si="43"/>
        <v>1</v>
      </c>
      <c r="F709">
        <v>1.260000000134653</v>
      </c>
      <c r="G709">
        <v>15731.54</v>
      </c>
      <c r="H709">
        <f t="shared" si="42"/>
        <v>15732.800000000136</v>
      </c>
    </row>
    <row r="710" spans="1:8">
      <c r="A710" s="1">
        <v>43319</v>
      </c>
      <c r="B710">
        <v>379.57</v>
      </c>
      <c r="C710" s="2">
        <f t="shared" ca="1" si="41"/>
        <v>312.96916666666669</v>
      </c>
      <c r="D710" s="2">
        <f t="shared" ca="1" si="44"/>
        <v>346.56666666666666</v>
      </c>
      <c r="E710" t="b">
        <f t="shared" ca="1" si="43"/>
        <v>1</v>
      </c>
      <c r="F710">
        <v>1.260000000134653</v>
      </c>
      <c r="G710">
        <v>17460.22</v>
      </c>
      <c r="H710">
        <f t="shared" si="42"/>
        <v>17461.480000000134</v>
      </c>
    </row>
    <row r="711" spans="1:8">
      <c r="A711" s="1">
        <v>43320</v>
      </c>
      <c r="B711">
        <v>370.34</v>
      </c>
      <c r="C711" s="2">
        <f t="shared" ca="1" si="41"/>
        <v>318.46833333333336</v>
      </c>
      <c r="D711" s="2">
        <f t="shared" ca="1" si="44"/>
        <v>356.57666666666665</v>
      </c>
      <c r="E711" t="b">
        <f t="shared" ca="1" si="43"/>
        <v>1</v>
      </c>
      <c r="F711">
        <v>1.260000000134653</v>
      </c>
      <c r="G711">
        <v>17035.64</v>
      </c>
      <c r="H711">
        <f t="shared" si="42"/>
        <v>17036.900000000132</v>
      </c>
    </row>
    <row r="712" spans="1:8">
      <c r="A712" s="1">
        <v>43321</v>
      </c>
      <c r="B712">
        <v>352.45</v>
      </c>
      <c r="C712" s="2">
        <f t="shared" ca="1" si="41"/>
        <v>324.06333333333339</v>
      </c>
      <c r="D712" s="2">
        <f t="shared" ca="1" si="44"/>
        <v>363.96666666666664</v>
      </c>
      <c r="E712" t="b">
        <f t="shared" ca="1" si="43"/>
        <v>1</v>
      </c>
      <c r="F712">
        <v>1.260000000134653</v>
      </c>
      <c r="G712">
        <v>16212.699999999999</v>
      </c>
      <c r="H712">
        <f t="shared" si="42"/>
        <v>16213.960000000134</v>
      </c>
    </row>
    <row r="713" spans="1:8">
      <c r="A713" s="1">
        <v>43322</v>
      </c>
      <c r="B713">
        <v>355.49</v>
      </c>
      <c r="C713" s="2">
        <f t="shared" ca="1" si="41"/>
        <v>328.64833333333337</v>
      </c>
      <c r="D713" s="2">
        <f t="shared" ca="1" si="44"/>
        <v>367.45333333333332</v>
      </c>
      <c r="E713" t="b">
        <f t="shared" ca="1" si="43"/>
        <v>1</v>
      </c>
      <c r="F713">
        <v>1.260000000134653</v>
      </c>
      <c r="G713">
        <v>16352.54</v>
      </c>
      <c r="H713">
        <f t="shared" si="42"/>
        <v>16353.800000000136</v>
      </c>
    </row>
    <row r="714" spans="1:8">
      <c r="A714" s="1">
        <v>43325</v>
      </c>
      <c r="B714">
        <v>356.41</v>
      </c>
      <c r="C714" s="2">
        <f t="shared" ca="1" si="41"/>
        <v>332.54416666666663</v>
      </c>
      <c r="D714" s="2">
        <f t="shared" ca="1" si="44"/>
        <v>359.42666666666668</v>
      </c>
      <c r="E714" t="b">
        <f t="shared" ca="1" si="43"/>
        <v>1</v>
      </c>
      <c r="F714">
        <v>1.260000000134653</v>
      </c>
      <c r="G714">
        <v>16394.86</v>
      </c>
      <c r="H714">
        <f t="shared" si="42"/>
        <v>16396.120000000134</v>
      </c>
    </row>
    <row r="715" spans="1:8">
      <c r="A715" s="1">
        <v>43326</v>
      </c>
      <c r="B715">
        <v>347.64</v>
      </c>
      <c r="C715" s="2">
        <f t="shared" ca="1" si="41"/>
        <v>336.69083333333333</v>
      </c>
      <c r="D715" s="2">
        <f t="shared" ca="1" si="44"/>
        <v>354.78333333333336</v>
      </c>
      <c r="E715" t="b">
        <f t="shared" ca="1" si="43"/>
        <v>1</v>
      </c>
      <c r="F715">
        <v>1.260000000134653</v>
      </c>
      <c r="G715">
        <v>15991.439999999999</v>
      </c>
      <c r="H715">
        <f t="shared" si="42"/>
        <v>15992.700000000134</v>
      </c>
    </row>
    <row r="716" spans="1:8">
      <c r="A716" s="1">
        <v>43327</v>
      </c>
      <c r="B716">
        <v>338.69</v>
      </c>
      <c r="C716" s="2">
        <f t="shared" ca="1" si="41"/>
        <v>340.89583333333331</v>
      </c>
      <c r="D716" s="2">
        <f t="shared" ca="1" si="44"/>
        <v>353.18</v>
      </c>
      <c r="E716" t="b">
        <f t="shared" ca="1" si="43"/>
        <v>1</v>
      </c>
      <c r="F716">
        <v>1.260000000134653</v>
      </c>
      <c r="G716">
        <v>15579.74</v>
      </c>
      <c r="H716">
        <f t="shared" si="42"/>
        <v>15581.000000000135</v>
      </c>
    </row>
    <row r="717" spans="1:8">
      <c r="A717" s="1">
        <v>43328</v>
      </c>
      <c r="B717">
        <v>335.45</v>
      </c>
      <c r="C717" s="2">
        <f t="shared" ca="1" si="41"/>
        <v>344.93916666666661</v>
      </c>
      <c r="D717" s="2">
        <f t="shared" ca="1" si="44"/>
        <v>347.58</v>
      </c>
      <c r="E717" t="b">
        <f t="shared" ca="1" si="43"/>
        <v>1</v>
      </c>
      <c r="F717">
        <v>1.260000000134653</v>
      </c>
      <c r="G717">
        <v>15430.699999999999</v>
      </c>
      <c r="H717">
        <f t="shared" si="42"/>
        <v>15431.960000000134</v>
      </c>
    </row>
    <row r="718" spans="1:8">
      <c r="A718" s="1">
        <v>43329</v>
      </c>
      <c r="B718">
        <v>305.5</v>
      </c>
      <c r="C718" s="2">
        <f t="shared" ca="1" si="41"/>
        <v>348.04833333333323</v>
      </c>
      <c r="D718" s="2">
        <f t="shared" ca="1" si="44"/>
        <v>340.59333333333331</v>
      </c>
      <c r="E718" t="b">
        <f t="shared" ca="1" si="43"/>
        <v>0</v>
      </c>
      <c r="F718">
        <v>14054.260000000135</v>
      </c>
      <c r="G718">
        <v>0</v>
      </c>
      <c r="H718">
        <f t="shared" si="42"/>
        <v>14054.260000000135</v>
      </c>
    </row>
    <row r="719" spans="1:8">
      <c r="A719" s="1">
        <v>43332</v>
      </c>
      <c r="B719">
        <v>308.44</v>
      </c>
      <c r="C719" s="2">
        <f t="shared" ca="1" si="41"/>
        <v>348.43666666666667</v>
      </c>
      <c r="D719" s="2">
        <f t="shared" ca="1" si="44"/>
        <v>326.54666666666668</v>
      </c>
      <c r="E719" t="b">
        <f t="shared" ca="1" si="43"/>
        <v>0</v>
      </c>
      <c r="F719">
        <v>14054.260000000135</v>
      </c>
      <c r="G719">
        <v>0</v>
      </c>
      <c r="H719">
        <f t="shared" si="42"/>
        <v>14054.260000000135</v>
      </c>
    </row>
    <row r="720" spans="1:8">
      <c r="A720" s="1">
        <v>43333</v>
      </c>
      <c r="B720">
        <v>321.89999999999998</v>
      </c>
      <c r="C720" s="2">
        <f t="shared" ca="1" si="41"/>
        <v>345.0116666666666</v>
      </c>
      <c r="D720" s="2">
        <f t="shared" ca="1" si="44"/>
        <v>316.46333333333337</v>
      </c>
      <c r="E720" t="b">
        <f t="shared" ca="1" si="43"/>
        <v>0</v>
      </c>
      <c r="F720">
        <v>14054.260000000135</v>
      </c>
      <c r="G720">
        <v>0</v>
      </c>
      <c r="H720">
        <f t="shared" si="42"/>
        <v>14054.260000000135</v>
      </c>
    </row>
    <row r="721" spans="1:8">
      <c r="A721" s="1">
        <v>43334</v>
      </c>
      <c r="B721">
        <v>321.64</v>
      </c>
      <c r="C721" s="2">
        <f t="shared" ca="1" si="41"/>
        <v>342.82249999999999</v>
      </c>
      <c r="D721" s="2">
        <f t="shared" ca="1" si="44"/>
        <v>311.94666666666666</v>
      </c>
      <c r="E721" t="b">
        <f t="shared" ca="1" si="43"/>
        <v>0</v>
      </c>
      <c r="F721">
        <v>14054.260000000135</v>
      </c>
      <c r="G721">
        <v>0</v>
      </c>
      <c r="H721">
        <f t="shared" si="42"/>
        <v>14054.260000000135</v>
      </c>
    </row>
    <row r="722" spans="1:8">
      <c r="A722" s="1">
        <v>43335</v>
      </c>
      <c r="B722">
        <v>320.10000000000002</v>
      </c>
      <c r="C722" s="2">
        <f t="shared" ca="1" si="41"/>
        <v>341.12666666666667</v>
      </c>
      <c r="D722" s="2">
        <f t="shared" ca="1" si="44"/>
        <v>317.32666666666665</v>
      </c>
      <c r="E722" t="b">
        <f t="shared" ca="1" si="43"/>
        <v>0</v>
      </c>
      <c r="F722">
        <v>14054.260000000135</v>
      </c>
      <c r="G722">
        <v>0</v>
      </c>
      <c r="H722">
        <f t="shared" si="42"/>
        <v>14054.260000000135</v>
      </c>
    </row>
    <row r="723" spans="1:8">
      <c r="A723" s="1">
        <v>43336</v>
      </c>
      <c r="B723">
        <v>322.82</v>
      </c>
      <c r="C723" s="2">
        <f t="shared" ca="1" si="41"/>
        <v>336.17083333333329</v>
      </c>
      <c r="D723" s="2">
        <f t="shared" ca="1" si="44"/>
        <v>321.21333333333331</v>
      </c>
      <c r="E723" t="b">
        <f t="shared" ca="1" si="43"/>
        <v>0</v>
      </c>
      <c r="F723">
        <v>14054.260000000135</v>
      </c>
      <c r="G723">
        <v>0</v>
      </c>
      <c r="H723">
        <f t="shared" si="42"/>
        <v>14054.260000000135</v>
      </c>
    </row>
    <row r="724" spans="1:8">
      <c r="A724" s="1">
        <v>43339</v>
      </c>
      <c r="B724">
        <v>319.27</v>
      </c>
      <c r="C724" s="2">
        <f t="shared" ca="1" si="41"/>
        <v>332.21083333333337</v>
      </c>
      <c r="D724" s="2">
        <f t="shared" ca="1" si="44"/>
        <v>321.52</v>
      </c>
      <c r="E724" t="b">
        <f t="shared" ca="1" si="43"/>
        <v>0</v>
      </c>
      <c r="F724">
        <v>14054.260000000135</v>
      </c>
      <c r="G724">
        <v>0</v>
      </c>
      <c r="H724">
        <f t="shared" si="42"/>
        <v>14054.260000000135</v>
      </c>
    </row>
    <row r="725" spans="1:8">
      <c r="A725" s="1">
        <v>43340</v>
      </c>
      <c r="B725">
        <v>311.86</v>
      </c>
      <c r="C725" s="2">
        <f t="shared" ca="1" si="41"/>
        <v>329.44583333333333</v>
      </c>
      <c r="D725" s="2">
        <f t="shared" ca="1" si="44"/>
        <v>320.73</v>
      </c>
      <c r="E725" t="b">
        <f t="shared" ca="1" si="43"/>
        <v>0</v>
      </c>
      <c r="F725">
        <v>14054.260000000135</v>
      </c>
      <c r="G725">
        <v>0</v>
      </c>
      <c r="H725">
        <f t="shared" si="42"/>
        <v>14054.260000000135</v>
      </c>
    </row>
    <row r="726" spans="1:8">
      <c r="A726" s="1">
        <v>43341</v>
      </c>
      <c r="B726">
        <v>305.01</v>
      </c>
      <c r="C726" s="2">
        <f t="shared" ref="C726:C758" ca="1" si="45">AVERAGE(INDIRECT(ADDRESS(ROW()-$C$1,COLUMN()-1)&amp;":"&amp;ADDRESS(ROW()-1,COLUMN()-1)))</f>
        <v>325.81</v>
      </c>
      <c r="D726" s="2">
        <f t="shared" ca="1" si="44"/>
        <v>317.98333333333329</v>
      </c>
      <c r="E726" t="b">
        <f t="shared" ca="1" si="43"/>
        <v>0</v>
      </c>
      <c r="F726">
        <v>14054.260000000135</v>
      </c>
      <c r="G726">
        <v>0</v>
      </c>
      <c r="H726">
        <f t="shared" ref="H726:H758" si="46">G726+F726</f>
        <v>14054.260000000135</v>
      </c>
    </row>
    <row r="727" spans="1:8">
      <c r="A727" s="1">
        <v>43342</v>
      </c>
      <c r="B727">
        <v>303.14999999999998</v>
      </c>
      <c r="C727" s="2">
        <f t="shared" ca="1" si="45"/>
        <v>321.52666666666664</v>
      </c>
      <c r="D727" s="2">
        <f t="shared" ca="1" si="44"/>
        <v>312.04666666666668</v>
      </c>
      <c r="E727" t="b">
        <f t="shared" ca="1" si="43"/>
        <v>0</v>
      </c>
      <c r="F727">
        <v>14054.260000000135</v>
      </c>
      <c r="G727">
        <v>0</v>
      </c>
      <c r="H727">
        <f t="shared" si="46"/>
        <v>14054.260000000135</v>
      </c>
    </row>
    <row r="728" spans="1:8">
      <c r="A728" s="1">
        <v>43343</v>
      </c>
      <c r="B728">
        <v>301.66000000000003</v>
      </c>
      <c r="C728" s="2">
        <f t="shared" ca="1" si="45"/>
        <v>317.81916666666672</v>
      </c>
      <c r="D728" s="2">
        <f t="shared" ca="1" si="44"/>
        <v>306.67333333333335</v>
      </c>
      <c r="E728" t="b">
        <f t="shared" ca="1" si="43"/>
        <v>0</v>
      </c>
      <c r="F728">
        <v>14054.260000000135</v>
      </c>
      <c r="G728">
        <v>0</v>
      </c>
      <c r="H728">
        <f t="shared" si="46"/>
        <v>14054.260000000135</v>
      </c>
    </row>
    <row r="729" spans="1:8">
      <c r="A729" s="1">
        <v>43347</v>
      </c>
      <c r="B729">
        <v>288.95</v>
      </c>
      <c r="C729" s="2">
        <f t="shared" ca="1" si="45"/>
        <v>314.73333333333329</v>
      </c>
      <c r="D729" s="2">
        <f t="shared" ca="1" si="44"/>
        <v>303.27333333333331</v>
      </c>
      <c r="E729" t="b">
        <f t="shared" ca="1" si="43"/>
        <v>0</v>
      </c>
      <c r="F729">
        <v>14054.260000000135</v>
      </c>
      <c r="G729">
        <v>0</v>
      </c>
      <c r="H729">
        <f t="shared" si="46"/>
        <v>14054.260000000135</v>
      </c>
    </row>
    <row r="730" spans="1:8">
      <c r="A730" s="1">
        <v>43348</v>
      </c>
      <c r="B730">
        <v>280.74</v>
      </c>
      <c r="C730" s="2">
        <f t="shared" ca="1" si="45"/>
        <v>310.85833333333329</v>
      </c>
      <c r="D730" s="2">
        <f t="shared" ca="1" si="44"/>
        <v>297.92</v>
      </c>
      <c r="E730" t="b">
        <f t="shared" ca="1" si="43"/>
        <v>0</v>
      </c>
      <c r="F730">
        <v>14054.260000000135</v>
      </c>
      <c r="G730">
        <v>0</v>
      </c>
      <c r="H730">
        <f t="shared" si="46"/>
        <v>14054.260000000135</v>
      </c>
    </row>
    <row r="731" spans="1:8">
      <c r="A731" s="1">
        <v>43349</v>
      </c>
      <c r="B731">
        <v>280.95</v>
      </c>
      <c r="C731" s="2">
        <f t="shared" ca="1" si="45"/>
        <v>308.79500000000002</v>
      </c>
      <c r="D731" s="2">
        <f t="shared" ca="1" si="44"/>
        <v>290.45</v>
      </c>
      <c r="E731" t="b">
        <f t="shared" ca="1" si="43"/>
        <v>0</v>
      </c>
      <c r="F731">
        <v>14054.260000000135</v>
      </c>
      <c r="G731">
        <v>0</v>
      </c>
      <c r="H731">
        <f t="shared" si="46"/>
        <v>14054.260000000135</v>
      </c>
    </row>
    <row r="732" spans="1:8">
      <c r="A732" s="1">
        <v>43350</v>
      </c>
      <c r="B732">
        <v>263.24</v>
      </c>
      <c r="C732" s="2">
        <f t="shared" ca="1" si="45"/>
        <v>306.50416666666666</v>
      </c>
      <c r="D732" s="2">
        <f t="shared" ca="1" si="44"/>
        <v>283.54666666666668</v>
      </c>
      <c r="E732" t="b">
        <f t="shared" ca="1" si="43"/>
        <v>0</v>
      </c>
      <c r="F732">
        <v>14054.260000000135</v>
      </c>
      <c r="G732">
        <v>0</v>
      </c>
      <c r="H732">
        <f t="shared" si="46"/>
        <v>14054.260000000135</v>
      </c>
    </row>
    <row r="733" spans="1:8">
      <c r="A733" s="1">
        <v>43353</v>
      </c>
      <c r="B733">
        <v>285.5</v>
      </c>
      <c r="C733" s="2">
        <f t="shared" ca="1" si="45"/>
        <v>301.61583333333328</v>
      </c>
      <c r="D733" s="2">
        <f t="shared" ca="1" si="44"/>
        <v>274.97666666666669</v>
      </c>
      <c r="E733" t="b">
        <f t="shared" ca="1" si="43"/>
        <v>0</v>
      </c>
      <c r="F733">
        <v>14054.260000000135</v>
      </c>
      <c r="G733">
        <v>0</v>
      </c>
      <c r="H733">
        <f t="shared" si="46"/>
        <v>14054.260000000135</v>
      </c>
    </row>
    <row r="734" spans="1:8">
      <c r="A734" s="1">
        <v>43354</v>
      </c>
      <c r="B734">
        <v>279.44</v>
      </c>
      <c r="C734" s="2">
        <f t="shared" ca="1" si="45"/>
        <v>298.60416666666657</v>
      </c>
      <c r="D734" s="2">
        <f t="shared" ca="1" si="44"/>
        <v>276.56333333333333</v>
      </c>
      <c r="E734" t="b">
        <f t="shared" ca="1" si="43"/>
        <v>0</v>
      </c>
      <c r="F734">
        <v>14054.260000000135</v>
      </c>
      <c r="G734">
        <v>0</v>
      </c>
      <c r="H734">
        <f t="shared" si="46"/>
        <v>14054.260000000135</v>
      </c>
    </row>
    <row r="735" spans="1:8">
      <c r="A735" s="1">
        <v>43355</v>
      </c>
      <c r="B735">
        <v>290.54000000000002</v>
      </c>
      <c r="C735" s="2">
        <f t="shared" ca="1" si="45"/>
        <v>295.21583333333331</v>
      </c>
      <c r="D735" s="2">
        <f t="shared" ca="1" si="44"/>
        <v>276.06</v>
      </c>
      <c r="E735" t="b">
        <f t="shared" ca="1" si="43"/>
        <v>0</v>
      </c>
      <c r="F735">
        <v>14054.260000000135</v>
      </c>
      <c r="G735">
        <v>0</v>
      </c>
      <c r="H735">
        <f t="shared" si="46"/>
        <v>14054.260000000135</v>
      </c>
    </row>
    <row r="736" spans="1:8">
      <c r="A736" s="1">
        <v>43356</v>
      </c>
      <c r="B736">
        <v>289.45999999999998</v>
      </c>
      <c r="C736" s="2">
        <f t="shared" ca="1" si="45"/>
        <v>292.52583333333331</v>
      </c>
      <c r="D736" s="2">
        <f t="shared" ca="1" si="44"/>
        <v>285.16000000000003</v>
      </c>
      <c r="E736" t="b">
        <f t="shared" ca="1" si="43"/>
        <v>0</v>
      </c>
      <c r="F736">
        <v>14054.260000000135</v>
      </c>
      <c r="G736">
        <v>0</v>
      </c>
      <c r="H736">
        <f t="shared" si="46"/>
        <v>14054.260000000135</v>
      </c>
    </row>
    <row r="737" spans="1:8">
      <c r="A737" s="1">
        <v>43357</v>
      </c>
      <c r="B737">
        <v>295.2</v>
      </c>
      <c r="C737" s="2">
        <f t="shared" ca="1" si="45"/>
        <v>290.04166666666669</v>
      </c>
      <c r="D737" s="2">
        <f t="shared" ca="1" si="44"/>
        <v>286.48</v>
      </c>
      <c r="E737" t="b">
        <f t="shared" ca="1" si="43"/>
        <v>0</v>
      </c>
      <c r="F737">
        <v>14054.260000000135</v>
      </c>
      <c r="G737">
        <v>0</v>
      </c>
      <c r="H737">
        <f t="shared" si="46"/>
        <v>14054.260000000135</v>
      </c>
    </row>
    <row r="738" spans="1:8">
      <c r="A738" s="1">
        <v>43360</v>
      </c>
      <c r="B738">
        <v>294.83999999999997</v>
      </c>
      <c r="C738" s="2">
        <f t="shared" ca="1" si="45"/>
        <v>288.65333333333331</v>
      </c>
      <c r="D738" s="2">
        <f t="shared" ca="1" si="44"/>
        <v>291.73333333333335</v>
      </c>
      <c r="E738" t="b">
        <f t="shared" ca="1" si="43"/>
        <v>1</v>
      </c>
      <c r="F738">
        <v>196.78000000012946</v>
      </c>
      <c r="G738">
        <v>13857.48</v>
      </c>
      <c r="H738">
        <f t="shared" si="46"/>
        <v>14054.260000000129</v>
      </c>
    </row>
    <row r="739" spans="1:8">
      <c r="A739" s="1">
        <v>43361</v>
      </c>
      <c r="B739">
        <v>284.95999999999998</v>
      </c>
      <c r="C739" s="2">
        <f t="shared" ca="1" si="45"/>
        <v>287.80583333333334</v>
      </c>
      <c r="D739" s="2">
        <f t="shared" ca="1" si="44"/>
        <v>293.16666666666669</v>
      </c>
      <c r="E739" t="b">
        <f t="shared" ca="1" si="43"/>
        <v>1</v>
      </c>
      <c r="F739">
        <v>196.78000000012946</v>
      </c>
      <c r="G739">
        <v>13393.119999999999</v>
      </c>
      <c r="H739">
        <f t="shared" si="46"/>
        <v>13589.900000000129</v>
      </c>
    </row>
    <row r="740" spans="1:8">
      <c r="A740" s="1">
        <v>43362</v>
      </c>
      <c r="B740">
        <v>299.02</v>
      </c>
      <c r="C740" s="2">
        <f t="shared" ca="1" si="45"/>
        <v>286.29000000000002</v>
      </c>
      <c r="D740" s="2">
        <f t="shared" ca="1" si="44"/>
        <v>291.66666666666669</v>
      </c>
      <c r="E740" t="b">
        <f t="shared" ca="1" si="43"/>
        <v>1</v>
      </c>
      <c r="F740">
        <v>196.78000000012946</v>
      </c>
      <c r="G740">
        <v>14053.939999999999</v>
      </c>
      <c r="H740">
        <f t="shared" si="46"/>
        <v>14250.720000000128</v>
      </c>
    </row>
    <row r="741" spans="1:8">
      <c r="A741" s="1">
        <v>43363</v>
      </c>
      <c r="B741">
        <v>298.33</v>
      </c>
      <c r="C741" s="2">
        <f t="shared" ca="1" si="45"/>
        <v>286.07</v>
      </c>
      <c r="D741" s="2">
        <f t="shared" ca="1" si="44"/>
        <v>292.94</v>
      </c>
      <c r="E741" t="b">
        <f t="shared" ca="1" si="43"/>
        <v>1</v>
      </c>
      <c r="F741">
        <v>196.78000000012946</v>
      </c>
      <c r="G741">
        <v>14021.509999999998</v>
      </c>
      <c r="H741">
        <f t="shared" si="46"/>
        <v>14218.290000000128</v>
      </c>
    </row>
    <row r="742" spans="1:8">
      <c r="A742" s="1">
        <v>43364</v>
      </c>
      <c r="B742">
        <v>299.10000000000002</v>
      </c>
      <c r="C742" s="2">
        <f t="shared" ca="1" si="45"/>
        <v>286.85166666666669</v>
      </c>
      <c r="D742" s="2">
        <f t="shared" ca="1" si="44"/>
        <v>294.1033333333333</v>
      </c>
      <c r="E742" t="b">
        <f t="shared" ca="1" si="43"/>
        <v>1</v>
      </c>
      <c r="F742">
        <v>196.78000000012946</v>
      </c>
      <c r="G742">
        <v>14057.7</v>
      </c>
      <c r="H742">
        <f t="shared" si="46"/>
        <v>14254.480000000131</v>
      </c>
    </row>
    <row r="743" spans="1:8">
      <c r="A743" s="1">
        <v>43367</v>
      </c>
      <c r="B743">
        <v>299.68</v>
      </c>
      <c r="C743" s="2">
        <f t="shared" ca="1" si="45"/>
        <v>288.38166666666666</v>
      </c>
      <c r="D743" s="2">
        <f t="shared" ca="1" si="44"/>
        <v>298.81666666666666</v>
      </c>
      <c r="E743" t="b">
        <f t="shared" ca="1" si="43"/>
        <v>1</v>
      </c>
      <c r="F743">
        <v>196.78000000012946</v>
      </c>
      <c r="G743">
        <v>14084.960000000001</v>
      </c>
      <c r="H743">
        <f t="shared" si="46"/>
        <v>14281.740000000131</v>
      </c>
    </row>
    <row r="744" spans="1:8">
      <c r="A744" s="1">
        <v>43368</v>
      </c>
      <c r="B744">
        <v>300.99</v>
      </c>
      <c r="C744" s="2">
        <f t="shared" ca="1" si="45"/>
        <v>289.94249999999994</v>
      </c>
      <c r="D744" s="2">
        <f t="shared" ca="1" si="44"/>
        <v>299.03666666666669</v>
      </c>
      <c r="E744" t="b">
        <f t="shared" ca="1" si="43"/>
        <v>1</v>
      </c>
      <c r="F744">
        <v>196.78000000012946</v>
      </c>
      <c r="G744">
        <v>14146.53</v>
      </c>
      <c r="H744">
        <f t="shared" si="46"/>
        <v>14343.31000000013</v>
      </c>
    </row>
    <row r="745" spans="1:8">
      <c r="A745" s="1">
        <v>43369</v>
      </c>
      <c r="B745">
        <v>309.58</v>
      </c>
      <c r="C745" s="2">
        <f t="shared" ca="1" si="45"/>
        <v>293.08833333333331</v>
      </c>
      <c r="D745" s="2">
        <f t="shared" ca="1" si="44"/>
        <v>299.92333333333335</v>
      </c>
      <c r="E745" t="b">
        <f t="shared" ca="1" si="43"/>
        <v>1</v>
      </c>
      <c r="F745">
        <v>196.78000000012946</v>
      </c>
      <c r="G745">
        <v>14550.259999999998</v>
      </c>
      <c r="H745">
        <f t="shared" si="46"/>
        <v>14747.040000000128</v>
      </c>
    </row>
    <row r="746" spans="1:8">
      <c r="A746" s="1">
        <v>43370</v>
      </c>
      <c r="B746">
        <v>307.52</v>
      </c>
      <c r="C746" s="2">
        <f t="shared" ca="1" si="45"/>
        <v>295.09499999999997</v>
      </c>
      <c r="D746" s="2">
        <f t="shared" ca="1" si="44"/>
        <v>303.41666666666669</v>
      </c>
      <c r="E746" t="b">
        <f t="shared" ca="1" si="43"/>
        <v>1</v>
      </c>
      <c r="F746">
        <v>196.78000000012946</v>
      </c>
      <c r="G746">
        <v>14453.439999999999</v>
      </c>
      <c r="H746">
        <f t="shared" si="46"/>
        <v>14650.220000000128</v>
      </c>
    </row>
    <row r="747" spans="1:8">
      <c r="A747" s="1">
        <v>43371</v>
      </c>
      <c r="B747">
        <v>264.77</v>
      </c>
      <c r="C747" s="2">
        <f t="shared" ca="1" si="45"/>
        <v>297.435</v>
      </c>
      <c r="D747" s="2">
        <f t="shared" ca="1" si="44"/>
        <v>306.02999999999997</v>
      </c>
      <c r="E747" t="b">
        <f t="shared" ca="1" si="43"/>
        <v>1</v>
      </c>
      <c r="F747">
        <v>196.78000000012946</v>
      </c>
      <c r="G747">
        <v>12444.189999999999</v>
      </c>
      <c r="H747">
        <f t="shared" si="46"/>
        <v>12640.970000000128</v>
      </c>
    </row>
    <row r="748" spans="1:8">
      <c r="A748" s="1">
        <v>43374</v>
      </c>
      <c r="B748">
        <v>310.7</v>
      </c>
      <c r="C748" s="2">
        <f t="shared" ca="1" si="45"/>
        <v>295.28749999999997</v>
      </c>
      <c r="D748" s="2">
        <f t="shared" ca="1" si="44"/>
        <v>293.95666666666665</v>
      </c>
      <c r="E748" t="b">
        <f t="shared" ca="1" si="43"/>
        <v>0</v>
      </c>
      <c r="F748">
        <v>14799.680000000129</v>
      </c>
      <c r="G748">
        <v>0</v>
      </c>
      <c r="H748">
        <f t="shared" si="46"/>
        <v>14799.680000000129</v>
      </c>
    </row>
    <row r="749" spans="1:8">
      <c r="A749" s="1">
        <v>43375</v>
      </c>
      <c r="B749">
        <v>301.02</v>
      </c>
      <c r="C749" s="2">
        <f t="shared" ca="1" si="45"/>
        <v>297.05749999999995</v>
      </c>
      <c r="D749" s="2">
        <f t="shared" ca="1" si="44"/>
        <v>294.33</v>
      </c>
      <c r="E749" t="b">
        <f t="shared" ca="1" si="43"/>
        <v>0</v>
      </c>
      <c r="F749">
        <v>14799.680000000129</v>
      </c>
      <c r="G749">
        <v>0</v>
      </c>
      <c r="H749">
        <f t="shared" si="46"/>
        <v>14799.680000000129</v>
      </c>
    </row>
    <row r="750" spans="1:8">
      <c r="A750" s="1">
        <v>43376</v>
      </c>
      <c r="B750">
        <v>294.8</v>
      </c>
      <c r="C750" s="2">
        <f t="shared" ca="1" si="45"/>
        <v>297.54249999999996</v>
      </c>
      <c r="D750" s="2">
        <f t="shared" ca="1" si="44"/>
        <v>292.16333333333336</v>
      </c>
      <c r="E750" t="b">
        <f t="shared" ca="1" si="43"/>
        <v>0</v>
      </c>
      <c r="F750">
        <v>14799.680000000129</v>
      </c>
      <c r="G750">
        <v>0</v>
      </c>
      <c r="H750">
        <f t="shared" si="46"/>
        <v>14799.680000000129</v>
      </c>
    </row>
    <row r="751" spans="1:8">
      <c r="A751" s="1">
        <v>43377</v>
      </c>
      <c r="B751">
        <v>281.83</v>
      </c>
      <c r="C751" s="2">
        <f t="shared" ca="1" si="45"/>
        <v>297.53916666666663</v>
      </c>
      <c r="D751" s="2">
        <f t="shared" ca="1" si="44"/>
        <v>302.17333333333335</v>
      </c>
      <c r="E751" t="b">
        <f t="shared" ca="1" si="43"/>
        <v>1</v>
      </c>
    </row>
    <row r="752" spans="1:8">
      <c r="A752" s="1">
        <v>43378</v>
      </c>
      <c r="B752">
        <v>261.95</v>
      </c>
      <c r="C752" s="2">
        <f t="shared" ca="1" si="45"/>
        <v>297.27833333333331</v>
      </c>
      <c r="D752" s="2">
        <f t="shared" ca="1" si="44"/>
        <v>292.54999999999995</v>
      </c>
      <c r="E752" t="b">
        <f t="shared" ca="1" si="43"/>
        <v>0</v>
      </c>
    </row>
    <row r="753" spans="1:5">
      <c r="A753" s="1">
        <v>43381</v>
      </c>
      <c r="B753">
        <v>250.56</v>
      </c>
      <c r="C753" s="2">
        <f t="shared" ca="1" si="45"/>
        <v>294.18916666666667</v>
      </c>
      <c r="D753" s="2">
        <f t="shared" ca="1" si="44"/>
        <v>279.52666666666664</v>
      </c>
      <c r="E753" t="b">
        <f t="shared" ca="1" si="43"/>
        <v>0</v>
      </c>
    </row>
    <row r="754" spans="1:5">
      <c r="A754" s="1">
        <v>43382</v>
      </c>
      <c r="B754">
        <v>262.8</v>
      </c>
      <c r="C754" s="2">
        <f t="shared" ca="1" si="45"/>
        <v>290.20833333333331</v>
      </c>
      <c r="D754" s="2">
        <f t="shared" ca="1" si="44"/>
        <v>264.77999999999997</v>
      </c>
      <c r="E754" t="b">
        <f t="shared" ca="1" si="43"/>
        <v>0</v>
      </c>
    </row>
    <row r="755" spans="1:5">
      <c r="A755" s="1">
        <v>43383</v>
      </c>
      <c r="B755">
        <v>256.88</v>
      </c>
      <c r="C755" s="2">
        <f t="shared" ca="1" si="45"/>
        <v>287.18333333333334</v>
      </c>
      <c r="D755" s="2">
        <f t="shared" ca="1" si="44"/>
        <v>258.43666666666667</v>
      </c>
      <c r="E755" t="b">
        <f t="shared" ca="1" si="43"/>
        <v>0</v>
      </c>
    </row>
    <row r="756" spans="1:5">
      <c r="A756" s="1">
        <v>43384</v>
      </c>
      <c r="B756">
        <v>252.23</v>
      </c>
      <c r="C756" s="2">
        <f t="shared" ca="1" si="45"/>
        <v>283.61666666666667</v>
      </c>
      <c r="D756" s="2">
        <f t="shared" ca="1" si="44"/>
        <v>256.74666666666667</v>
      </c>
      <c r="E756" t="b">
        <f t="shared" ref="E756:E758" ca="1" si="47">D756&gt;C756</f>
        <v>0</v>
      </c>
    </row>
    <row r="757" spans="1:5">
      <c r="A757" s="1">
        <v>43385</v>
      </c>
      <c r="B757">
        <v>258.77999999999997</v>
      </c>
      <c r="C757" s="2">
        <f t="shared" ca="1" si="45"/>
        <v>279.55333333333334</v>
      </c>
      <c r="D757" s="2">
        <f t="shared" ca="1" si="44"/>
        <v>257.30333333333334</v>
      </c>
      <c r="E757" t="b">
        <f t="shared" ca="1" si="47"/>
        <v>0</v>
      </c>
    </row>
    <row r="758" spans="1:5">
      <c r="A758" s="1">
        <v>43388</v>
      </c>
      <c r="B758">
        <v>259.58999999999997</v>
      </c>
      <c r="C758" s="2">
        <f t="shared" ca="1" si="45"/>
        <v>275.32</v>
      </c>
      <c r="D758" s="2">
        <f t="shared" ca="1" si="44"/>
        <v>255.96333333333334</v>
      </c>
      <c r="E758" t="b">
        <f t="shared" ca="1" si="47"/>
        <v>0</v>
      </c>
    </row>
  </sheetData>
  <sortState xmlns:xlrd2="http://schemas.microsoft.com/office/spreadsheetml/2017/richdata2" ref="A3:B758">
    <sortCondition ref="A3:A758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croll Bar 2">
              <controlPr defaultSize="0" autoPict="0">
                <anchor moveWithCells="1">
                  <from>
                    <xdr:col>2</xdr:col>
                    <xdr:colOff>428625</xdr:colOff>
                    <xdr:row>2</xdr:row>
                    <xdr:rowOff>95250</xdr:rowOff>
                  </from>
                  <to>
                    <xdr:col>5</xdr:col>
                    <xdr:colOff>542925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croll Bar 3">
              <controlPr defaultSize="0" autoPict="0">
                <anchor moveWithCells="1">
                  <from>
                    <xdr:col>2</xdr:col>
                    <xdr:colOff>409575</xdr:colOff>
                    <xdr:row>4</xdr:row>
                    <xdr:rowOff>180975</xdr:rowOff>
                  </from>
                  <to>
                    <xdr:col>5</xdr:col>
                    <xdr:colOff>523875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A2D7A-3D2A-4E01-91E8-2DFDBD6FFB37}">
  <sheetPr codeName="Sheet2"/>
  <dimension ref="A1:K758"/>
  <sheetViews>
    <sheetView zoomScale="80" zoomScaleNormal="80" workbookViewId="0">
      <selection activeCell="C21" sqref="C21"/>
    </sheetView>
  </sheetViews>
  <sheetFormatPr defaultRowHeight="15"/>
  <cols>
    <col min="1" max="1" width="11.5703125" bestFit="1" customWidth="1"/>
    <col min="3" max="4" width="13.42578125" bestFit="1" customWidth="1"/>
  </cols>
  <sheetData>
    <row r="1" spans="1:11">
      <c r="A1" s="3"/>
      <c r="B1" s="3"/>
      <c r="C1" s="3">
        <v>12</v>
      </c>
      <c r="D1" s="3">
        <v>3</v>
      </c>
      <c r="E1" s="3"/>
      <c r="F1" s="3"/>
      <c r="G1" s="3"/>
      <c r="H1" s="3"/>
      <c r="I1" s="3"/>
      <c r="J1" s="3"/>
      <c r="K1" s="3"/>
    </row>
    <row r="2" spans="1:11">
      <c r="A2" s="3" t="s">
        <v>0</v>
      </c>
      <c r="B2" s="3" t="s">
        <v>1</v>
      </c>
      <c r="C2" s="3" t="str">
        <f>TEXT(C1,"0")&amp;"-average"</f>
        <v>12-average</v>
      </c>
      <c r="D2" s="3" t="str">
        <f>TEXT(D1,"0")&amp;"-average"</f>
        <v>3-average</v>
      </c>
      <c r="E2" s="3"/>
      <c r="F2" s="3"/>
      <c r="G2" s="3"/>
      <c r="H2" s="3"/>
      <c r="I2" s="3"/>
      <c r="J2" s="3"/>
      <c r="K2" s="3"/>
    </row>
    <row r="3" spans="1:11">
      <c r="A3" s="3">
        <v>42292</v>
      </c>
      <c r="B3" s="3">
        <v>221.31</v>
      </c>
      <c r="C3" s="3"/>
      <c r="D3" s="4"/>
      <c r="E3" s="3"/>
      <c r="F3" s="3"/>
      <c r="G3" s="3"/>
      <c r="H3" s="3"/>
      <c r="I3" s="3"/>
      <c r="J3" s="3"/>
      <c r="K3" s="3"/>
    </row>
    <row r="4" spans="1:11">
      <c r="A4" s="3">
        <v>42293</v>
      </c>
      <c r="B4" s="3">
        <v>227.01</v>
      </c>
      <c r="C4" s="3"/>
      <c r="D4" s="4"/>
      <c r="E4" s="3"/>
      <c r="F4" s="3"/>
      <c r="G4" s="3"/>
      <c r="H4" s="3"/>
      <c r="I4" s="3"/>
      <c r="J4" s="3"/>
      <c r="K4" s="3"/>
    </row>
    <row r="5" spans="1:11">
      <c r="A5" s="3">
        <v>42296</v>
      </c>
      <c r="B5" s="3">
        <v>228.1</v>
      </c>
      <c r="C5" s="3"/>
      <c r="D5" s="4"/>
      <c r="E5" s="3"/>
      <c r="F5" s="3"/>
      <c r="G5" s="3"/>
      <c r="H5" s="3"/>
      <c r="I5" s="3"/>
      <c r="J5" s="3"/>
      <c r="K5" s="3"/>
    </row>
    <row r="6" spans="1:11">
      <c r="A6" s="3">
        <v>42297</v>
      </c>
      <c r="B6" s="3">
        <v>213.03</v>
      </c>
      <c r="C6" s="3"/>
      <c r="D6" s="4"/>
      <c r="E6" s="3"/>
      <c r="F6" s="3"/>
      <c r="G6" s="3"/>
      <c r="H6" s="3"/>
      <c r="I6" s="3"/>
      <c r="J6" s="3"/>
      <c r="K6" s="3"/>
    </row>
    <row r="7" spans="1:11">
      <c r="A7" s="3">
        <v>42298</v>
      </c>
      <c r="B7" s="3">
        <v>210.09</v>
      </c>
      <c r="C7" s="3"/>
      <c r="D7" s="4"/>
      <c r="E7" s="3"/>
      <c r="F7" s="3"/>
      <c r="G7" s="3"/>
      <c r="H7" s="3"/>
      <c r="I7" s="3"/>
      <c r="J7" s="3"/>
      <c r="K7" s="3"/>
    </row>
    <row r="8" spans="1:11">
      <c r="A8" s="3">
        <v>42299</v>
      </c>
      <c r="B8" s="3">
        <v>211.72</v>
      </c>
      <c r="C8" s="3"/>
      <c r="D8" s="4"/>
      <c r="E8" s="3"/>
      <c r="F8" s="3"/>
      <c r="G8" s="3"/>
      <c r="H8" s="3"/>
      <c r="I8" s="3"/>
      <c r="J8" s="3"/>
      <c r="K8" s="3"/>
    </row>
    <row r="9" spans="1:11">
      <c r="A9" s="3">
        <v>42300</v>
      </c>
      <c r="B9" s="3">
        <v>209.09</v>
      </c>
      <c r="C9" s="3"/>
      <c r="D9" s="4"/>
      <c r="E9" s="3"/>
      <c r="F9" s="3"/>
      <c r="G9" s="3"/>
      <c r="H9" s="3"/>
      <c r="I9" s="3"/>
      <c r="J9" s="3"/>
      <c r="K9" s="3"/>
    </row>
    <row r="10" spans="1:11">
      <c r="A10" s="3">
        <v>42303</v>
      </c>
      <c r="B10" s="3">
        <v>215.26</v>
      </c>
      <c r="C10" s="3"/>
      <c r="D10" s="4"/>
      <c r="E10" s="3"/>
      <c r="F10" s="3"/>
      <c r="G10" s="3"/>
      <c r="H10" s="3"/>
      <c r="I10" s="3"/>
      <c r="J10" s="3"/>
      <c r="K10" s="3"/>
    </row>
    <row r="11" spans="1:11">
      <c r="A11" s="3">
        <v>42304</v>
      </c>
      <c r="B11" s="3">
        <v>210.35</v>
      </c>
      <c r="C11" s="4"/>
      <c r="D11" s="4"/>
      <c r="E11" s="3"/>
      <c r="F11" s="3"/>
      <c r="G11" s="3"/>
      <c r="H11" s="3"/>
      <c r="I11" s="3"/>
      <c r="J11" s="3"/>
      <c r="K11" s="3"/>
    </row>
    <row r="12" spans="1:11">
      <c r="A12" s="3">
        <v>42305</v>
      </c>
      <c r="B12" s="3">
        <v>212.96</v>
      </c>
      <c r="C12" s="4"/>
      <c r="D12" s="4"/>
      <c r="E12" s="3"/>
      <c r="F12" s="3"/>
      <c r="G12" s="3"/>
      <c r="H12" s="3"/>
      <c r="I12" s="3"/>
      <c r="J12" s="3"/>
      <c r="K12" s="3"/>
    </row>
    <row r="13" spans="1:11">
      <c r="A13" s="3">
        <v>42306</v>
      </c>
      <c r="B13" s="3">
        <v>211.63</v>
      </c>
      <c r="C13" s="4"/>
      <c r="D13" s="4"/>
      <c r="E13" s="3"/>
      <c r="F13" s="3"/>
      <c r="G13" s="3"/>
      <c r="H13" s="3"/>
      <c r="I13" s="3"/>
      <c r="J13" s="3"/>
      <c r="K13" s="3"/>
    </row>
    <row r="14" spans="1:11">
      <c r="A14" s="3">
        <v>42307</v>
      </c>
      <c r="B14" s="3">
        <v>206.93</v>
      </c>
      <c r="C14" s="4"/>
      <c r="D14" s="4"/>
      <c r="E14" s="3"/>
      <c r="F14" s="3"/>
      <c r="G14" s="3"/>
      <c r="H14" s="3"/>
      <c r="I14" s="3"/>
      <c r="J14" s="3"/>
      <c r="K14" s="3"/>
    </row>
    <row r="15" spans="1:11">
      <c r="A15" s="3">
        <v>42310</v>
      </c>
      <c r="B15" s="3">
        <v>213.79</v>
      </c>
      <c r="C15" s="4"/>
      <c r="D15" s="4"/>
      <c r="E15" s="3"/>
      <c r="F15" s="3"/>
      <c r="G15" s="3"/>
      <c r="H15" s="3"/>
      <c r="I15" s="3"/>
      <c r="J15" s="3"/>
      <c r="K15" s="3" t="e">
        <f>K16/H21</f>
        <v>#DIV/0!</v>
      </c>
    </row>
    <row r="16" spans="1:11">
      <c r="A16" s="3">
        <v>42311</v>
      </c>
      <c r="B16" s="3">
        <v>208.35</v>
      </c>
      <c r="C16" s="4"/>
      <c r="D16" s="4"/>
      <c r="E16" s="3"/>
      <c r="F16" s="3"/>
      <c r="G16" s="3"/>
      <c r="H16" s="3"/>
      <c r="I16" s="3"/>
      <c r="J16" s="3" t="s">
        <v>8</v>
      </c>
      <c r="K16" s="3">
        <f>K21-H21</f>
        <v>10268.114999999925</v>
      </c>
    </row>
    <row r="17" spans="1:11">
      <c r="A17" s="3">
        <v>42312</v>
      </c>
      <c r="B17" s="3">
        <v>231.63</v>
      </c>
      <c r="C17" s="4"/>
      <c r="D17" s="4"/>
      <c r="E17" s="3"/>
      <c r="F17" s="3"/>
      <c r="G17" s="3"/>
      <c r="H17" s="3"/>
      <c r="I17" s="3"/>
      <c r="J17" s="3"/>
      <c r="K17" s="3"/>
    </row>
    <row r="18" spans="1:11">
      <c r="A18" s="3">
        <v>42313</v>
      </c>
      <c r="B18" s="3">
        <v>231.77</v>
      </c>
      <c r="C18" s="4"/>
      <c r="D18" s="4"/>
      <c r="E18" s="3"/>
      <c r="F18" s="3"/>
      <c r="G18" s="3"/>
      <c r="H18" s="3"/>
      <c r="I18" s="3"/>
      <c r="J18" s="3"/>
      <c r="K18" s="3"/>
    </row>
    <row r="19" spans="1:11">
      <c r="A19" s="3">
        <v>42314</v>
      </c>
      <c r="B19" s="3">
        <v>232.36</v>
      </c>
      <c r="C19" s="4"/>
      <c r="D19" s="4"/>
      <c r="E19" s="3"/>
      <c r="F19" s="3" t="s">
        <v>2</v>
      </c>
      <c r="G19" s="3" t="s">
        <v>3</v>
      </c>
      <c r="H19" s="3" t="s">
        <v>4</v>
      </c>
      <c r="I19" s="3" t="s">
        <v>5</v>
      </c>
      <c r="J19" s="3" t="s">
        <v>6</v>
      </c>
      <c r="K19" s="3" t="s">
        <v>7</v>
      </c>
    </row>
    <row r="20" spans="1:11">
      <c r="A20" s="3">
        <v>42317</v>
      </c>
      <c r="B20" s="3">
        <v>225.33</v>
      </c>
      <c r="C20" s="4"/>
      <c r="D20" s="4"/>
      <c r="E20" s="3"/>
      <c r="F20" s="3"/>
      <c r="G20" s="3"/>
      <c r="H20" s="3"/>
      <c r="I20" s="3"/>
      <c r="J20" s="3"/>
      <c r="K20" s="3"/>
    </row>
    <row r="21" spans="1:11">
      <c r="A21" s="3">
        <v>42318</v>
      </c>
      <c r="B21" s="3">
        <v>216.5</v>
      </c>
      <c r="C21" s="4">
        <f>B19-B18</f>
        <v>0.59000000000000341</v>
      </c>
      <c r="D21" s="4">
        <f t="shared" ref="D13:D28" si="0">B20-B19</f>
        <v>-7.0300000000000011</v>
      </c>
      <c r="E21" s="3">
        <f t="shared" ref="E13:E28" si="1">B21-B20</f>
        <v>-8.8300000000000125</v>
      </c>
      <c r="F21" s="4"/>
      <c r="G21" s="3"/>
      <c r="H21" s="3"/>
      <c r="I21" s="3">
        <f>MAX(H21:H758)</f>
        <v>13185.689999999937</v>
      </c>
      <c r="J21" s="3">
        <f>MIN(H21:H758)</f>
        <v>7870.1799999999957</v>
      </c>
      <c r="K21" s="3">
        <f>H750</f>
        <v>10268.114999999925</v>
      </c>
    </row>
    <row r="22" spans="1:11">
      <c r="A22" s="3">
        <v>42319</v>
      </c>
      <c r="B22" s="3">
        <v>219.08</v>
      </c>
      <c r="C22" s="4">
        <f t="shared" ref="C13:C76" si="2">B20-B19</f>
        <v>-7.0300000000000011</v>
      </c>
      <c r="D22" s="4">
        <f t="shared" si="0"/>
        <v>-8.8300000000000125</v>
      </c>
      <c r="E22" s="3">
        <f t="shared" si="1"/>
        <v>2.5800000000000125</v>
      </c>
      <c r="F22" s="3">
        <v>10000</v>
      </c>
      <c r="G22" s="3">
        <v>0</v>
      </c>
      <c r="H22" s="3"/>
      <c r="I22" s="3"/>
      <c r="J22" s="3"/>
      <c r="K22" s="3"/>
    </row>
    <row r="23" spans="1:11">
      <c r="A23" s="3">
        <v>42320</v>
      </c>
      <c r="B23" s="3">
        <v>212.94</v>
      </c>
      <c r="C23" s="4">
        <f t="shared" si="2"/>
        <v>-8.8300000000000125</v>
      </c>
      <c r="D23" s="4">
        <f t="shared" si="0"/>
        <v>2.5800000000000125</v>
      </c>
      <c r="E23" s="3">
        <f t="shared" si="1"/>
        <v>-6.1400000000000148</v>
      </c>
      <c r="F23" s="3">
        <v>10000</v>
      </c>
      <c r="G23" s="3">
        <v>0</v>
      </c>
      <c r="H23" s="3"/>
      <c r="I23" s="3"/>
      <c r="J23" s="3"/>
      <c r="K23" s="3"/>
    </row>
    <row r="24" spans="1:11">
      <c r="A24" s="3">
        <v>42321</v>
      </c>
      <c r="B24" s="3">
        <v>207.19</v>
      </c>
      <c r="C24" s="4">
        <f t="shared" si="2"/>
        <v>2.5800000000000125</v>
      </c>
      <c r="D24" s="4">
        <f t="shared" si="0"/>
        <v>-6.1400000000000148</v>
      </c>
      <c r="E24" s="3">
        <f t="shared" si="1"/>
        <v>-5.75</v>
      </c>
      <c r="F24" s="3">
        <v>10000</v>
      </c>
      <c r="G24" s="3">
        <v>0</v>
      </c>
      <c r="H24" s="3"/>
      <c r="I24" s="3"/>
      <c r="J24" s="3"/>
      <c r="K24" s="3"/>
    </row>
    <row r="25" spans="1:11">
      <c r="A25" s="3">
        <v>42324</v>
      </c>
      <c r="B25" s="3">
        <v>214.31</v>
      </c>
      <c r="C25" s="4">
        <f t="shared" si="2"/>
        <v>-6.1400000000000148</v>
      </c>
      <c r="D25" s="4">
        <f t="shared" si="0"/>
        <v>-5.75</v>
      </c>
      <c r="E25" s="3">
        <f t="shared" si="1"/>
        <v>7.1200000000000045</v>
      </c>
      <c r="F25" s="3">
        <v>10000</v>
      </c>
      <c r="G25" s="3">
        <v>0</v>
      </c>
      <c r="H25" s="3"/>
      <c r="I25" s="3"/>
      <c r="J25" s="3"/>
      <c r="K25" s="3"/>
    </row>
    <row r="26" spans="1:11">
      <c r="A26" s="3">
        <v>42325</v>
      </c>
      <c r="B26" s="3">
        <v>214</v>
      </c>
      <c r="C26" s="4">
        <f t="shared" si="2"/>
        <v>-5.75</v>
      </c>
      <c r="D26" s="4">
        <f t="shared" si="0"/>
        <v>7.1200000000000045</v>
      </c>
      <c r="E26" s="3">
        <f t="shared" si="1"/>
        <v>-0.31000000000000227</v>
      </c>
      <c r="F26" s="3">
        <v>10000</v>
      </c>
      <c r="G26" s="3">
        <v>0</v>
      </c>
      <c r="H26" s="3"/>
      <c r="I26" s="3"/>
      <c r="J26" s="3"/>
      <c r="K26" s="3"/>
    </row>
    <row r="27" spans="1:11">
      <c r="A27" s="3">
        <v>42326</v>
      </c>
      <c r="B27" s="3">
        <v>221.07</v>
      </c>
      <c r="C27" s="4">
        <f t="shared" si="2"/>
        <v>7.1200000000000045</v>
      </c>
      <c r="D27" s="4">
        <f t="shared" si="0"/>
        <v>-0.31000000000000227</v>
      </c>
      <c r="E27" s="3">
        <f t="shared" si="1"/>
        <v>7.0699999999999932</v>
      </c>
      <c r="F27" s="3">
        <v>10000</v>
      </c>
      <c r="G27" s="3">
        <v>0</v>
      </c>
      <c r="H27" s="3"/>
      <c r="I27" s="3"/>
      <c r="J27" s="3"/>
      <c r="K27" s="3"/>
    </row>
    <row r="28" spans="1:11">
      <c r="A28" s="3">
        <v>42327</v>
      </c>
      <c r="B28" s="3">
        <v>221.8</v>
      </c>
      <c r="C28" s="4">
        <f t="shared" si="2"/>
        <v>-0.31000000000000227</v>
      </c>
      <c r="D28" s="4">
        <f t="shared" si="0"/>
        <v>7.0699999999999932</v>
      </c>
      <c r="E28" s="3">
        <f t="shared" si="1"/>
        <v>0.73000000000001819</v>
      </c>
      <c r="F28" s="3">
        <v>19.000000000001194</v>
      </c>
      <c r="G28" s="3">
        <v>9981</v>
      </c>
      <c r="H28" s="3"/>
      <c r="I28" s="3"/>
      <c r="J28" s="3"/>
      <c r="K28" s="3"/>
    </row>
    <row r="29" spans="1:11">
      <c r="A29" s="3">
        <v>42328</v>
      </c>
      <c r="B29" s="3">
        <v>220.01</v>
      </c>
      <c r="C29" s="4">
        <f t="shared" si="2"/>
        <v>7.0699999999999932</v>
      </c>
      <c r="D29" s="4">
        <f t="shared" ref="D29:D76" si="3">B28-B27</f>
        <v>0.73000000000001819</v>
      </c>
      <c r="E29" s="3">
        <f t="shared" ref="E29:E76" si="4">B29-B28</f>
        <v>-1.7900000000000205</v>
      </c>
      <c r="F29" s="3">
        <v>19.000000000001194</v>
      </c>
      <c r="G29" s="3">
        <v>9900.4499999999989</v>
      </c>
      <c r="H29" s="3"/>
      <c r="I29" s="3"/>
      <c r="J29" s="3"/>
      <c r="K29" s="3"/>
    </row>
    <row r="30" spans="1:11">
      <c r="A30" s="3">
        <v>42331</v>
      </c>
      <c r="B30" s="3">
        <v>217.75</v>
      </c>
      <c r="C30" s="4">
        <f t="shared" si="2"/>
        <v>0.73000000000001819</v>
      </c>
      <c r="D30" s="4">
        <f t="shared" si="3"/>
        <v>-1.7900000000000205</v>
      </c>
      <c r="E30" s="3">
        <f t="shared" si="4"/>
        <v>-2.2599999999999909</v>
      </c>
      <c r="F30" s="3">
        <v>9817.7500000000018</v>
      </c>
      <c r="G30" s="3">
        <v>0</v>
      </c>
      <c r="H30" s="3"/>
      <c r="I30" s="3"/>
      <c r="J30" s="3"/>
      <c r="K30" s="3"/>
    </row>
    <row r="31" spans="1:11">
      <c r="A31" s="3">
        <v>42332</v>
      </c>
      <c r="B31" s="3">
        <v>218.25</v>
      </c>
      <c r="C31" s="4">
        <f t="shared" si="2"/>
        <v>-1.7900000000000205</v>
      </c>
      <c r="D31" s="4">
        <f t="shared" si="3"/>
        <v>-2.2599999999999909</v>
      </c>
      <c r="E31" s="3">
        <f t="shared" si="4"/>
        <v>0.5</v>
      </c>
      <c r="F31" s="3">
        <v>9817.7500000000018</v>
      </c>
      <c r="G31" s="3">
        <v>0</v>
      </c>
      <c r="H31" s="3"/>
      <c r="I31" s="3"/>
      <c r="J31" s="3"/>
      <c r="K31" s="3"/>
    </row>
    <row r="32" spans="1:11">
      <c r="A32" s="3">
        <v>42333</v>
      </c>
      <c r="B32" s="3">
        <v>229.64</v>
      </c>
      <c r="C32" s="4">
        <f t="shared" si="2"/>
        <v>-2.2599999999999909</v>
      </c>
      <c r="D32" s="4">
        <f t="shared" si="3"/>
        <v>0.5</v>
      </c>
      <c r="E32" s="3">
        <f t="shared" si="4"/>
        <v>11.389999999999986</v>
      </c>
      <c r="F32" s="3">
        <v>172.87000000000216</v>
      </c>
      <c r="G32" s="3">
        <v>9644.8799999999992</v>
      </c>
      <c r="H32" s="3"/>
      <c r="I32" s="3"/>
      <c r="J32" s="3"/>
      <c r="K32" s="3"/>
    </row>
    <row r="33" spans="1:11">
      <c r="A33" s="3">
        <v>42335</v>
      </c>
      <c r="B33" s="3">
        <v>231.61</v>
      </c>
      <c r="C33" s="4">
        <f t="shared" si="2"/>
        <v>0.5</v>
      </c>
      <c r="D33" s="4">
        <f t="shared" si="3"/>
        <v>11.389999999999986</v>
      </c>
      <c r="E33" s="3">
        <f t="shared" si="4"/>
        <v>1.9700000000000273</v>
      </c>
      <c r="F33" s="3">
        <v>172.87000000000216</v>
      </c>
      <c r="G33" s="3">
        <v>9727.6200000000008</v>
      </c>
      <c r="H33" s="3"/>
      <c r="I33" s="3"/>
      <c r="J33" s="3"/>
      <c r="K33" s="3"/>
    </row>
    <row r="34" spans="1:11">
      <c r="A34" s="3">
        <v>42338</v>
      </c>
      <c r="B34" s="3">
        <v>230.26</v>
      </c>
      <c r="C34" s="4">
        <f t="shared" si="2"/>
        <v>11.389999999999986</v>
      </c>
      <c r="D34" s="4">
        <f t="shared" si="3"/>
        <v>1.9700000000000273</v>
      </c>
      <c r="E34" s="3">
        <f t="shared" si="4"/>
        <v>-1.3500000000000227</v>
      </c>
      <c r="F34" s="3">
        <v>172.87000000000216</v>
      </c>
      <c r="G34" s="3">
        <v>9670.92</v>
      </c>
      <c r="H34" s="3"/>
      <c r="I34" s="3"/>
      <c r="J34" s="3"/>
      <c r="K34" s="3"/>
    </row>
    <row r="35" spans="1:11">
      <c r="A35" s="3">
        <v>42339</v>
      </c>
      <c r="B35" s="3">
        <v>237.19</v>
      </c>
      <c r="C35" s="4">
        <f t="shared" si="2"/>
        <v>1.9700000000000273</v>
      </c>
      <c r="D35" s="4">
        <f t="shared" si="3"/>
        <v>-1.3500000000000227</v>
      </c>
      <c r="E35" s="3">
        <f t="shared" si="4"/>
        <v>6.9300000000000068</v>
      </c>
      <c r="F35" s="3">
        <v>172.87000000000216</v>
      </c>
      <c r="G35" s="3">
        <v>9961.98</v>
      </c>
      <c r="H35" s="3"/>
      <c r="I35" s="3"/>
      <c r="J35" s="3"/>
      <c r="K35" s="3"/>
    </row>
    <row r="36" spans="1:11">
      <c r="A36" s="3">
        <v>42340</v>
      </c>
      <c r="B36" s="3">
        <v>231.99</v>
      </c>
      <c r="C36" s="4">
        <f t="shared" si="2"/>
        <v>-1.3500000000000227</v>
      </c>
      <c r="D36" s="4">
        <f t="shared" si="3"/>
        <v>6.9300000000000068</v>
      </c>
      <c r="E36" s="3">
        <f t="shared" si="4"/>
        <v>-5.1999999999999886</v>
      </c>
      <c r="F36" s="3">
        <v>172.87000000000216</v>
      </c>
      <c r="G36" s="3">
        <v>9743.58</v>
      </c>
      <c r="H36" s="3"/>
      <c r="I36" s="3"/>
      <c r="J36" s="3"/>
      <c r="K36" s="3"/>
    </row>
    <row r="37" spans="1:11">
      <c r="A37" s="3">
        <v>42341</v>
      </c>
      <c r="B37" s="3">
        <v>232.71</v>
      </c>
      <c r="C37" s="4">
        <f t="shared" si="2"/>
        <v>6.9300000000000068</v>
      </c>
      <c r="D37" s="4">
        <f t="shared" si="3"/>
        <v>-5.1999999999999886</v>
      </c>
      <c r="E37" s="3">
        <f t="shared" si="4"/>
        <v>0.71999999999999886</v>
      </c>
      <c r="F37" s="3">
        <v>172.87000000000216</v>
      </c>
      <c r="G37" s="3">
        <v>9773.82</v>
      </c>
      <c r="H37" s="3"/>
      <c r="I37" s="3"/>
      <c r="J37" s="3"/>
      <c r="K37" s="3"/>
    </row>
    <row r="38" spans="1:11">
      <c r="A38" s="3">
        <v>42342</v>
      </c>
      <c r="B38" s="3">
        <v>230.38</v>
      </c>
      <c r="C38" s="4">
        <f t="shared" si="2"/>
        <v>-5.1999999999999886</v>
      </c>
      <c r="D38" s="4">
        <f t="shared" si="3"/>
        <v>0.71999999999999886</v>
      </c>
      <c r="E38" s="3">
        <f t="shared" si="4"/>
        <v>-2.3300000000000125</v>
      </c>
      <c r="F38" s="3">
        <v>172.87000000000216</v>
      </c>
      <c r="G38" s="3">
        <v>9675.9599999999991</v>
      </c>
      <c r="H38" s="3"/>
      <c r="I38" s="3"/>
      <c r="J38" s="3"/>
      <c r="K38" s="3"/>
    </row>
    <row r="39" spans="1:11">
      <c r="A39" s="3">
        <v>42345</v>
      </c>
      <c r="B39" s="3">
        <v>231.13</v>
      </c>
      <c r="C39" s="4">
        <f t="shared" si="2"/>
        <v>0.71999999999999886</v>
      </c>
      <c r="D39" s="4">
        <f t="shared" si="3"/>
        <v>-2.3300000000000125</v>
      </c>
      <c r="E39" s="3">
        <f t="shared" si="4"/>
        <v>0.75</v>
      </c>
      <c r="F39" s="3">
        <v>172.87000000000216</v>
      </c>
      <c r="G39" s="3">
        <v>9707.4599999999991</v>
      </c>
      <c r="H39" s="3"/>
      <c r="I39" s="3"/>
      <c r="J39" s="3"/>
      <c r="K39" s="3"/>
    </row>
    <row r="40" spans="1:11">
      <c r="A40" s="3">
        <v>42346</v>
      </c>
      <c r="B40" s="3">
        <v>226.72</v>
      </c>
      <c r="C40" s="4">
        <f t="shared" si="2"/>
        <v>-2.3300000000000125</v>
      </c>
      <c r="D40" s="4">
        <f t="shared" si="3"/>
        <v>0.75</v>
      </c>
      <c r="E40" s="3">
        <f t="shared" si="4"/>
        <v>-4.4099999999999966</v>
      </c>
      <c r="F40" s="3">
        <v>172.87000000000216</v>
      </c>
      <c r="G40" s="3">
        <v>9522.24</v>
      </c>
      <c r="H40" s="3"/>
      <c r="I40" s="3"/>
      <c r="J40" s="3"/>
      <c r="K40" s="3"/>
    </row>
    <row r="41" spans="1:11">
      <c r="A41" s="3">
        <v>42347</v>
      </c>
      <c r="B41" s="3">
        <v>224.52</v>
      </c>
      <c r="C41" s="4">
        <f t="shared" si="2"/>
        <v>0.75</v>
      </c>
      <c r="D41" s="4">
        <f t="shared" si="3"/>
        <v>-4.4099999999999966</v>
      </c>
      <c r="E41" s="3">
        <f t="shared" si="4"/>
        <v>-2.1999999999999886</v>
      </c>
      <c r="F41" s="3">
        <v>9602.7100000000028</v>
      </c>
      <c r="G41" s="3">
        <v>0</v>
      </c>
      <c r="H41" s="3"/>
      <c r="I41" s="3"/>
      <c r="J41" s="3"/>
      <c r="K41" s="3"/>
    </row>
    <row r="42" spans="1:11">
      <c r="A42" s="3">
        <v>42348</v>
      </c>
      <c r="B42" s="3">
        <v>227.07</v>
      </c>
      <c r="C42" s="4">
        <f t="shared" si="2"/>
        <v>-4.4099999999999966</v>
      </c>
      <c r="D42" s="4">
        <f t="shared" si="3"/>
        <v>-2.1999999999999886</v>
      </c>
      <c r="E42" s="3">
        <f t="shared" si="4"/>
        <v>2.5499999999999829</v>
      </c>
      <c r="F42" s="3">
        <v>9602.7100000000028</v>
      </c>
      <c r="G42" s="3">
        <v>0</v>
      </c>
      <c r="H42" s="3"/>
      <c r="I42" s="3"/>
      <c r="J42" s="3"/>
      <c r="K42" s="3"/>
    </row>
    <row r="43" spans="1:11">
      <c r="A43" s="3">
        <v>42349</v>
      </c>
      <c r="B43" s="3">
        <v>217.02</v>
      </c>
      <c r="C43" s="4">
        <f t="shared" si="2"/>
        <v>-2.1999999999999886</v>
      </c>
      <c r="D43" s="4">
        <f t="shared" si="3"/>
        <v>2.5499999999999829</v>
      </c>
      <c r="E43" s="3">
        <f t="shared" si="4"/>
        <v>-10.049999999999983</v>
      </c>
      <c r="F43" s="3">
        <v>9602.7100000000028</v>
      </c>
      <c r="G43" s="3">
        <v>0</v>
      </c>
      <c r="H43" s="3"/>
      <c r="I43" s="3"/>
      <c r="J43" s="3"/>
      <c r="K43" s="3"/>
    </row>
    <row r="44" spans="1:11">
      <c r="A44" s="3">
        <v>42352</v>
      </c>
      <c r="B44" s="3">
        <v>218.58</v>
      </c>
      <c r="C44" s="4">
        <f t="shared" si="2"/>
        <v>2.5499999999999829</v>
      </c>
      <c r="D44" s="4">
        <f t="shared" si="3"/>
        <v>-10.049999999999983</v>
      </c>
      <c r="E44" s="3">
        <f t="shared" si="4"/>
        <v>1.5600000000000023</v>
      </c>
      <c r="F44" s="3">
        <v>9602.7100000000028</v>
      </c>
      <c r="G44" s="3">
        <v>0</v>
      </c>
      <c r="H44" s="3"/>
      <c r="I44" s="3"/>
      <c r="J44" s="3"/>
      <c r="K44" s="3"/>
    </row>
    <row r="45" spans="1:11">
      <c r="A45" s="3">
        <v>42353</v>
      </c>
      <c r="B45" s="3">
        <v>221.09</v>
      </c>
      <c r="C45" s="4">
        <f t="shared" si="2"/>
        <v>-10.049999999999983</v>
      </c>
      <c r="D45" s="4">
        <f t="shared" si="3"/>
        <v>1.5600000000000023</v>
      </c>
      <c r="E45" s="3">
        <f t="shared" si="4"/>
        <v>2.5099999999999909</v>
      </c>
      <c r="F45" s="3">
        <v>95.839999999998014</v>
      </c>
      <c r="G45" s="3">
        <v>9506.8700000000008</v>
      </c>
      <c r="H45" s="3"/>
      <c r="I45" s="3"/>
      <c r="J45" s="3"/>
      <c r="K45" s="3"/>
    </row>
    <row r="46" spans="1:11">
      <c r="A46" s="3">
        <v>42354</v>
      </c>
      <c r="B46" s="3">
        <v>234.51</v>
      </c>
      <c r="C46" s="4">
        <f t="shared" si="2"/>
        <v>1.5600000000000023</v>
      </c>
      <c r="D46" s="4">
        <f t="shared" si="3"/>
        <v>2.5099999999999909</v>
      </c>
      <c r="E46" s="3">
        <f t="shared" si="4"/>
        <v>13.419999999999987</v>
      </c>
      <c r="F46" s="3">
        <v>95.839999999998014</v>
      </c>
      <c r="G46" s="3">
        <v>10083.93</v>
      </c>
      <c r="H46" s="3">
        <f t="shared" ref="H22:H85" si="5">G46+F46</f>
        <v>10179.769999999999</v>
      </c>
      <c r="I46" s="3"/>
      <c r="J46" s="3"/>
      <c r="K46" s="3"/>
    </row>
    <row r="47" spans="1:11">
      <c r="A47" s="3">
        <v>42355</v>
      </c>
      <c r="B47" s="3">
        <v>233.39</v>
      </c>
      <c r="C47" s="4">
        <f t="shared" si="2"/>
        <v>2.5099999999999909</v>
      </c>
      <c r="D47" s="4">
        <f t="shared" si="3"/>
        <v>13.419999999999987</v>
      </c>
      <c r="E47" s="3">
        <f t="shared" si="4"/>
        <v>-1.1200000000000045</v>
      </c>
      <c r="F47" s="3">
        <v>95.839999999998014</v>
      </c>
      <c r="G47" s="3">
        <v>10035.769999999999</v>
      </c>
      <c r="H47" s="3">
        <f t="shared" si="5"/>
        <v>10131.609999999997</v>
      </c>
      <c r="I47" s="3"/>
      <c r="J47" s="3"/>
      <c r="K47" s="3"/>
    </row>
    <row r="48" spans="1:11">
      <c r="A48" s="3">
        <v>42356</v>
      </c>
      <c r="B48" s="3">
        <v>230.46</v>
      </c>
      <c r="C48" s="4">
        <f t="shared" si="2"/>
        <v>13.419999999999987</v>
      </c>
      <c r="D48" s="4">
        <f t="shared" si="3"/>
        <v>-1.1200000000000045</v>
      </c>
      <c r="E48" s="3">
        <f t="shared" si="4"/>
        <v>-2.9299999999999784</v>
      </c>
      <c r="F48" s="3">
        <v>10005.619999999999</v>
      </c>
      <c r="G48" s="3">
        <v>0</v>
      </c>
      <c r="H48" s="3">
        <f t="shared" si="5"/>
        <v>10005.619999999999</v>
      </c>
      <c r="I48" s="3"/>
      <c r="J48" s="3"/>
      <c r="K48" s="3"/>
    </row>
    <row r="49" spans="1:11">
      <c r="A49" s="3">
        <v>42359</v>
      </c>
      <c r="B49" s="3">
        <v>232.56</v>
      </c>
      <c r="C49" s="4">
        <f t="shared" si="2"/>
        <v>-1.1200000000000045</v>
      </c>
      <c r="D49" s="4">
        <f t="shared" si="3"/>
        <v>-2.9299999999999784</v>
      </c>
      <c r="E49" s="3">
        <f t="shared" si="4"/>
        <v>2.0999999999999943</v>
      </c>
      <c r="F49" s="3">
        <v>10005.619999999999</v>
      </c>
      <c r="G49" s="3">
        <v>0</v>
      </c>
      <c r="H49" s="3">
        <f t="shared" si="5"/>
        <v>10005.619999999999</v>
      </c>
      <c r="I49" s="3"/>
      <c r="J49" s="3"/>
      <c r="K49" s="3"/>
    </row>
    <row r="50" spans="1:11">
      <c r="A50" s="3">
        <v>42360</v>
      </c>
      <c r="B50" s="3">
        <v>229.95</v>
      </c>
      <c r="C50" s="4">
        <f t="shared" si="2"/>
        <v>-2.9299999999999784</v>
      </c>
      <c r="D50" s="4">
        <f t="shared" si="3"/>
        <v>2.0999999999999943</v>
      </c>
      <c r="E50" s="3">
        <f t="shared" si="4"/>
        <v>-2.6100000000000136</v>
      </c>
      <c r="F50" s="3">
        <v>10005.619999999999</v>
      </c>
      <c r="G50" s="3">
        <v>0</v>
      </c>
      <c r="H50" s="3">
        <f t="shared" si="5"/>
        <v>10005.619999999999</v>
      </c>
      <c r="I50" s="3"/>
      <c r="J50" s="3"/>
      <c r="K50" s="3"/>
    </row>
    <row r="51" spans="1:11">
      <c r="A51" s="3">
        <v>42361</v>
      </c>
      <c r="B51" s="3">
        <v>229.7</v>
      </c>
      <c r="C51" s="4">
        <f t="shared" si="2"/>
        <v>2.0999999999999943</v>
      </c>
      <c r="D51" s="4">
        <f t="shared" si="3"/>
        <v>-2.6100000000000136</v>
      </c>
      <c r="E51" s="3">
        <f t="shared" si="4"/>
        <v>-0.25</v>
      </c>
      <c r="F51" s="3">
        <v>10005.619999999999</v>
      </c>
      <c r="G51" s="3">
        <v>0</v>
      </c>
      <c r="H51" s="3">
        <f t="shared" si="5"/>
        <v>10005.619999999999</v>
      </c>
      <c r="I51" s="3"/>
      <c r="J51" s="3"/>
      <c r="K51" s="3"/>
    </row>
    <row r="52" spans="1:11">
      <c r="A52" s="3">
        <v>42362</v>
      </c>
      <c r="B52" s="3">
        <v>230.57</v>
      </c>
      <c r="C52" s="4">
        <f t="shared" si="2"/>
        <v>-2.6100000000000136</v>
      </c>
      <c r="D52" s="4">
        <f t="shared" si="3"/>
        <v>-0.25</v>
      </c>
      <c r="E52" s="3">
        <f t="shared" si="4"/>
        <v>0.87000000000000455</v>
      </c>
      <c r="F52" s="3">
        <v>10005.619999999999</v>
      </c>
      <c r="G52" s="3">
        <v>0</v>
      </c>
      <c r="H52" s="3">
        <f t="shared" si="5"/>
        <v>10005.619999999999</v>
      </c>
      <c r="I52" s="3"/>
      <c r="J52" s="3"/>
      <c r="K52" s="3"/>
    </row>
    <row r="53" spans="1:11">
      <c r="A53" s="3">
        <v>42366</v>
      </c>
      <c r="B53" s="3">
        <v>228.95</v>
      </c>
      <c r="C53" s="4">
        <f t="shared" si="2"/>
        <v>-0.25</v>
      </c>
      <c r="D53" s="4">
        <f t="shared" si="3"/>
        <v>0.87000000000000455</v>
      </c>
      <c r="E53" s="3">
        <f t="shared" si="4"/>
        <v>-1.6200000000000045</v>
      </c>
      <c r="F53" s="3">
        <v>10005.619999999999</v>
      </c>
      <c r="G53" s="3">
        <v>0</v>
      </c>
      <c r="H53" s="3">
        <f t="shared" si="5"/>
        <v>10005.619999999999</v>
      </c>
      <c r="I53" s="3"/>
      <c r="J53" s="3"/>
      <c r="K53" s="3"/>
    </row>
    <row r="54" spans="1:11">
      <c r="A54" s="3">
        <v>42367</v>
      </c>
      <c r="B54" s="3">
        <v>237.19</v>
      </c>
      <c r="C54" s="4">
        <f t="shared" si="2"/>
        <v>0.87000000000000455</v>
      </c>
      <c r="D54" s="4">
        <f t="shared" si="3"/>
        <v>-1.6200000000000045</v>
      </c>
      <c r="E54" s="3">
        <f t="shared" si="4"/>
        <v>8.2400000000000091</v>
      </c>
      <c r="F54" s="3">
        <v>10005.619999999999</v>
      </c>
      <c r="G54" s="3">
        <v>0</v>
      </c>
      <c r="H54" s="3">
        <f t="shared" si="5"/>
        <v>10005.619999999999</v>
      </c>
      <c r="I54" s="3"/>
      <c r="J54" s="3"/>
      <c r="K54" s="3"/>
    </row>
    <row r="55" spans="1:11">
      <c r="A55" s="3">
        <v>42368</v>
      </c>
      <c r="B55" s="3">
        <v>238.09</v>
      </c>
      <c r="C55" s="4">
        <f t="shared" si="2"/>
        <v>-1.6200000000000045</v>
      </c>
      <c r="D55" s="4">
        <f t="shared" si="3"/>
        <v>8.2400000000000091</v>
      </c>
      <c r="E55" s="3">
        <f t="shared" si="4"/>
        <v>0.90000000000000568</v>
      </c>
      <c r="F55" s="3">
        <v>5.8399999999944043</v>
      </c>
      <c r="G55" s="3">
        <v>9999.7800000000007</v>
      </c>
      <c r="H55" s="3">
        <f t="shared" si="5"/>
        <v>10005.619999999995</v>
      </c>
      <c r="I55" s="3"/>
      <c r="J55" s="3"/>
      <c r="K55" s="3"/>
    </row>
    <row r="56" spans="1:11">
      <c r="A56" s="3">
        <v>42369</v>
      </c>
      <c r="B56" s="3">
        <v>240.01</v>
      </c>
      <c r="C56" s="4">
        <f t="shared" si="2"/>
        <v>8.2400000000000091</v>
      </c>
      <c r="D56" s="4">
        <f t="shared" si="3"/>
        <v>0.90000000000000568</v>
      </c>
      <c r="E56" s="3">
        <f t="shared" si="4"/>
        <v>1.9199999999999875</v>
      </c>
      <c r="F56" s="3">
        <v>5.8399999999944043</v>
      </c>
      <c r="G56" s="3">
        <v>10080.42</v>
      </c>
      <c r="H56" s="3">
        <f t="shared" si="5"/>
        <v>10086.259999999995</v>
      </c>
      <c r="I56" s="3"/>
      <c r="J56" s="3"/>
      <c r="K56" s="3"/>
    </row>
    <row r="57" spans="1:11">
      <c r="A57" s="3">
        <v>42373</v>
      </c>
      <c r="B57" s="3">
        <v>223.41</v>
      </c>
      <c r="C57" s="4">
        <f t="shared" si="2"/>
        <v>0.90000000000000568</v>
      </c>
      <c r="D57" s="4">
        <f t="shared" si="3"/>
        <v>1.9199999999999875</v>
      </c>
      <c r="E57" s="3">
        <f t="shared" si="4"/>
        <v>-16.599999999999994</v>
      </c>
      <c r="F57" s="3">
        <v>5.8399999999944043</v>
      </c>
      <c r="G57" s="3">
        <v>9383.2199999999993</v>
      </c>
      <c r="H57" s="3">
        <f t="shared" si="5"/>
        <v>9389.059999999994</v>
      </c>
      <c r="I57" s="3"/>
      <c r="J57" s="3"/>
      <c r="K57" s="3"/>
    </row>
    <row r="58" spans="1:11">
      <c r="A58" s="3">
        <v>42374</v>
      </c>
      <c r="B58" s="3">
        <v>223.43</v>
      </c>
      <c r="C58" s="4">
        <f t="shared" si="2"/>
        <v>1.9199999999999875</v>
      </c>
      <c r="D58" s="4">
        <f t="shared" si="3"/>
        <v>-16.599999999999994</v>
      </c>
      <c r="E58" s="3">
        <f t="shared" si="4"/>
        <v>2.0000000000010232E-2</v>
      </c>
      <c r="F58" s="3">
        <v>5.8399999999944043</v>
      </c>
      <c r="G58" s="3">
        <v>9384.06</v>
      </c>
      <c r="H58" s="3">
        <f t="shared" si="5"/>
        <v>9389.8999999999942</v>
      </c>
      <c r="I58" s="3"/>
      <c r="J58" s="3"/>
      <c r="K58" s="3"/>
    </row>
    <row r="59" spans="1:11">
      <c r="A59" s="3">
        <v>42375</v>
      </c>
      <c r="B59" s="3">
        <v>219.04</v>
      </c>
      <c r="C59" s="4">
        <f t="shared" si="2"/>
        <v>-16.599999999999994</v>
      </c>
      <c r="D59" s="4">
        <f t="shared" si="3"/>
        <v>2.0000000000010232E-2</v>
      </c>
      <c r="E59" s="3">
        <f t="shared" si="4"/>
        <v>-4.3900000000000148</v>
      </c>
      <c r="F59" s="3">
        <v>5.8399999999944043</v>
      </c>
      <c r="G59" s="3">
        <v>9199.68</v>
      </c>
      <c r="H59" s="3">
        <f t="shared" si="5"/>
        <v>9205.519999999995</v>
      </c>
      <c r="I59" s="3"/>
      <c r="J59" s="3"/>
      <c r="K59" s="3"/>
    </row>
    <row r="60" spans="1:11">
      <c r="A60" s="3">
        <v>42376</v>
      </c>
      <c r="B60" s="3">
        <v>215.65</v>
      </c>
      <c r="C60" s="4">
        <f t="shared" si="2"/>
        <v>2.0000000000010232E-2</v>
      </c>
      <c r="D60" s="4">
        <f t="shared" si="3"/>
        <v>-4.3900000000000148</v>
      </c>
      <c r="E60" s="3">
        <f t="shared" si="4"/>
        <v>-3.3899999999999864</v>
      </c>
      <c r="F60" s="3">
        <v>9063.1399999999958</v>
      </c>
      <c r="G60" s="3">
        <v>0</v>
      </c>
      <c r="H60" s="3">
        <f t="shared" si="5"/>
        <v>9063.1399999999958</v>
      </c>
      <c r="I60" s="3"/>
      <c r="J60" s="3"/>
      <c r="K60" s="3"/>
    </row>
    <row r="61" spans="1:11">
      <c r="A61" s="3">
        <v>42377</v>
      </c>
      <c r="B61" s="3">
        <v>211</v>
      </c>
      <c r="C61" s="4">
        <f t="shared" si="2"/>
        <v>-4.3900000000000148</v>
      </c>
      <c r="D61" s="4">
        <f t="shared" si="3"/>
        <v>-3.3899999999999864</v>
      </c>
      <c r="E61" s="3">
        <f t="shared" si="4"/>
        <v>-4.6500000000000057</v>
      </c>
      <c r="F61" s="3">
        <v>9063.1399999999958</v>
      </c>
      <c r="G61" s="3">
        <v>0</v>
      </c>
      <c r="H61" s="3">
        <f t="shared" si="5"/>
        <v>9063.1399999999958</v>
      </c>
      <c r="I61" s="3"/>
      <c r="J61" s="3"/>
      <c r="K61" s="3"/>
    </row>
    <row r="62" spans="1:11">
      <c r="A62" s="3">
        <v>42380</v>
      </c>
      <c r="B62" s="3">
        <v>207.85</v>
      </c>
      <c r="C62" s="4">
        <f t="shared" si="2"/>
        <v>-3.3899999999999864</v>
      </c>
      <c r="D62" s="4">
        <f t="shared" si="3"/>
        <v>-4.6500000000000057</v>
      </c>
      <c r="E62" s="3">
        <f t="shared" si="4"/>
        <v>-3.1500000000000057</v>
      </c>
      <c r="F62" s="3">
        <v>9063.1399999999958</v>
      </c>
      <c r="G62" s="3">
        <v>0</v>
      </c>
      <c r="H62" s="3">
        <f t="shared" si="5"/>
        <v>9063.1399999999958</v>
      </c>
      <c r="I62" s="3"/>
      <c r="J62" s="3"/>
      <c r="K62" s="3"/>
    </row>
    <row r="63" spans="1:11">
      <c r="A63" s="3">
        <v>42381</v>
      </c>
      <c r="B63" s="3">
        <v>209.97</v>
      </c>
      <c r="C63" s="4">
        <f t="shared" si="2"/>
        <v>-4.6500000000000057</v>
      </c>
      <c r="D63" s="4">
        <f t="shared" si="3"/>
        <v>-3.1500000000000057</v>
      </c>
      <c r="E63" s="3">
        <f t="shared" si="4"/>
        <v>2.1200000000000045</v>
      </c>
      <c r="F63" s="3">
        <v>9063.1399999999958</v>
      </c>
      <c r="G63" s="3">
        <v>0</v>
      </c>
      <c r="H63" s="3">
        <f t="shared" si="5"/>
        <v>9063.1399999999958</v>
      </c>
      <c r="I63" s="3"/>
      <c r="J63" s="3"/>
      <c r="K63" s="3"/>
    </row>
    <row r="64" spans="1:11">
      <c r="A64" s="3">
        <v>42382</v>
      </c>
      <c r="B64" s="3">
        <v>200.31</v>
      </c>
      <c r="C64" s="4">
        <f t="shared" si="2"/>
        <v>-3.1500000000000057</v>
      </c>
      <c r="D64" s="4">
        <f t="shared" si="3"/>
        <v>2.1200000000000045</v>
      </c>
      <c r="E64" s="3">
        <f t="shared" si="4"/>
        <v>-9.6599999999999966</v>
      </c>
      <c r="F64" s="3">
        <v>9063.1399999999958</v>
      </c>
      <c r="G64" s="3">
        <v>0</v>
      </c>
      <c r="H64" s="3">
        <f t="shared" si="5"/>
        <v>9063.1399999999958</v>
      </c>
      <c r="I64" s="3"/>
      <c r="J64" s="3"/>
      <c r="K64" s="3"/>
    </row>
    <row r="65" spans="1:11">
      <c r="A65" s="3">
        <v>42383</v>
      </c>
      <c r="B65" s="3">
        <v>206.18</v>
      </c>
      <c r="C65" s="4">
        <f t="shared" si="2"/>
        <v>2.1200000000000045</v>
      </c>
      <c r="D65" s="4">
        <f t="shared" si="3"/>
        <v>-9.6599999999999966</v>
      </c>
      <c r="E65" s="3">
        <f t="shared" si="4"/>
        <v>5.8700000000000045</v>
      </c>
      <c r="F65" s="3">
        <v>9063.1399999999958</v>
      </c>
      <c r="G65" s="3">
        <v>0</v>
      </c>
      <c r="H65" s="3">
        <f t="shared" si="5"/>
        <v>9063.1399999999958</v>
      </c>
      <c r="I65" s="3"/>
      <c r="J65" s="3"/>
      <c r="K65" s="3"/>
    </row>
    <row r="66" spans="1:11">
      <c r="A66" s="3">
        <v>42384</v>
      </c>
      <c r="B66" s="3">
        <v>204.99</v>
      </c>
      <c r="C66" s="4">
        <f t="shared" si="2"/>
        <v>-9.6599999999999966</v>
      </c>
      <c r="D66" s="4">
        <f t="shared" si="3"/>
        <v>5.8700000000000045</v>
      </c>
      <c r="E66" s="3">
        <f t="shared" si="4"/>
        <v>-1.1899999999999977</v>
      </c>
      <c r="F66" s="3">
        <v>9063.1399999999958</v>
      </c>
      <c r="G66" s="3">
        <v>0</v>
      </c>
      <c r="H66" s="3">
        <f t="shared" si="5"/>
        <v>9063.1399999999958</v>
      </c>
      <c r="I66" s="3"/>
      <c r="J66" s="3"/>
      <c r="K66" s="3"/>
    </row>
    <row r="67" spans="1:11">
      <c r="A67" s="3">
        <v>42388</v>
      </c>
      <c r="B67" s="3">
        <v>204.72</v>
      </c>
      <c r="C67" s="4">
        <f t="shared" si="2"/>
        <v>5.8700000000000045</v>
      </c>
      <c r="D67" s="4">
        <f t="shared" si="3"/>
        <v>-1.1899999999999977</v>
      </c>
      <c r="E67" s="3">
        <f t="shared" si="4"/>
        <v>-0.27000000000001023</v>
      </c>
      <c r="F67" s="3">
        <v>9063.1399999999958</v>
      </c>
      <c r="G67" s="3">
        <v>0</v>
      </c>
      <c r="H67" s="3">
        <f t="shared" si="5"/>
        <v>9063.1399999999958</v>
      </c>
      <c r="I67" s="3"/>
      <c r="J67" s="3"/>
      <c r="K67" s="3"/>
    </row>
    <row r="68" spans="1:11">
      <c r="A68" s="3">
        <v>42389</v>
      </c>
      <c r="B68" s="3">
        <v>198.7</v>
      </c>
      <c r="C68" s="4">
        <f t="shared" si="2"/>
        <v>-1.1899999999999977</v>
      </c>
      <c r="D68" s="4">
        <f t="shared" si="3"/>
        <v>-0.27000000000001023</v>
      </c>
      <c r="E68" s="3">
        <f t="shared" si="4"/>
        <v>-6.0200000000000102</v>
      </c>
      <c r="F68" s="3">
        <v>9063.1399999999958</v>
      </c>
      <c r="G68" s="3">
        <v>0</v>
      </c>
      <c r="H68" s="3">
        <f t="shared" si="5"/>
        <v>9063.1399999999958</v>
      </c>
      <c r="I68" s="3"/>
      <c r="J68" s="3"/>
      <c r="K68" s="3"/>
    </row>
    <row r="69" spans="1:11">
      <c r="A69" s="3">
        <v>42390</v>
      </c>
      <c r="B69" s="3">
        <v>199.97</v>
      </c>
      <c r="C69" s="4">
        <f t="shared" si="2"/>
        <v>-0.27000000000001023</v>
      </c>
      <c r="D69" s="4">
        <f t="shared" si="3"/>
        <v>-6.0200000000000102</v>
      </c>
      <c r="E69" s="3">
        <f t="shared" si="4"/>
        <v>1.2700000000000102</v>
      </c>
      <c r="F69" s="3">
        <v>9063.1399999999958</v>
      </c>
      <c r="G69" s="3">
        <v>0</v>
      </c>
      <c r="H69" s="3">
        <f t="shared" si="5"/>
        <v>9063.1399999999958</v>
      </c>
      <c r="I69" s="3"/>
      <c r="J69" s="3"/>
      <c r="K69" s="3"/>
    </row>
    <row r="70" spans="1:11">
      <c r="A70" s="3">
        <v>42391</v>
      </c>
      <c r="B70" s="3">
        <v>202.55</v>
      </c>
      <c r="C70" s="4">
        <f t="shared" si="2"/>
        <v>-6.0200000000000102</v>
      </c>
      <c r="D70" s="4">
        <f t="shared" si="3"/>
        <v>1.2700000000000102</v>
      </c>
      <c r="E70" s="3">
        <f t="shared" si="4"/>
        <v>2.5800000000000125</v>
      </c>
      <c r="F70" s="3">
        <v>150.93999999999357</v>
      </c>
      <c r="G70" s="3">
        <v>8912.2000000000007</v>
      </c>
      <c r="H70" s="3">
        <f t="shared" si="5"/>
        <v>9063.139999999994</v>
      </c>
      <c r="I70" s="3"/>
      <c r="J70" s="3"/>
      <c r="K70" s="3"/>
    </row>
    <row r="71" spans="1:11">
      <c r="A71" s="3">
        <v>42394</v>
      </c>
      <c r="B71" s="3">
        <v>196.38</v>
      </c>
      <c r="C71" s="4">
        <f t="shared" si="2"/>
        <v>1.2700000000000102</v>
      </c>
      <c r="D71" s="4">
        <f t="shared" si="3"/>
        <v>2.5800000000000125</v>
      </c>
      <c r="E71" s="3">
        <f t="shared" si="4"/>
        <v>-6.1700000000000159</v>
      </c>
      <c r="F71" s="3">
        <v>150.93999999999357</v>
      </c>
      <c r="G71" s="3">
        <v>8640.7199999999993</v>
      </c>
      <c r="H71" s="3">
        <f t="shared" si="5"/>
        <v>8791.6599999999926</v>
      </c>
      <c r="I71" s="3"/>
      <c r="J71" s="3"/>
      <c r="K71" s="3"/>
    </row>
    <row r="72" spans="1:11">
      <c r="A72" s="3">
        <v>42395</v>
      </c>
      <c r="B72" s="3">
        <v>193.56</v>
      </c>
      <c r="C72" s="4">
        <f t="shared" si="2"/>
        <v>2.5800000000000125</v>
      </c>
      <c r="D72" s="4">
        <f t="shared" si="3"/>
        <v>-6.1700000000000159</v>
      </c>
      <c r="E72" s="3">
        <f t="shared" si="4"/>
        <v>-2.8199999999999932</v>
      </c>
      <c r="F72" s="3">
        <v>8667.5799999999927</v>
      </c>
      <c r="G72" s="3">
        <v>0</v>
      </c>
      <c r="H72" s="3">
        <f t="shared" si="5"/>
        <v>8667.5799999999927</v>
      </c>
      <c r="I72" s="3"/>
      <c r="J72" s="3"/>
      <c r="K72" s="3"/>
    </row>
    <row r="73" spans="1:11">
      <c r="A73" s="3">
        <v>42396</v>
      </c>
      <c r="B73" s="3">
        <v>188.07</v>
      </c>
      <c r="C73" s="4">
        <f t="shared" si="2"/>
        <v>-6.1700000000000159</v>
      </c>
      <c r="D73" s="4">
        <f t="shared" si="3"/>
        <v>-2.8199999999999932</v>
      </c>
      <c r="E73" s="3">
        <f t="shared" si="4"/>
        <v>-5.4900000000000091</v>
      </c>
      <c r="F73" s="3">
        <v>8667.5799999999927</v>
      </c>
      <c r="G73" s="3">
        <v>0</v>
      </c>
      <c r="H73" s="3">
        <f t="shared" si="5"/>
        <v>8667.5799999999927</v>
      </c>
      <c r="I73" s="3"/>
      <c r="J73" s="3"/>
      <c r="K73" s="3"/>
    </row>
    <row r="74" spans="1:11">
      <c r="A74" s="3">
        <v>42397</v>
      </c>
      <c r="B74" s="3">
        <v>189.7</v>
      </c>
      <c r="C74" s="4">
        <f t="shared" si="2"/>
        <v>-2.8199999999999932</v>
      </c>
      <c r="D74" s="4">
        <f t="shared" si="3"/>
        <v>-5.4900000000000091</v>
      </c>
      <c r="E74" s="3">
        <f t="shared" si="4"/>
        <v>1.6299999999999955</v>
      </c>
      <c r="F74" s="3">
        <v>8667.5799999999927</v>
      </c>
      <c r="G74" s="3">
        <v>0</v>
      </c>
      <c r="H74" s="3">
        <f t="shared" si="5"/>
        <v>8667.5799999999927</v>
      </c>
      <c r="I74" s="3"/>
      <c r="J74" s="3"/>
      <c r="K74" s="3"/>
    </row>
    <row r="75" spans="1:11">
      <c r="A75" s="3">
        <v>42398</v>
      </c>
      <c r="B75" s="3">
        <v>191.2</v>
      </c>
      <c r="C75" s="4">
        <f t="shared" si="2"/>
        <v>-5.4900000000000091</v>
      </c>
      <c r="D75" s="4">
        <f t="shared" si="3"/>
        <v>1.6299999999999955</v>
      </c>
      <c r="E75" s="3">
        <f t="shared" si="4"/>
        <v>1.5</v>
      </c>
      <c r="F75" s="3">
        <v>63.579999999996687</v>
      </c>
      <c r="G75" s="3">
        <v>8604</v>
      </c>
      <c r="H75" s="3">
        <f t="shared" si="5"/>
        <v>8667.5799999999963</v>
      </c>
      <c r="I75" s="3"/>
      <c r="J75" s="3"/>
      <c r="K75" s="3"/>
    </row>
    <row r="76" spans="1:11">
      <c r="A76" s="3">
        <v>42401</v>
      </c>
      <c r="B76" s="3">
        <v>196.94</v>
      </c>
      <c r="C76" s="4">
        <f t="shared" si="2"/>
        <v>1.6299999999999955</v>
      </c>
      <c r="D76" s="4">
        <f t="shared" si="3"/>
        <v>1.5</v>
      </c>
      <c r="E76" s="3">
        <f t="shared" si="4"/>
        <v>5.7400000000000091</v>
      </c>
      <c r="F76" s="3">
        <v>63.579999999996687</v>
      </c>
      <c r="G76" s="3">
        <v>8862.2999999999993</v>
      </c>
      <c r="H76" s="3">
        <f t="shared" si="5"/>
        <v>8925.8799999999956</v>
      </c>
      <c r="I76" s="3"/>
      <c r="J76" s="3"/>
      <c r="K76" s="3"/>
    </row>
    <row r="77" spans="1:11">
      <c r="A77" s="3">
        <v>42402</v>
      </c>
      <c r="B77" s="3">
        <v>182.78</v>
      </c>
      <c r="C77" s="4">
        <f t="shared" ref="C77:C140" si="6">B75-B74</f>
        <v>1.5</v>
      </c>
      <c r="D77" s="4">
        <f t="shared" ref="D77:D140" si="7">B76-B75</f>
        <v>5.7400000000000091</v>
      </c>
      <c r="E77" s="3">
        <f t="shared" ref="E77:E140" si="8">B77-B76</f>
        <v>-14.159999999999997</v>
      </c>
      <c r="F77" s="3">
        <v>63.579999999996687</v>
      </c>
      <c r="G77" s="3">
        <v>8225.1</v>
      </c>
      <c r="H77" s="3">
        <f t="shared" si="5"/>
        <v>8288.6799999999967</v>
      </c>
      <c r="I77" s="3"/>
      <c r="J77" s="3"/>
      <c r="K77" s="3"/>
    </row>
    <row r="78" spans="1:11">
      <c r="A78" s="3">
        <v>42403</v>
      </c>
      <c r="B78" s="3">
        <v>173.48</v>
      </c>
      <c r="C78" s="4">
        <f t="shared" si="6"/>
        <v>5.7400000000000091</v>
      </c>
      <c r="D78" s="4">
        <f t="shared" si="7"/>
        <v>-14.159999999999997</v>
      </c>
      <c r="E78" s="3">
        <f t="shared" si="8"/>
        <v>-9.3000000000000114</v>
      </c>
      <c r="F78" s="3">
        <v>7870.1799999999957</v>
      </c>
      <c r="G78" s="3">
        <v>0</v>
      </c>
      <c r="H78" s="3">
        <f t="shared" si="5"/>
        <v>7870.1799999999957</v>
      </c>
      <c r="I78" s="3"/>
      <c r="J78" s="3"/>
      <c r="K78" s="3"/>
    </row>
    <row r="79" spans="1:11">
      <c r="A79" s="3">
        <v>42404</v>
      </c>
      <c r="B79" s="3">
        <v>175.33</v>
      </c>
      <c r="C79" s="4">
        <f t="shared" si="6"/>
        <v>-14.159999999999997</v>
      </c>
      <c r="D79" s="4">
        <f t="shared" si="7"/>
        <v>-9.3000000000000114</v>
      </c>
      <c r="E79" s="3">
        <f t="shared" si="8"/>
        <v>1.8500000000000227</v>
      </c>
      <c r="F79" s="3">
        <v>7870.1799999999957</v>
      </c>
      <c r="G79" s="3">
        <v>0</v>
      </c>
      <c r="H79" s="3">
        <f t="shared" si="5"/>
        <v>7870.1799999999957</v>
      </c>
      <c r="I79" s="3"/>
      <c r="J79" s="3"/>
      <c r="K79" s="3"/>
    </row>
    <row r="80" spans="1:11">
      <c r="A80" s="3">
        <v>42405</v>
      </c>
      <c r="B80" s="3">
        <v>162.6</v>
      </c>
      <c r="C80" s="4">
        <f t="shared" si="6"/>
        <v>-9.3000000000000114</v>
      </c>
      <c r="D80" s="4">
        <f t="shared" si="7"/>
        <v>1.8500000000000227</v>
      </c>
      <c r="E80" s="3">
        <f t="shared" si="8"/>
        <v>-12.730000000000018</v>
      </c>
      <c r="F80" s="3">
        <v>7870.1799999999957</v>
      </c>
      <c r="G80" s="3">
        <v>0</v>
      </c>
      <c r="H80" s="3">
        <f t="shared" si="5"/>
        <v>7870.1799999999957</v>
      </c>
      <c r="I80" s="3"/>
      <c r="J80" s="3"/>
      <c r="K80" s="3"/>
    </row>
    <row r="81" spans="1:11">
      <c r="A81" s="3">
        <v>42408</v>
      </c>
      <c r="B81" s="3">
        <v>147.99</v>
      </c>
      <c r="C81" s="4">
        <f t="shared" si="6"/>
        <v>1.8500000000000227</v>
      </c>
      <c r="D81" s="4">
        <f t="shared" si="7"/>
        <v>-12.730000000000018</v>
      </c>
      <c r="E81" s="3">
        <f t="shared" si="8"/>
        <v>-14.609999999999985</v>
      </c>
      <c r="F81" s="3">
        <v>7870.1799999999957</v>
      </c>
      <c r="G81" s="3">
        <v>0</v>
      </c>
      <c r="H81" s="3">
        <f t="shared" si="5"/>
        <v>7870.1799999999957</v>
      </c>
      <c r="I81" s="3"/>
      <c r="J81" s="3"/>
      <c r="K81" s="3"/>
    </row>
    <row r="82" spans="1:11">
      <c r="A82" s="3">
        <v>42409</v>
      </c>
      <c r="B82" s="3">
        <v>148.25</v>
      </c>
      <c r="C82" s="4">
        <f t="shared" si="6"/>
        <v>-12.730000000000018</v>
      </c>
      <c r="D82" s="4">
        <f t="shared" si="7"/>
        <v>-14.609999999999985</v>
      </c>
      <c r="E82" s="3">
        <f t="shared" si="8"/>
        <v>0.25999999999999091</v>
      </c>
      <c r="F82" s="3">
        <v>7870.1799999999957</v>
      </c>
      <c r="G82" s="3">
        <v>0</v>
      </c>
      <c r="H82" s="3">
        <f t="shared" si="5"/>
        <v>7870.1799999999957</v>
      </c>
      <c r="I82" s="3"/>
      <c r="J82" s="3"/>
      <c r="K82" s="3"/>
    </row>
    <row r="83" spans="1:11">
      <c r="A83" s="3">
        <v>42410</v>
      </c>
      <c r="B83" s="3">
        <v>143.66999999999999</v>
      </c>
      <c r="C83" s="4">
        <f t="shared" si="6"/>
        <v>-14.609999999999985</v>
      </c>
      <c r="D83" s="4">
        <f t="shared" si="7"/>
        <v>0.25999999999999091</v>
      </c>
      <c r="E83" s="3">
        <f t="shared" si="8"/>
        <v>-4.5800000000000125</v>
      </c>
      <c r="F83" s="3">
        <v>7870.1799999999957</v>
      </c>
      <c r="G83" s="3">
        <v>0</v>
      </c>
      <c r="H83" s="3">
        <f t="shared" si="5"/>
        <v>7870.1799999999957</v>
      </c>
      <c r="I83" s="3"/>
      <c r="J83" s="3"/>
      <c r="K83" s="3"/>
    </row>
    <row r="84" spans="1:11">
      <c r="A84" s="3">
        <v>42411</v>
      </c>
      <c r="B84" s="3">
        <v>150.47</v>
      </c>
      <c r="C84" s="4">
        <f t="shared" si="6"/>
        <v>0.25999999999999091</v>
      </c>
      <c r="D84" s="4">
        <f t="shared" si="7"/>
        <v>-4.5800000000000125</v>
      </c>
      <c r="E84" s="3">
        <f t="shared" si="8"/>
        <v>6.8000000000000114</v>
      </c>
      <c r="F84" s="3">
        <v>7870.1799999999957</v>
      </c>
      <c r="G84" s="3">
        <v>0</v>
      </c>
      <c r="H84" s="3">
        <f t="shared" si="5"/>
        <v>7870.1799999999957</v>
      </c>
      <c r="I84" s="3"/>
      <c r="J84" s="3"/>
      <c r="K84" s="3"/>
    </row>
    <row r="85" spans="1:11">
      <c r="A85" s="3">
        <v>42412</v>
      </c>
      <c r="B85" s="3">
        <v>151.04</v>
      </c>
      <c r="C85" s="4">
        <f t="shared" si="6"/>
        <v>-4.5800000000000125</v>
      </c>
      <c r="D85" s="4">
        <f t="shared" si="7"/>
        <v>6.8000000000000114</v>
      </c>
      <c r="E85" s="3">
        <f t="shared" si="8"/>
        <v>0.56999999999999318</v>
      </c>
      <c r="F85" s="3">
        <v>16.099999999997578</v>
      </c>
      <c r="G85" s="3">
        <v>7854.08</v>
      </c>
      <c r="H85" s="3">
        <f t="shared" si="5"/>
        <v>7870.1799999999976</v>
      </c>
      <c r="I85" s="3"/>
      <c r="J85" s="3"/>
      <c r="K85" s="3"/>
    </row>
    <row r="86" spans="1:11">
      <c r="A86" s="3">
        <v>42416</v>
      </c>
      <c r="B86" s="3">
        <v>155.16999999999999</v>
      </c>
      <c r="C86" s="4">
        <f t="shared" si="6"/>
        <v>6.8000000000000114</v>
      </c>
      <c r="D86" s="4">
        <f t="shared" si="7"/>
        <v>0.56999999999999318</v>
      </c>
      <c r="E86" s="3">
        <f t="shared" si="8"/>
        <v>4.1299999999999955</v>
      </c>
      <c r="F86" s="3">
        <v>16.099999999997578</v>
      </c>
      <c r="G86" s="3">
        <v>8068.8399999999992</v>
      </c>
      <c r="H86" s="3">
        <f t="shared" ref="H86:H149" si="9">G86+F86</f>
        <v>8084.9399999999969</v>
      </c>
      <c r="I86" s="3"/>
      <c r="J86" s="3"/>
      <c r="K86" s="3"/>
    </row>
    <row r="87" spans="1:11">
      <c r="A87" s="3">
        <v>42417</v>
      </c>
      <c r="B87" s="3">
        <v>168.68</v>
      </c>
      <c r="C87" s="4">
        <f t="shared" si="6"/>
        <v>0.56999999999999318</v>
      </c>
      <c r="D87" s="4">
        <f t="shared" si="7"/>
        <v>4.1299999999999955</v>
      </c>
      <c r="E87" s="3">
        <f t="shared" si="8"/>
        <v>13.510000000000019</v>
      </c>
      <c r="F87" s="3">
        <v>16.099999999997578</v>
      </c>
      <c r="G87" s="3">
        <v>8771.36</v>
      </c>
      <c r="H87" s="3">
        <f t="shared" si="9"/>
        <v>8787.4599999999973</v>
      </c>
      <c r="I87" s="3"/>
      <c r="J87" s="3"/>
      <c r="K87" s="3"/>
    </row>
    <row r="88" spans="1:11">
      <c r="A88" s="3">
        <v>42418</v>
      </c>
      <c r="B88" s="3">
        <v>166.77</v>
      </c>
      <c r="C88" s="4">
        <f t="shared" si="6"/>
        <v>4.1299999999999955</v>
      </c>
      <c r="D88" s="4">
        <f t="shared" si="7"/>
        <v>13.510000000000019</v>
      </c>
      <c r="E88" s="3">
        <f t="shared" si="8"/>
        <v>-1.9099999999999966</v>
      </c>
      <c r="F88" s="3">
        <v>16.099999999997578</v>
      </c>
      <c r="G88" s="3">
        <v>8672.0400000000009</v>
      </c>
      <c r="H88" s="3">
        <f t="shared" si="9"/>
        <v>8688.1399999999976</v>
      </c>
      <c r="I88" s="3"/>
      <c r="J88" s="3"/>
      <c r="K88" s="3"/>
    </row>
    <row r="89" spans="1:11">
      <c r="A89" s="3">
        <v>42419</v>
      </c>
      <c r="B89" s="3">
        <v>166.58</v>
      </c>
      <c r="C89" s="4">
        <f t="shared" si="6"/>
        <v>13.510000000000019</v>
      </c>
      <c r="D89" s="4">
        <f t="shared" si="7"/>
        <v>-1.9099999999999966</v>
      </c>
      <c r="E89" s="3">
        <f t="shared" si="8"/>
        <v>-0.18999999999999773</v>
      </c>
      <c r="F89" s="3">
        <v>8678.2599999999966</v>
      </c>
      <c r="G89" s="3">
        <v>0</v>
      </c>
      <c r="H89" s="3">
        <f t="shared" si="9"/>
        <v>8678.2599999999966</v>
      </c>
      <c r="I89" s="3"/>
      <c r="J89" s="3"/>
      <c r="K89" s="3"/>
    </row>
    <row r="90" spans="1:11">
      <c r="A90" s="3">
        <v>42422</v>
      </c>
      <c r="B90" s="3">
        <v>177.74</v>
      </c>
      <c r="C90" s="4">
        <f t="shared" si="6"/>
        <v>-1.9099999999999966</v>
      </c>
      <c r="D90" s="4">
        <f t="shared" si="7"/>
        <v>-0.18999999999999773</v>
      </c>
      <c r="E90" s="3">
        <f t="shared" si="8"/>
        <v>11.159999999999997</v>
      </c>
      <c r="F90" s="3">
        <v>8678.2599999999966</v>
      </c>
      <c r="G90" s="3">
        <v>0</v>
      </c>
      <c r="H90" s="3">
        <f t="shared" si="9"/>
        <v>8678.2599999999966</v>
      </c>
      <c r="I90" s="3"/>
      <c r="J90" s="3"/>
      <c r="K90" s="3"/>
    </row>
    <row r="91" spans="1:11">
      <c r="A91" s="3">
        <v>42423</v>
      </c>
      <c r="B91" s="3">
        <v>177.21</v>
      </c>
      <c r="C91" s="4">
        <f t="shared" si="6"/>
        <v>-0.18999999999999773</v>
      </c>
      <c r="D91" s="4">
        <f t="shared" si="7"/>
        <v>11.159999999999997</v>
      </c>
      <c r="E91" s="3">
        <f t="shared" si="8"/>
        <v>-0.53000000000000114</v>
      </c>
      <c r="F91" s="3">
        <v>8678.2599999999966</v>
      </c>
      <c r="G91" s="3">
        <v>0</v>
      </c>
      <c r="H91" s="3">
        <f t="shared" si="9"/>
        <v>8678.2599999999966</v>
      </c>
      <c r="I91" s="3"/>
      <c r="J91" s="3"/>
      <c r="K91" s="3"/>
    </row>
    <row r="92" spans="1:11">
      <c r="A92" s="3">
        <v>42424</v>
      </c>
      <c r="B92" s="3">
        <v>179</v>
      </c>
      <c r="C92" s="4">
        <f t="shared" si="6"/>
        <v>11.159999999999997</v>
      </c>
      <c r="D92" s="4">
        <f t="shared" si="7"/>
        <v>-0.53000000000000114</v>
      </c>
      <c r="E92" s="3">
        <f t="shared" si="8"/>
        <v>1.789999999999992</v>
      </c>
      <c r="F92" s="3">
        <v>8678.2599999999966</v>
      </c>
      <c r="G92" s="3">
        <v>0</v>
      </c>
      <c r="H92" s="3">
        <f t="shared" si="9"/>
        <v>8678.2599999999966</v>
      </c>
      <c r="I92" s="3"/>
      <c r="J92" s="3"/>
      <c r="K92" s="3"/>
    </row>
    <row r="93" spans="1:11">
      <c r="A93" s="3">
        <v>42425</v>
      </c>
      <c r="B93" s="3">
        <v>187.43</v>
      </c>
      <c r="C93" s="4">
        <f t="shared" si="6"/>
        <v>-0.53000000000000114</v>
      </c>
      <c r="D93" s="4">
        <f t="shared" si="7"/>
        <v>1.789999999999992</v>
      </c>
      <c r="E93" s="3">
        <f t="shared" si="8"/>
        <v>8.4300000000000068</v>
      </c>
      <c r="F93" s="3">
        <v>56.479999999990866</v>
      </c>
      <c r="G93" s="3">
        <v>8621.7800000000007</v>
      </c>
      <c r="H93" s="3">
        <f t="shared" si="9"/>
        <v>8678.2599999999911</v>
      </c>
      <c r="I93" s="3"/>
      <c r="J93" s="3"/>
      <c r="K93" s="3"/>
    </row>
    <row r="94" spans="1:11">
      <c r="A94" s="3">
        <v>42426</v>
      </c>
      <c r="B94" s="3">
        <v>190.34</v>
      </c>
      <c r="C94" s="4">
        <f t="shared" si="6"/>
        <v>1.789999999999992</v>
      </c>
      <c r="D94" s="4">
        <f t="shared" si="7"/>
        <v>8.4300000000000068</v>
      </c>
      <c r="E94" s="3">
        <f t="shared" si="8"/>
        <v>2.9099999999999966</v>
      </c>
      <c r="F94" s="3">
        <v>56.479999999990866</v>
      </c>
      <c r="G94" s="3">
        <v>8755.64</v>
      </c>
      <c r="H94" s="3">
        <f t="shared" si="9"/>
        <v>8812.1199999999899</v>
      </c>
      <c r="I94" s="3"/>
      <c r="J94" s="3"/>
      <c r="K94" s="3"/>
    </row>
    <row r="95" spans="1:11">
      <c r="A95" s="3">
        <v>42429</v>
      </c>
      <c r="B95" s="3">
        <v>191.93</v>
      </c>
      <c r="C95" s="4">
        <f t="shared" si="6"/>
        <v>8.4300000000000068</v>
      </c>
      <c r="D95" s="4">
        <f t="shared" si="7"/>
        <v>2.9099999999999966</v>
      </c>
      <c r="E95" s="3">
        <f t="shared" si="8"/>
        <v>1.5900000000000034</v>
      </c>
      <c r="F95" s="3">
        <v>56.479999999990866</v>
      </c>
      <c r="G95" s="3">
        <v>8828.7800000000007</v>
      </c>
      <c r="H95" s="3">
        <f t="shared" si="9"/>
        <v>8885.2599999999911</v>
      </c>
      <c r="I95" s="3"/>
      <c r="J95" s="3"/>
      <c r="K95" s="3"/>
    </row>
    <row r="96" spans="1:11">
      <c r="A96" s="3">
        <v>42430</v>
      </c>
      <c r="B96" s="3">
        <v>186.35</v>
      </c>
      <c r="C96" s="4">
        <f t="shared" si="6"/>
        <v>2.9099999999999966</v>
      </c>
      <c r="D96" s="4">
        <f t="shared" si="7"/>
        <v>1.5900000000000034</v>
      </c>
      <c r="E96" s="3">
        <f t="shared" si="8"/>
        <v>-5.5800000000000125</v>
      </c>
      <c r="F96" s="3">
        <v>56.479999999990866</v>
      </c>
      <c r="G96" s="3">
        <v>8572.1</v>
      </c>
      <c r="H96" s="3">
        <f t="shared" si="9"/>
        <v>8628.5799999999908</v>
      </c>
      <c r="I96" s="3"/>
      <c r="J96" s="3"/>
      <c r="K96" s="3"/>
    </row>
    <row r="97" spans="1:11">
      <c r="A97" s="3">
        <v>42431</v>
      </c>
      <c r="B97" s="3">
        <v>188.34</v>
      </c>
      <c r="C97" s="4">
        <f t="shared" si="6"/>
        <v>1.5900000000000034</v>
      </c>
      <c r="D97" s="4">
        <f t="shared" si="7"/>
        <v>-5.5800000000000125</v>
      </c>
      <c r="E97" s="3">
        <f t="shared" si="8"/>
        <v>1.9900000000000091</v>
      </c>
      <c r="F97" s="3">
        <v>56.479999999990866</v>
      </c>
      <c r="G97" s="3">
        <v>8663.64</v>
      </c>
      <c r="H97" s="3">
        <f t="shared" si="9"/>
        <v>8720.1199999999899</v>
      </c>
      <c r="I97" s="3"/>
      <c r="J97" s="3"/>
      <c r="K97" s="3"/>
    </row>
    <row r="98" spans="1:11">
      <c r="A98" s="3">
        <v>42432</v>
      </c>
      <c r="B98" s="3">
        <v>195.74</v>
      </c>
      <c r="C98" s="4">
        <f t="shared" si="6"/>
        <v>-5.5800000000000125</v>
      </c>
      <c r="D98" s="4">
        <f t="shared" si="7"/>
        <v>1.9900000000000091</v>
      </c>
      <c r="E98" s="3">
        <f t="shared" si="8"/>
        <v>7.4000000000000057</v>
      </c>
      <c r="F98" s="3">
        <v>56.479999999990866</v>
      </c>
      <c r="G98" s="3">
        <v>9004.0400000000009</v>
      </c>
      <c r="H98" s="3">
        <f t="shared" si="9"/>
        <v>9060.5199999999913</v>
      </c>
      <c r="I98" s="3"/>
      <c r="J98" s="3"/>
      <c r="K98" s="3"/>
    </row>
    <row r="99" spans="1:11">
      <c r="A99" s="3">
        <v>42433</v>
      </c>
      <c r="B99" s="3">
        <v>201.04</v>
      </c>
      <c r="C99" s="4">
        <f t="shared" si="6"/>
        <v>1.9900000000000091</v>
      </c>
      <c r="D99" s="4">
        <f t="shared" si="7"/>
        <v>7.4000000000000057</v>
      </c>
      <c r="E99" s="3">
        <f t="shared" si="8"/>
        <v>5.2999999999999829</v>
      </c>
      <c r="F99" s="3">
        <v>56.479999999990866</v>
      </c>
      <c r="G99" s="3">
        <v>9247.84</v>
      </c>
      <c r="H99" s="3">
        <f t="shared" si="9"/>
        <v>9304.3199999999906</v>
      </c>
      <c r="I99" s="3"/>
      <c r="J99" s="3"/>
      <c r="K99" s="3"/>
    </row>
    <row r="100" spans="1:11">
      <c r="A100" s="3">
        <v>42436</v>
      </c>
      <c r="B100" s="3">
        <v>205.29</v>
      </c>
      <c r="C100" s="4">
        <f t="shared" si="6"/>
        <v>7.4000000000000057</v>
      </c>
      <c r="D100" s="4">
        <f t="shared" si="7"/>
        <v>5.2999999999999829</v>
      </c>
      <c r="E100" s="3">
        <f t="shared" si="8"/>
        <v>4.25</v>
      </c>
      <c r="F100" s="3">
        <v>56.479999999990866</v>
      </c>
      <c r="G100" s="3">
        <v>9443.34</v>
      </c>
      <c r="H100" s="3">
        <f t="shared" si="9"/>
        <v>9499.8199999999906</v>
      </c>
      <c r="I100" s="3"/>
      <c r="J100" s="3"/>
      <c r="K100" s="3"/>
    </row>
    <row r="101" spans="1:11">
      <c r="A101" s="3">
        <v>42437</v>
      </c>
      <c r="B101" s="3">
        <v>202.6</v>
      </c>
      <c r="C101" s="4">
        <f t="shared" si="6"/>
        <v>5.2999999999999829</v>
      </c>
      <c r="D101" s="4">
        <f t="shared" si="7"/>
        <v>4.25</v>
      </c>
      <c r="E101" s="3">
        <f t="shared" si="8"/>
        <v>-2.6899999999999977</v>
      </c>
      <c r="F101" s="3">
        <v>56.479999999990866</v>
      </c>
      <c r="G101" s="3">
        <v>9319.6</v>
      </c>
      <c r="H101" s="3">
        <f t="shared" si="9"/>
        <v>9376.0799999999908</v>
      </c>
      <c r="I101" s="3"/>
      <c r="J101" s="3"/>
      <c r="K101" s="3"/>
    </row>
    <row r="102" spans="1:11">
      <c r="A102" s="3">
        <v>42438</v>
      </c>
      <c r="B102" s="3">
        <v>208.72</v>
      </c>
      <c r="C102" s="4">
        <f t="shared" si="6"/>
        <v>4.25</v>
      </c>
      <c r="D102" s="4">
        <f t="shared" si="7"/>
        <v>-2.6899999999999977</v>
      </c>
      <c r="E102" s="3">
        <f t="shared" si="8"/>
        <v>6.1200000000000045</v>
      </c>
      <c r="F102" s="3">
        <v>56.479999999990866</v>
      </c>
      <c r="G102" s="3">
        <v>9601.1200000000008</v>
      </c>
      <c r="H102" s="3">
        <f t="shared" si="9"/>
        <v>9657.5999999999913</v>
      </c>
      <c r="I102" s="3"/>
      <c r="J102" s="3"/>
      <c r="K102" s="3"/>
    </row>
    <row r="103" spans="1:11">
      <c r="A103" s="3">
        <v>42439</v>
      </c>
      <c r="B103" s="3">
        <v>205.18</v>
      </c>
      <c r="C103" s="4">
        <f t="shared" si="6"/>
        <v>-2.6899999999999977</v>
      </c>
      <c r="D103" s="4">
        <f t="shared" si="7"/>
        <v>6.1200000000000045</v>
      </c>
      <c r="E103" s="3">
        <f t="shared" si="8"/>
        <v>-3.539999999999992</v>
      </c>
      <c r="F103" s="3">
        <v>56.479999999990866</v>
      </c>
      <c r="G103" s="3">
        <v>9438.2800000000007</v>
      </c>
      <c r="H103" s="3">
        <f t="shared" si="9"/>
        <v>9494.7599999999911</v>
      </c>
      <c r="I103" s="3"/>
      <c r="J103" s="3"/>
      <c r="K103" s="3"/>
    </row>
    <row r="104" spans="1:11">
      <c r="A104" s="3">
        <v>42440</v>
      </c>
      <c r="B104" s="3">
        <v>207.5</v>
      </c>
      <c r="C104" s="4">
        <f t="shared" si="6"/>
        <v>6.1200000000000045</v>
      </c>
      <c r="D104" s="4">
        <f t="shared" si="7"/>
        <v>-3.539999999999992</v>
      </c>
      <c r="E104" s="3">
        <f t="shared" si="8"/>
        <v>2.3199999999999932</v>
      </c>
      <c r="F104" s="3">
        <v>56.479999999990866</v>
      </c>
      <c r="G104" s="3">
        <v>9545</v>
      </c>
      <c r="H104" s="3">
        <f t="shared" si="9"/>
        <v>9601.4799999999905</v>
      </c>
      <c r="I104" s="3"/>
      <c r="J104" s="3"/>
      <c r="K104" s="3"/>
    </row>
    <row r="105" spans="1:11">
      <c r="A105" s="3">
        <v>42443</v>
      </c>
      <c r="B105" s="3">
        <v>215.15</v>
      </c>
      <c r="C105" s="4">
        <f t="shared" si="6"/>
        <v>-3.539999999999992</v>
      </c>
      <c r="D105" s="4">
        <f t="shared" si="7"/>
        <v>2.3199999999999932</v>
      </c>
      <c r="E105" s="3">
        <f t="shared" si="8"/>
        <v>7.6500000000000057</v>
      </c>
      <c r="F105" s="3">
        <v>56.479999999990866</v>
      </c>
      <c r="G105" s="3">
        <v>9896.9</v>
      </c>
      <c r="H105" s="3">
        <f t="shared" si="9"/>
        <v>9953.3799999999901</v>
      </c>
      <c r="I105" s="3"/>
      <c r="J105" s="3"/>
      <c r="K105" s="3"/>
    </row>
    <row r="106" spans="1:11">
      <c r="A106" s="3">
        <v>42444</v>
      </c>
      <c r="B106" s="3">
        <v>218.34</v>
      </c>
      <c r="C106" s="4">
        <f t="shared" si="6"/>
        <v>2.3199999999999932</v>
      </c>
      <c r="D106" s="4">
        <f t="shared" si="7"/>
        <v>7.6500000000000057</v>
      </c>
      <c r="E106" s="3">
        <f t="shared" si="8"/>
        <v>3.1899999999999977</v>
      </c>
      <c r="F106" s="3">
        <v>56.479999999990866</v>
      </c>
      <c r="G106" s="3">
        <v>10043.64</v>
      </c>
      <c r="H106" s="3">
        <f t="shared" si="9"/>
        <v>10100.11999999999</v>
      </c>
      <c r="I106" s="3"/>
      <c r="J106" s="3"/>
      <c r="K106" s="3"/>
    </row>
    <row r="107" spans="1:11">
      <c r="A107" s="3">
        <v>42445</v>
      </c>
      <c r="B107" s="3">
        <v>221.93</v>
      </c>
      <c r="C107" s="4">
        <f t="shared" si="6"/>
        <v>7.6500000000000057</v>
      </c>
      <c r="D107" s="4">
        <f t="shared" si="7"/>
        <v>3.1899999999999977</v>
      </c>
      <c r="E107" s="3">
        <f t="shared" si="8"/>
        <v>3.5900000000000034</v>
      </c>
      <c r="F107" s="3">
        <v>56.479999999990866</v>
      </c>
      <c r="G107" s="3">
        <v>10208.780000000001</v>
      </c>
      <c r="H107" s="3">
        <f t="shared" si="9"/>
        <v>10265.259999999991</v>
      </c>
      <c r="I107" s="3"/>
      <c r="J107" s="3"/>
      <c r="K107" s="3"/>
    </row>
    <row r="108" spans="1:11">
      <c r="A108" s="3">
        <v>42446</v>
      </c>
      <c r="B108" s="3">
        <v>226.38</v>
      </c>
      <c r="C108" s="4">
        <f t="shared" si="6"/>
        <v>3.1899999999999977</v>
      </c>
      <c r="D108" s="4">
        <f t="shared" si="7"/>
        <v>3.5900000000000034</v>
      </c>
      <c r="E108" s="3">
        <f t="shared" si="8"/>
        <v>4.4499999999999886</v>
      </c>
      <c r="F108" s="3">
        <v>56.479999999990866</v>
      </c>
      <c r="G108" s="3">
        <v>10413.48</v>
      </c>
      <c r="H108" s="3">
        <f t="shared" si="9"/>
        <v>10469.95999999999</v>
      </c>
      <c r="I108" s="3"/>
      <c r="J108" s="3"/>
      <c r="K108" s="3"/>
    </row>
    <row r="109" spans="1:11">
      <c r="A109" s="3">
        <v>42447</v>
      </c>
      <c r="B109" s="3">
        <v>232.74</v>
      </c>
      <c r="C109" s="4">
        <f t="shared" si="6"/>
        <v>3.5900000000000034</v>
      </c>
      <c r="D109" s="4">
        <f t="shared" si="7"/>
        <v>4.4499999999999886</v>
      </c>
      <c r="E109" s="3">
        <f t="shared" si="8"/>
        <v>6.3600000000000136</v>
      </c>
      <c r="F109" s="3">
        <v>56.479999999990866</v>
      </c>
      <c r="G109" s="3">
        <v>10706.04</v>
      </c>
      <c r="H109" s="3">
        <f t="shared" si="9"/>
        <v>10762.519999999991</v>
      </c>
      <c r="I109" s="3"/>
      <c r="J109" s="3"/>
      <c r="K109" s="3"/>
    </row>
    <row r="110" spans="1:11">
      <c r="A110" s="3">
        <v>42450</v>
      </c>
      <c r="B110" s="3">
        <v>238.32</v>
      </c>
      <c r="C110" s="4">
        <f t="shared" si="6"/>
        <v>4.4499999999999886</v>
      </c>
      <c r="D110" s="4">
        <f t="shared" si="7"/>
        <v>6.3600000000000136</v>
      </c>
      <c r="E110" s="3">
        <f t="shared" si="8"/>
        <v>5.5799999999999841</v>
      </c>
      <c r="F110" s="3">
        <v>56.479999999990866</v>
      </c>
      <c r="G110" s="3">
        <v>10962.72</v>
      </c>
      <c r="H110" s="3">
        <f t="shared" si="9"/>
        <v>11019.19999999999</v>
      </c>
      <c r="I110" s="3"/>
      <c r="J110" s="3"/>
      <c r="K110" s="3"/>
    </row>
    <row r="111" spans="1:11">
      <c r="A111" s="3">
        <v>42451</v>
      </c>
      <c r="B111" s="3">
        <v>234.24</v>
      </c>
      <c r="C111" s="4">
        <f t="shared" si="6"/>
        <v>6.3600000000000136</v>
      </c>
      <c r="D111" s="4">
        <f t="shared" si="7"/>
        <v>5.5799999999999841</v>
      </c>
      <c r="E111" s="3">
        <f t="shared" si="8"/>
        <v>-4.0799999999999841</v>
      </c>
      <c r="F111" s="3">
        <v>56.479999999990866</v>
      </c>
      <c r="G111" s="3">
        <v>10775.04</v>
      </c>
      <c r="H111" s="3">
        <f t="shared" si="9"/>
        <v>10831.519999999991</v>
      </c>
      <c r="I111" s="3"/>
      <c r="J111" s="3"/>
      <c r="K111" s="3"/>
    </row>
    <row r="112" spans="1:11">
      <c r="A112" s="3">
        <v>42452</v>
      </c>
      <c r="B112" s="3">
        <v>222.58</v>
      </c>
      <c r="C112" s="4">
        <f t="shared" si="6"/>
        <v>5.5799999999999841</v>
      </c>
      <c r="D112" s="4">
        <f t="shared" si="7"/>
        <v>-4.0799999999999841</v>
      </c>
      <c r="E112" s="3">
        <f t="shared" si="8"/>
        <v>-11.659999999999997</v>
      </c>
      <c r="F112" s="3">
        <v>10295.159999999991</v>
      </c>
      <c r="G112" s="3">
        <v>0</v>
      </c>
      <c r="H112" s="3">
        <f t="shared" si="9"/>
        <v>10295.159999999991</v>
      </c>
      <c r="I112" s="3"/>
      <c r="J112" s="3"/>
      <c r="K112" s="3"/>
    </row>
    <row r="113" spans="1:11">
      <c r="A113" s="3">
        <v>42453</v>
      </c>
      <c r="B113" s="3">
        <v>227.75</v>
      </c>
      <c r="C113" s="4">
        <f t="shared" si="6"/>
        <v>-4.0799999999999841</v>
      </c>
      <c r="D113" s="4">
        <f t="shared" si="7"/>
        <v>-11.659999999999997</v>
      </c>
      <c r="E113" s="3">
        <f t="shared" si="8"/>
        <v>5.1699999999999875</v>
      </c>
      <c r="F113" s="3">
        <v>10295.159999999991</v>
      </c>
      <c r="G113" s="3">
        <v>0</v>
      </c>
      <c r="H113" s="3">
        <f t="shared" si="9"/>
        <v>10295.159999999991</v>
      </c>
      <c r="I113" s="3"/>
      <c r="J113" s="3"/>
      <c r="K113" s="3"/>
    </row>
    <row r="114" spans="1:11">
      <c r="A114" s="3">
        <v>42457</v>
      </c>
      <c r="B114" s="3">
        <v>230.26</v>
      </c>
      <c r="C114" s="4">
        <f t="shared" si="6"/>
        <v>-11.659999999999997</v>
      </c>
      <c r="D114" s="4">
        <f t="shared" si="7"/>
        <v>5.1699999999999875</v>
      </c>
      <c r="E114" s="3">
        <f t="shared" si="8"/>
        <v>2.5099999999999909</v>
      </c>
      <c r="F114" s="3">
        <v>163.7199999999832</v>
      </c>
      <c r="G114" s="3">
        <v>10131.439999999999</v>
      </c>
      <c r="H114" s="3">
        <f t="shared" si="9"/>
        <v>10295.159999999982</v>
      </c>
      <c r="I114" s="3"/>
      <c r="J114" s="3"/>
      <c r="K114" s="3"/>
    </row>
    <row r="115" spans="1:11">
      <c r="A115" s="3">
        <v>42458</v>
      </c>
      <c r="B115" s="3">
        <v>230.13</v>
      </c>
      <c r="C115" s="4">
        <f t="shared" si="6"/>
        <v>5.1699999999999875</v>
      </c>
      <c r="D115" s="4">
        <f t="shared" si="7"/>
        <v>2.5099999999999909</v>
      </c>
      <c r="E115" s="3">
        <f t="shared" si="8"/>
        <v>-0.12999999999999545</v>
      </c>
      <c r="F115" s="3">
        <v>163.7199999999832</v>
      </c>
      <c r="G115" s="3">
        <v>10125.719999999999</v>
      </c>
      <c r="H115" s="3">
        <f t="shared" si="9"/>
        <v>10289.439999999982</v>
      </c>
      <c r="I115" s="3"/>
      <c r="J115" s="3"/>
      <c r="K115" s="3"/>
    </row>
    <row r="116" spans="1:11">
      <c r="A116" s="3">
        <v>42459</v>
      </c>
      <c r="B116" s="3">
        <v>226.89</v>
      </c>
      <c r="C116" s="4">
        <f t="shared" si="6"/>
        <v>2.5099999999999909</v>
      </c>
      <c r="D116" s="4">
        <f t="shared" si="7"/>
        <v>-0.12999999999999545</v>
      </c>
      <c r="E116" s="3">
        <f t="shared" si="8"/>
        <v>-3.2400000000000091</v>
      </c>
      <c r="F116" s="3">
        <v>10146.879999999983</v>
      </c>
      <c r="G116" s="3">
        <v>0</v>
      </c>
      <c r="H116" s="3">
        <f t="shared" si="9"/>
        <v>10146.879999999983</v>
      </c>
      <c r="I116" s="3"/>
      <c r="J116" s="3"/>
      <c r="K116" s="3"/>
    </row>
    <row r="117" spans="1:11">
      <c r="A117" s="3">
        <v>42460</v>
      </c>
      <c r="B117" s="3">
        <v>229.77</v>
      </c>
      <c r="C117" s="4">
        <f t="shared" si="6"/>
        <v>-0.12999999999999545</v>
      </c>
      <c r="D117" s="4">
        <f t="shared" si="7"/>
        <v>-3.2400000000000091</v>
      </c>
      <c r="E117" s="3">
        <f t="shared" si="8"/>
        <v>2.8800000000000239</v>
      </c>
      <c r="F117" s="3">
        <v>10146.879999999983</v>
      </c>
      <c r="G117" s="3">
        <v>0</v>
      </c>
      <c r="H117" s="3">
        <f t="shared" si="9"/>
        <v>10146.879999999983</v>
      </c>
      <c r="I117" s="3"/>
      <c r="J117" s="3"/>
      <c r="K117" s="3"/>
    </row>
    <row r="118" spans="1:11">
      <c r="A118" s="3">
        <v>42461</v>
      </c>
      <c r="B118" s="3">
        <v>237.59</v>
      </c>
      <c r="C118" s="4">
        <f t="shared" si="6"/>
        <v>-3.2400000000000091</v>
      </c>
      <c r="D118" s="4">
        <f t="shared" si="7"/>
        <v>2.8800000000000239</v>
      </c>
      <c r="E118" s="3">
        <f t="shared" si="8"/>
        <v>7.8199999999999932</v>
      </c>
      <c r="F118" s="3">
        <v>168.09999999997811</v>
      </c>
      <c r="G118" s="3">
        <v>9978.7800000000007</v>
      </c>
      <c r="H118" s="3">
        <f t="shared" si="9"/>
        <v>10146.879999999979</v>
      </c>
      <c r="I118" s="3"/>
      <c r="J118" s="3"/>
      <c r="K118" s="3"/>
    </row>
    <row r="119" spans="1:11">
      <c r="A119" s="3">
        <v>42464</v>
      </c>
      <c r="B119" s="3">
        <v>246.99</v>
      </c>
      <c r="C119" s="4">
        <f t="shared" si="6"/>
        <v>2.8800000000000239</v>
      </c>
      <c r="D119" s="4">
        <f t="shared" si="7"/>
        <v>7.8199999999999932</v>
      </c>
      <c r="E119" s="3">
        <f t="shared" si="8"/>
        <v>9.4000000000000057</v>
      </c>
      <c r="F119" s="3">
        <v>168.09999999997811</v>
      </c>
      <c r="G119" s="3">
        <v>10373.58</v>
      </c>
      <c r="H119" s="3">
        <f t="shared" si="9"/>
        <v>10541.679999999978</v>
      </c>
      <c r="I119" s="3"/>
      <c r="J119" s="3"/>
      <c r="K119" s="3"/>
    </row>
    <row r="120" spans="1:11">
      <c r="A120" s="3">
        <v>42465</v>
      </c>
      <c r="B120" s="3">
        <v>255.47</v>
      </c>
      <c r="C120" s="4">
        <f t="shared" si="6"/>
        <v>7.8199999999999932</v>
      </c>
      <c r="D120" s="4">
        <f t="shared" si="7"/>
        <v>9.4000000000000057</v>
      </c>
      <c r="E120" s="3">
        <f t="shared" si="8"/>
        <v>8.4799999999999898</v>
      </c>
      <c r="F120" s="3">
        <v>168.09999999997811</v>
      </c>
      <c r="G120" s="3">
        <v>10729.74</v>
      </c>
      <c r="H120" s="3">
        <f t="shared" si="9"/>
        <v>10897.839999999978</v>
      </c>
      <c r="I120" s="3"/>
      <c r="J120" s="3"/>
      <c r="K120" s="3"/>
    </row>
    <row r="121" spans="1:11">
      <c r="A121" s="3">
        <v>42466</v>
      </c>
      <c r="B121" s="3">
        <v>265.42</v>
      </c>
      <c r="C121" s="4">
        <f t="shared" si="6"/>
        <v>9.4000000000000057</v>
      </c>
      <c r="D121" s="4">
        <f t="shared" si="7"/>
        <v>8.4799999999999898</v>
      </c>
      <c r="E121" s="3">
        <f t="shared" si="8"/>
        <v>9.9500000000000171</v>
      </c>
      <c r="F121" s="3">
        <v>168.09999999997811</v>
      </c>
      <c r="G121" s="3">
        <v>11147.640000000001</v>
      </c>
      <c r="H121" s="3">
        <f t="shared" si="9"/>
        <v>11315.73999999998</v>
      </c>
      <c r="I121" s="3"/>
      <c r="J121" s="3"/>
      <c r="K121" s="3"/>
    </row>
    <row r="122" spans="1:11">
      <c r="A122" s="3">
        <v>42467</v>
      </c>
      <c r="B122" s="3">
        <v>257.2</v>
      </c>
      <c r="C122" s="4">
        <f t="shared" si="6"/>
        <v>8.4799999999999898</v>
      </c>
      <c r="D122" s="4">
        <f t="shared" si="7"/>
        <v>9.9500000000000171</v>
      </c>
      <c r="E122" s="3">
        <f t="shared" si="8"/>
        <v>-8.2200000000000273</v>
      </c>
      <c r="F122" s="3">
        <v>168.09999999997811</v>
      </c>
      <c r="G122" s="3">
        <v>10802.4</v>
      </c>
      <c r="H122" s="3">
        <f t="shared" si="9"/>
        <v>10970.499999999978</v>
      </c>
      <c r="I122" s="3"/>
      <c r="J122" s="3"/>
      <c r="K122" s="3"/>
    </row>
    <row r="123" spans="1:11">
      <c r="A123" s="3">
        <v>42468</v>
      </c>
      <c r="B123" s="3">
        <v>250.07</v>
      </c>
      <c r="C123" s="4">
        <f t="shared" si="6"/>
        <v>9.9500000000000171</v>
      </c>
      <c r="D123" s="4">
        <f t="shared" si="7"/>
        <v>-8.2200000000000273</v>
      </c>
      <c r="E123" s="3">
        <f t="shared" si="8"/>
        <v>-7.1299999999999955</v>
      </c>
      <c r="F123" s="3">
        <v>10671.039999999979</v>
      </c>
      <c r="G123" s="3">
        <v>0</v>
      </c>
      <c r="H123" s="3">
        <f t="shared" si="9"/>
        <v>10671.039999999979</v>
      </c>
      <c r="I123" s="3"/>
      <c r="J123" s="3"/>
      <c r="K123" s="3"/>
    </row>
    <row r="124" spans="1:11">
      <c r="A124" s="3">
        <v>42471</v>
      </c>
      <c r="B124" s="3">
        <v>249.92</v>
      </c>
      <c r="C124" s="4">
        <f t="shared" si="6"/>
        <v>-8.2200000000000273</v>
      </c>
      <c r="D124" s="4">
        <f t="shared" si="7"/>
        <v>-7.1299999999999955</v>
      </c>
      <c r="E124" s="3">
        <f t="shared" si="8"/>
        <v>-0.15000000000000568</v>
      </c>
      <c r="F124" s="3">
        <v>10671.039999999979</v>
      </c>
      <c r="G124" s="3">
        <v>0</v>
      </c>
      <c r="H124" s="3">
        <f t="shared" si="9"/>
        <v>10671.039999999979</v>
      </c>
      <c r="I124" s="3"/>
      <c r="J124" s="3"/>
      <c r="K124" s="3"/>
    </row>
    <row r="125" spans="1:11">
      <c r="A125" s="3">
        <v>42472</v>
      </c>
      <c r="B125" s="3">
        <v>247.82</v>
      </c>
      <c r="C125" s="4">
        <f t="shared" si="6"/>
        <v>-7.1299999999999955</v>
      </c>
      <c r="D125" s="4">
        <f t="shared" si="7"/>
        <v>-0.15000000000000568</v>
      </c>
      <c r="E125" s="3">
        <f t="shared" si="8"/>
        <v>-2.0999999999999943</v>
      </c>
      <c r="F125" s="3">
        <v>10671.039999999979</v>
      </c>
      <c r="G125" s="3">
        <v>0</v>
      </c>
      <c r="H125" s="3">
        <f t="shared" si="9"/>
        <v>10671.039999999979</v>
      </c>
      <c r="I125" s="3"/>
      <c r="J125" s="3"/>
      <c r="K125" s="3"/>
    </row>
    <row r="126" spans="1:11">
      <c r="A126" s="3">
        <v>42473</v>
      </c>
      <c r="B126" s="3">
        <v>254.53</v>
      </c>
      <c r="C126" s="4">
        <f t="shared" si="6"/>
        <v>-0.15000000000000568</v>
      </c>
      <c r="D126" s="4">
        <f t="shared" si="7"/>
        <v>-2.0999999999999943</v>
      </c>
      <c r="E126" s="3">
        <f t="shared" si="8"/>
        <v>6.710000000000008</v>
      </c>
      <c r="F126" s="3">
        <v>10671.039999999979</v>
      </c>
      <c r="G126" s="3">
        <v>0</v>
      </c>
      <c r="H126" s="3">
        <f t="shared" si="9"/>
        <v>10671.039999999979</v>
      </c>
      <c r="I126" s="3"/>
      <c r="J126" s="3"/>
      <c r="K126" s="3"/>
    </row>
    <row r="127" spans="1:11">
      <c r="A127" s="3">
        <v>42474</v>
      </c>
      <c r="B127" s="3">
        <v>251.86</v>
      </c>
      <c r="C127" s="4">
        <f t="shared" si="6"/>
        <v>-2.0999999999999943</v>
      </c>
      <c r="D127" s="4">
        <f t="shared" si="7"/>
        <v>6.710000000000008</v>
      </c>
      <c r="E127" s="3">
        <f t="shared" si="8"/>
        <v>-2.6699999999999875</v>
      </c>
      <c r="F127" s="3">
        <v>10671.039999999979</v>
      </c>
      <c r="G127" s="3">
        <v>0</v>
      </c>
      <c r="H127" s="3">
        <f t="shared" si="9"/>
        <v>10671.039999999979</v>
      </c>
      <c r="I127" s="3"/>
      <c r="J127" s="3"/>
      <c r="K127" s="3"/>
    </row>
    <row r="128" spans="1:11">
      <c r="A128" s="3">
        <v>42475</v>
      </c>
      <c r="B128" s="3">
        <v>254.51</v>
      </c>
      <c r="C128" s="4">
        <f t="shared" si="6"/>
        <v>6.710000000000008</v>
      </c>
      <c r="D128" s="4">
        <f t="shared" si="7"/>
        <v>-2.6699999999999875</v>
      </c>
      <c r="E128" s="3">
        <f t="shared" si="8"/>
        <v>2.6499999999999773</v>
      </c>
      <c r="F128" s="3">
        <v>10671.039999999979</v>
      </c>
      <c r="G128" s="3">
        <v>0</v>
      </c>
      <c r="H128" s="3">
        <f t="shared" si="9"/>
        <v>10671.039999999979</v>
      </c>
      <c r="I128" s="3"/>
      <c r="J128" s="3"/>
      <c r="K128" s="3"/>
    </row>
    <row r="129" spans="1:11">
      <c r="A129" s="3">
        <v>42478</v>
      </c>
      <c r="B129" s="3">
        <v>253.88</v>
      </c>
      <c r="C129" s="4">
        <f t="shared" si="6"/>
        <v>-2.6699999999999875</v>
      </c>
      <c r="D129" s="4">
        <f t="shared" si="7"/>
        <v>2.6499999999999773</v>
      </c>
      <c r="E129" s="3">
        <f t="shared" si="8"/>
        <v>-0.62999999999999545</v>
      </c>
      <c r="F129" s="3">
        <v>10671.039999999979</v>
      </c>
      <c r="G129" s="3">
        <v>0</v>
      </c>
      <c r="H129" s="3">
        <f t="shared" si="9"/>
        <v>10671.039999999979</v>
      </c>
      <c r="I129" s="3"/>
      <c r="J129" s="3"/>
      <c r="K129" s="3"/>
    </row>
    <row r="130" spans="1:11">
      <c r="A130" s="3">
        <v>42479</v>
      </c>
      <c r="B130" s="3">
        <v>247.37</v>
      </c>
      <c r="C130" s="4">
        <f t="shared" si="6"/>
        <v>2.6499999999999773</v>
      </c>
      <c r="D130" s="4">
        <f t="shared" si="7"/>
        <v>-0.62999999999999545</v>
      </c>
      <c r="E130" s="3">
        <f t="shared" si="8"/>
        <v>-6.5099999999999909</v>
      </c>
      <c r="F130" s="3">
        <v>10671.039999999979</v>
      </c>
      <c r="G130" s="3">
        <v>0</v>
      </c>
      <c r="H130" s="3">
        <f t="shared" si="9"/>
        <v>10671.039999999979</v>
      </c>
      <c r="I130" s="3"/>
      <c r="J130" s="3"/>
      <c r="K130" s="3"/>
    </row>
    <row r="131" spans="1:11">
      <c r="A131" s="3">
        <v>42480</v>
      </c>
      <c r="B131" s="3">
        <v>249.97</v>
      </c>
      <c r="C131" s="4">
        <f t="shared" si="6"/>
        <v>-0.62999999999999545</v>
      </c>
      <c r="D131" s="4">
        <f t="shared" si="7"/>
        <v>-6.5099999999999909</v>
      </c>
      <c r="E131" s="3">
        <f t="shared" si="8"/>
        <v>2.5999999999999943</v>
      </c>
      <c r="F131" s="3">
        <v>10671.039999999979</v>
      </c>
      <c r="G131" s="3">
        <v>0</v>
      </c>
      <c r="H131" s="3">
        <f t="shared" si="9"/>
        <v>10671.039999999979</v>
      </c>
      <c r="I131" s="3"/>
      <c r="J131" s="3"/>
      <c r="K131" s="3"/>
    </row>
    <row r="132" spans="1:11">
      <c r="A132" s="3">
        <v>42481</v>
      </c>
      <c r="B132" s="3">
        <v>248.29</v>
      </c>
      <c r="C132" s="4">
        <f t="shared" si="6"/>
        <v>-6.5099999999999909</v>
      </c>
      <c r="D132" s="4">
        <f t="shared" si="7"/>
        <v>2.5999999999999943</v>
      </c>
      <c r="E132" s="3">
        <f t="shared" si="8"/>
        <v>-1.6800000000000068</v>
      </c>
      <c r="F132" s="3">
        <v>10671.039999999979</v>
      </c>
      <c r="G132" s="3">
        <v>0</v>
      </c>
      <c r="H132" s="3">
        <f t="shared" si="9"/>
        <v>10671.039999999979</v>
      </c>
      <c r="I132" s="3"/>
      <c r="J132" s="3"/>
      <c r="K132" s="3"/>
    </row>
    <row r="133" spans="1:11">
      <c r="A133" s="3">
        <v>42482</v>
      </c>
      <c r="B133" s="3">
        <v>253.75</v>
      </c>
      <c r="C133" s="4">
        <f t="shared" si="6"/>
        <v>2.5999999999999943</v>
      </c>
      <c r="D133" s="4">
        <f t="shared" si="7"/>
        <v>-1.6800000000000068</v>
      </c>
      <c r="E133" s="3">
        <f t="shared" si="8"/>
        <v>5.460000000000008</v>
      </c>
      <c r="F133" s="3">
        <v>10671.039999999979</v>
      </c>
      <c r="G133" s="3">
        <v>0</v>
      </c>
      <c r="H133" s="3">
        <f t="shared" si="9"/>
        <v>10671.039999999979</v>
      </c>
      <c r="I133" s="3"/>
      <c r="J133" s="3"/>
      <c r="K133" s="3"/>
    </row>
    <row r="134" spans="1:11">
      <c r="A134" s="3">
        <v>42485</v>
      </c>
      <c r="B134" s="3">
        <v>251.82</v>
      </c>
      <c r="C134" s="4">
        <f t="shared" si="6"/>
        <v>-1.6800000000000068</v>
      </c>
      <c r="D134" s="4">
        <f t="shared" si="7"/>
        <v>5.460000000000008</v>
      </c>
      <c r="E134" s="3">
        <f t="shared" si="8"/>
        <v>-1.9300000000000068</v>
      </c>
      <c r="F134" s="3">
        <v>10671.039999999979</v>
      </c>
      <c r="G134" s="3">
        <v>0</v>
      </c>
      <c r="H134" s="3">
        <f t="shared" si="9"/>
        <v>10671.039999999979</v>
      </c>
      <c r="I134" s="3"/>
      <c r="J134" s="3"/>
      <c r="K134" s="3"/>
    </row>
    <row r="135" spans="1:11">
      <c r="A135" s="3">
        <v>42486</v>
      </c>
      <c r="B135" s="3">
        <v>253.74</v>
      </c>
      <c r="C135" s="4">
        <f t="shared" si="6"/>
        <v>5.460000000000008</v>
      </c>
      <c r="D135" s="4">
        <f t="shared" si="7"/>
        <v>-1.9300000000000068</v>
      </c>
      <c r="E135" s="3">
        <f t="shared" si="8"/>
        <v>1.9200000000000159</v>
      </c>
      <c r="F135" s="3">
        <v>10671.039999999979</v>
      </c>
      <c r="G135" s="3">
        <v>0</v>
      </c>
      <c r="H135" s="3">
        <f t="shared" si="9"/>
        <v>10671.039999999979</v>
      </c>
      <c r="I135" s="3"/>
      <c r="J135" s="3"/>
      <c r="K135" s="3"/>
    </row>
    <row r="136" spans="1:11">
      <c r="A136" s="3">
        <v>42487</v>
      </c>
      <c r="B136" s="3">
        <v>251.47</v>
      </c>
      <c r="C136" s="4">
        <f t="shared" si="6"/>
        <v>-1.9300000000000068</v>
      </c>
      <c r="D136" s="4">
        <f t="shared" si="7"/>
        <v>1.9200000000000159</v>
      </c>
      <c r="E136" s="3">
        <f t="shared" si="8"/>
        <v>-2.2700000000000102</v>
      </c>
      <c r="F136" s="3">
        <v>10671.039999999979</v>
      </c>
      <c r="G136" s="3">
        <v>0</v>
      </c>
      <c r="H136" s="3">
        <f t="shared" si="9"/>
        <v>10671.039999999979</v>
      </c>
      <c r="I136" s="3"/>
      <c r="J136" s="3"/>
      <c r="K136" s="3"/>
    </row>
    <row r="137" spans="1:11">
      <c r="A137" s="3">
        <v>42488</v>
      </c>
      <c r="B137" s="3">
        <v>247.71</v>
      </c>
      <c r="C137" s="4">
        <f t="shared" si="6"/>
        <v>1.9200000000000159</v>
      </c>
      <c r="D137" s="4">
        <f t="shared" si="7"/>
        <v>-2.2700000000000102</v>
      </c>
      <c r="E137" s="3">
        <f t="shared" si="8"/>
        <v>-3.7599999999999909</v>
      </c>
      <c r="F137" s="3">
        <v>10671.039999999979</v>
      </c>
      <c r="G137" s="3">
        <v>0</v>
      </c>
      <c r="H137" s="3">
        <f t="shared" si="9"/>
        <v>10671.039999999979</v>
      </c>
      <c r="I137" s="3"/>
      <c r="J137" s="3"/>
      <c r="K137" s="3"/>
    </row>
    <row r="138" spans="1:11">
      <c r="A138" s="3">
        <v>42489</v>
      </c>
      <c r="B138" s="3">
        <v>240.76</v>
      </c>
      <c r="C138" s="4">
        <f t="shared" si="6"/>
        <v>-2.2700000000000102</v>
      </c>
      <c r="D138" s="4">
        <f t="shared" si="7"/>
        <v>-3.7599999999999909</v>
      </c>
      <c r="E138" s="3">
        <f t="shared" si="8"/>
        <v>-6.9500000000000171</v>
      </c>
      <c r="F138" s="3">
        <v>10671.039999999979</v>
      </c>
      <c r="G138" s="3">
        <v>0</v>
      </c>
      <c r="H138" s="3">
        <f t="shared" si="9"/>
        <v>10671.039999999979</v>
      </c>
      <c r="I138" s="3"/>
      <c r="J138" s="3"/>
      <c r="K138" s="3"/>
    </row>
    <row r="139" spans="1:11">
      <c r="A139" s="3">
        <v>42492</v>
      </c>
      <c r="B139" s="3">
        <v>241.8</v>
      </c>
      <c r="C139" s="4">
        <f t="shared" si="6"/>
        <v>-3.7599999999999909</v>
      </c>
      <c r="D139" s="4">
        <f t="shared" si="7"/>
        <v>-6.9500000000000171</v>
      </c>
      <c r="E139" s="3">
        <f t="shared" si="8"/>
        <v>1.0400000000000205</v>
      </c>
      <c r="F139" s="3">
        <v>10671.039999999979</v>
      </c>
      <c r="G139" s="3">
        <v>0</v>
      </c>
      <c r="H139" s="3">
        <f t="shared" si="9"/>
        <v>10671.039999999979</v>
      </c>
      <c r="I139" s="3"/>
      <c r="J139" s="3"/>
      <c r="K139" s="3"/>
    </row>
    <row r="140" spans="1:11">
      <c r="A140" s="3">
        <v>42493</v>
      </c>
      <c r="B140" s="3">
        <v>232.32</v>
      </c>
      <c r="C140" s="4">
        <f t="shared" si="6"/>
        <v>-6.9500000000000171</v>
      </c>
      <c r="D140" s="4">
        <f t="shared" si="7"/>
        <v>1.0400000000000205</v>
      </c>
      <c r="E140" s="3">
        <f t="shared" si="8"/>
        <v>-9.4800000000000182</v>
      </c>
      <c r="F140" s="3">
        <v>10671.039999999979</v>
      </c>
      <c r="G140" s="3">
        <v>0</v>
      </c>
      <c r="H140" s="3">
        <f t="shared" si="9"/>
        <v>10671.039999999979</v>
      </c>
      <c r="I140" s="3"/>
      <c r="J140" s="3"/>
      <c r="K140" s="3"/>
    </row>
    <row r="141" spans="1:11">
      <c r="A141" s="3">
        <v>42494</v>
      </c>
      <c r="B141" s="3">
        <v>222.56</v>
      </c>
      <c r="C141" s="4">
        <f t="shared" ref="C141:C204" si="10">B139-B138</f>
        <v>1.0400000000000205</v>
      </c>
      <c r="D141" s="4">
        <f t="shared" ref="D141:D204" si="11">B140-B139</f>
        <v>-9.4800000000000182</v>
      </c>
      <c r="E141" s="3">
        <f t="shared" ref="E141:E204" si="12">B141-B140</f>
        <v>-9.7599999999999909</v>
      </c>
      <c r="F141" s="3">
        <v>10671.039999999979</v>
      </c>
      <c r="G141" s="3">
        <v>0</v>
      </c>
      <c r="H141" s="3">
        <f t="shared" si="9"/>
        <v>10671.039999999979</v>
      </c>
      <c r="I141" s="3"/>
      <c r="J141" s="3"/>
      <c r="K141" s="3"/>
    </row>
    <row r="142" spans="1:11">
      <c r="A142" s="3">
        <v>42495</v>
      </c>
      <c r="B142" s="3">
        <v>211.53</v>
      </c>
      <c r="C142" s="4">
        <f t="shared" si="10"/>
        <v>-9.4800000000000182</v>
      </c>
      <c r="D142" s="4">
        <f t="shared" si="11"/>
        <v>-9.7599999999999909</v>
      </c>
      <c r="E142" s="3">
        <f t="shared" si="12"/>
        <v>-11.030000000000001</v>
      </c>
      <c r="F142" s="3">
        <v>10671.039999999979</v>
      </c>
      <c r="G142" s="3">
        <v>0</v>
      </c>
      <c r="H142" s="3">
        <f t="shared" si="9"/>
        <v>10671.039999999979</v>
      </c>
      <c r="I142" s="3"/>
      <c r="J142" s="3"/>
      <c r="K142" s="3"/>
    </row>
    <row r="143" spans="1:11">
      <c r="A143" s="3">
        <v>42496</v>
      </c>
      <c r="B143" s="3">
        <v>214.93</v>
      </c>
      <c r="C143" s="4">
        <f t="shared" si="10"/>
        <v>-9.7599999999999909</v>
      </c>
      <c r="D143" s="4">
        <f t="shared" si="11"/>
        <v>-11.030000000000001</v>
      </c>
      <c r="E143" s="3">
        <f t="shared" si="12"/>
        <v>3.4000000000000057</v>
      </c>
      <c r="F143" s="3">
        <v>10671.039999999979</v>
      </c>
      <c r="G143" s="3">
        <v>0</v>
      </c>
      <c r="H143" s="3">
        <f t="shared" si="9"/>
        <v>10671.039999999979</v>
      </c>
      <c r="I143" s="3"/>
      <c r="J143" s="3"/>
      <c r="K143" s="3"/>
    </row>
    <row r="144" spans="1:11">
      <c r="A144" s="3">
        <v>42499</v>
      </c>
      <c r="B144" s="3">
        <v>208.92</v>
      </c>
      <c r="C144" s="4">
        <f t="shared" si="10"/>
        <v>-11.030000000000001</v>
      </c>
      <c r="D144" s="4">
        <f t="shared" si="11"/>
        <v>3.4000000000000057</v>
      </c>
      <c r="E144" s="3">
        <f t="shared" si="12"/>
        <v>-6.0100000000000193</v>
      </c>
      <c r="F144" s="3">
        <v>10671.039999999979</v>
      </c>
      <c r="G144" s="3">
        <v>0</v>
      </c>
      <c r="H144" s="3">
        <f t="shared" si="9"/>
        <v>10671.039999999979</v>
      </c>
      <c r="I144" s="3"/>
      <c r="J144" s="3"/>
      <c r="K144" s="3"/>
    </row>
    <row r="145" spans="1:11">
      <c r="A145" s="3">
        <v>42500</v>
      </c>
      <c r="B145" s="3">
        <v>208.69</v>
      </c>
      <c r="C145" s="4">
        <f t="shared" si="10"/>
        <v>3.4000000000000057</v>
      </c>
      <c r="D145" s="4">
        <f t="shared" si="11"/>
        <v>-6.0100000000000193</v>
      </c>
      <c r="E145" s="3">
        <f t="shared" si="12"/>
        <v>-0.22999999999998977</v>
      </c>
      <c r="F145" s="3">
        <v>10671.039999999979</v>
      </c>
      <c r="G145" s="3">
        <v>0</v>
      </c>
      <c r="H145" s="3">
        <f t="shared" si="9"/>
        <v>10671.039999999979</v>
      </c>
      <c r="I145" s="3"/>
      <c r="J145" s="3"/>
      <c r="K145" s="3"/>
    </row>
    <row r="146" spans="1:11">
      <c r="A146" s="3">
        <v>42501</v>
      </c>
      <c r="B146" s="3">
        <v>208.96</v>
      </c>
      <c r="C146" s="4">
        <f t="shared" si="10"/>
        <v>-6.0100000000000193</v>
      </c>
      <c r="D146" s="4">
        <f t="shared" si="11"/>
        <v>-0.22999999999998977</v>
      </c>
      <c r="E146" s="3">
        <f t="shared" si="12"/>
        <v>0.27000000000001023</v>
      </c>
      <c r="F146" s="3">
        <v>10671.039999999979</v>
      </c>
      <c r="G146" s="3">
        <v>0</v>
      </c>
      <c r="H146" s="3">
        <f t="shared" si="9"/>
        <v>10671.039999999979</v>
      </c>
      <c r="I146" s="3"/>
      <c r="J146" s="3"/>
      <c r="K146" s="3"/>
    </row>
    <row r="147" spans="1:11">
      <c r="A147" s="3">
        <v>42502</v>
      </c>
      <c r="B147" s="3">
        <v>207.28</v>
      </c>
      <c r="C147" s="4">
        <f t="shared" si="10"/>
        <v>-0.22999999999998977</v>
      </c>
      <c r="D147" s="4">
        <f t="shared" si="11"/>
        <v>0.27000000000001023</v>
      </c>
      <c r="E147" s="3">
        <f t="shared" si="12"/>
        <v>-1.6800000000000068</v>
      </c>
      <c r="F147" s="3">
        <v>10671.039999999979</v>
      </c>
      <c r="G147" s="3">
        <v>0</v>
      </c>
      <c r="H147" s="3">
        <f t="shared" si="9"/>
        <v>10671.039999999979</v>
      </c>
      <c r="I147" s="3"/>
      <c r="J147" s="3"/>
      <c r="K147" s="3"/>
    </row>
    <row r="148" spans="1:11">
      <c r="A148" s="3">
        <v>42503</v>
      </c>
      <c r="B148" s="3">
        <v>207.61</v>
      </c>
      <c r="C148" s="4">
        <f t="shared" si="10"/>
        <v>0.27000000000001023</v>
      </c>
      <c r="D148" s="4">
        <f t="shared" si="11"/>
        <v>-1.6800000000000068</v>
      </c>
      <c r="E148" s="3">
        <f t="shared" si="12"/>
        <v>0.33000000000001251</v>
      </c>
      <c r="F148" s="3">
        <v>10671.039999999979</v>
      </c>
      <c r="G148" s="3">
        <v>0</v>
      </c>
      <c r="H148" s="3">
        <f t="shared" si="9"/>
        <v>10671.039999999979</v>
      </c>
      <c r="I148" s="3"/>
      <c r="J148" s="3"/>
      <c r="K148" s="3"/>
    </row>
    <row r="149" spans="1:11">
      <c r="A149" s="3">
        <v>42506</v>
      </c>
      <c r="B149" s="3">
        <v>208.29</v>
      </c>
      <c r="C149" s="4">
        <f t="shared" si="10"/>
        <v>-1.6800000000000068</v>
      </c>
      <c r="D149" s="4">
        <f t="shared" si="11"/>
        <v>0.33000000000001251</v>
      </c>
      <c r="E149" s="3">
        <f t="shared" si="12"/>
        <v>0.6799999999999784</v>
      </c>
      <c r="F149" s="3">
        <v>48.249999999970868</v>
      </c>
      <c r="G149" s="3">
        <v>10622.789999999999</v>
      </c>
      <c r="H149" s="3">
        <f t="shared" si="9"/>
        <v>10671.03999999997</v>
      </c>
      <c r="I149" s="3"/>
      <c r="J149" s="3"/>
      <c r="K149" s="3"/>
    </row>
    <row r="150" spans="1:11">
      <c r="A150" s="3">
        <v>42507</v>
      </c>
      <c r="B150" s="3">
        <v>204.66</v>
      </c>
      <c r="C150" s="4">
        <f t="shared" si="10"/>
        <v>0.33000000000001251</v>
      </c>
      <c r="D150" s="4">
        <f t="shared" si="11"/>
        <v>0.6799999999999784</v>
      </c>
      <c r="E150" s="3">
        <f t="shared" si="12"/>
        <v>-3.6299999999999955</v>
      </c>
      <c r="F150" s="3">
        <v>48.249999999970868</v>
      </c>
      <c r="G150" s="3">
        <v>10437.66</v>
      </c>
      <c r="H150" s="3">
        <f t="shared" ref="H150:H213" si="13">G150+F150</f>
        <v>10485.909999999971</v>
      </c>
      <c r="I150" s="3"/>
      <c r="J150" s="3"/>
      <c r="K150" s="3"/>
    </row>
    <row r="151" spans="1:11">
      <c r="A151" s="3">
        <v>42508</v>
      </c>
      <c r="B151" s="3">
        <v>211.17</v>
      </c>
      <c r="C151" s="4">
        <f t="shared" si="10"/>
        <v>0.6799999999999784</v>
      </c>
      <c r="D151" s="4">
        <f t="shared" si="11"/>
        <v>-3.6299999999999955</v>
      </c>
      <c r="E151" s="3">
        <f t="shared" si="12"/>
        <v>6.5099999999999909</v>
      </c>
      <c r="F151" s="3">
        <v>48.249999999970868</v>
      </c>
      <c r="G151" s="3">
        <v>10769.67</v>
      </c>
      <c r="H151" s="3">
        <f t="shared" si="13"/>
        <v>10817.919999999971</v>
      </c>
      <c r="I151" s="3"/>
      <c r="J151" s="3"/>
      <c r="K151" s="3"/>
    </row>
    <row r="152" spans="1:11">
      <c r="A152" s="3">
        <v>42509</v>
      </c>
      <c r="B152" s="3">
        <v>215.21</v>
      </c>
      <c r="C152" s="4">
        <f t="shared" si="10"/>
        <v>-3.6299999999999955</v>
      </c>
      <c r="D152" s="4">
        <f t="shared" si="11"/>
        <v>6.5099999999999909</v>
      </c>
      <c r="E152" s="3">
        <f t="shared" si="12"/>
        <v>4.0400000000000205</v>
      </c>
      <c r="F152" s="3">
        <v>48.249999999970868</v>
      </c>
      <c r="G152" s="3">
        <v>10975.710000000001</v>
      </c>
      <c r="H152" s="3">
        <f t="shared" si="13"/>
        <v>11023.959999999972</v>
      </c>
      <c r="I152" s="3"/>
      <c r="J152" s="3"/>
      <c r="K152" s="3"/>
    </row>
    <row r="153" spans="1:11">
      <c r="A153" s="3">
        <v>42510</v>
      </c>
      <c r="B153" s="3">
        <v>220.28</v>
      </c>
      <c r="C153" s="4">
        <f t="shared" si="10"/>
        <v>6.5099999999999909</v>
      </c>
      <c r="D153" s="4">
        <f t="shared" si="11"/>
        <v>4.0400000000000205</v>
      </c>
      <c r="E153" s="3">
        <f t="shared" si="12"/>
        <v>5.0699999999999932</v>
      </c>
      <c r="F153" s="3">
        <v>48.249999999970868</v>
      </c>
      <c r="G153" s="3">
        <v>11234.28</v>
      </c>
      <c r="H153" s="3">
        <f t="shared" si="13"/>
        <v>11282.529999999972</v>
      </c>
      <c r="I153" s="3"/>
      <c r="J153" s="3"/>
      <c r="K153" s="3"/>
    </row>
    <row r="154" spans="1:11">
      <c r="A154" s="3">
        <v>42513</v>
      </c>
      <c r="B154" s="3">
        <v>216.22</v>
      </c>
      <c r="C154" s="4">
        <f t="shared" si="10"/>
        <v>4.0400000000000205</v>
      </c>
      <c r="D154" s="4">
        <f t="shared" si="11"/>
        <v>5.0699999999999932</v>
      </c>
      <c r="E154" s="3">
        <f t="shared" si="12"/>
        <v>-4.0600000000000023</v>
      </c>
      <c r="F154" s="3">
        <v>48.249999999970868</v>
      </c>
      <c r="G154" s="3">
        <v>11027.22</v>
      </c>
      <c r="H154" s="3">
        <f t="shared" si="13"/>
        <v>11075.46999999997</v>
      </c>
      <c r="I154" s="3"/>
      <c r="J154" s="3"/>
      <c r="K154" s="3"/>
    </row>
    <row r="155" spans="1:11">
      <c r="A155" s="3">
        <v>42514</v>
      </c>
      <c r="B155" s="3">
        <v>217.91</v>
      </c>
      <c r="C155" s="4">
        <f t="shared" si="10"/>
        <v>5.0699999999999932</v>
      </c>
      <c r="D155" s="4">
        <f t="shared" si="11"/>
        <v>-4.0600000000000023</v>
      </c>
      <c r="E155" s="3">
        <f t="shared" si="12"/>
        <v>1.6899999999999977</v>
      </c>
      <c r="F155" s="3">
        <v>48.249999999970868</v>
      </c>
      <c r="G155" s="3">
        <v>11113.41</v>
      </c>
      <c r="H155" s="3">
        <f t="shared" si="13"/>
        <v>11161.659999999971</v>
      </c>
      <c r="I155" s="3"/>
      <c r="J155" s="3"/>
      <c r="K155" s="3"/>
    </row>
    <row r="156" spans="1:11">
      <c r="A156" s="3">
        <v>42515</v>
      </c>
      <c r="B156" s="3">
        <v>219.58</v>
      </c>
      <c r="C156" s="4">
        <f t="shared" si="10"/>
        <v>-4.0600000000000023</v>
      </c>
      <c r="D156" s="4">
        <f t="shared" si="11"/>
        <v>1.6899999999999977</v>
      </c>
      <c r="E156" s="3">
        <f t="shared" si="12"/>
        <v>1.6700000000000159</v>
      </c>
      <c r="F156" s="3">
        <v>48.249999999970868</v>
      </c>
      <c r="G156" s="3">
        <v>11198.58</v>
      </c>
      <c r="H156" s="3">
        <f t="shared" si="13"/>
        <v>11246.829999999971</v>
      </c>
      <c r="I156" s="3"/>
      <c r="J156" s="3"/>
      <c r="K156" s="3"/>
    </row>
    <row r="157" spans="1:11">
      <c r="A157" s="3">
        <v>42516</v>
      </c>
      <c r="B157" s="3">
        <v>225.12</v>
      </c>
      <c r="C157" s="4">
        <f t="shared" si="10"/>
        <v>1.6899999999999977</v>
      </c>
      <c r="D157" s="4">
        <f t="shared" si="11"/>
        <v>1.6700000000000159</v>
      </c>
      <c r="E157" s="3">
        <f t="shared" si="12"/>
        <v>5.539999999999992</v>
      </c>
      <c r="F157" s="3">
        <v>48.249999999970868</v>
      </c>
      <c r="G157" s="3">
        <v>11481.12</v>
      </c>
      <c r="H157" s="3">
        <f t="shared" si="13"/>
        <v>11529.369999999972</v>
      </c>
      <c r="I157" s="3"/>
      <c r="J157" s="3"/>
      <c r="K157" s="3"/>
    </row>
    <row r="158" spans="1:11">
      <c r="A158" s="3">
        <v>42517</v>
      </c>
      <c r="B158" s="3">
        <v>223.04</v>
      </c>
      <c r="C158" s="4">
        <f t="shared" si="10"/>
        <v>1.6700000000000159</v>
      </c>
      <c r="D158" s="4">
        <f t="shared" si="11"/>
        <v>5.539999999999992</v>
      </c>
      <c r="E158" s="3">
        <f t="shared" si="12"/>
        <v>-2.0800000000000125</v>
      </c>
      <c r="F158" s="3">
        <v>48.249999999970868</v>
      </c>
      <c r="G158" s="3">
        <v>11375.039999999999</v>
      </c>
      <c r="H158" s="3">
        <f t="shared" si="13"/>
        <v>11423.28999999997</v>
      </c>
      <c r="I158" s="3"/>
      <c r="J158" s="3"/>
      <c r="K158" s="3"/>
    </row>
    <row r="159" spans="1:11">
      <c r="A159" s="3">
        <v>42521</v>
      </c>
      <c r="B159" s="3">
        <v>223.23</v>
      </c>
      <c r="C159" s="4">
        <f t="shared" si="10"/>
        <v>5.539999999999992</v>
      </c>
      <c r="D159" s="4">
        <f t="shared" si="11"/>
        <v>-2.0800000000000125</v>
      </c>
      <c r="E159" s="3">
        <f t="shared" si="12"/>
        <v>0.18999999999999773</v>
      </c>
      <c r="F159" s="3">
        <v>48.249999999970868</v>
      </c>
      <c r="G159" s="3">
        <v>11384.73</v>
      </c>
      <c r="H159" s="3">
        <f t="shared" si="13"/>
        <v>11432.97999999997</v>
      </c>
      <c r="I159" s="3"/>
      <c r="J159" s="3"/>
      <c r="K159" s="3"/>
    </row>
    <row r="160" spans="1:11">
      <c r="A160" s="3">
        <v>42522</v>
      </c>
      <c r="B160" s="3">
        <v>219.56</v>
      </c>
      <c r="C160" s="4">
        <f t="shared" si="10"/>
        <v>-2.0800000000000125</v>
      </c>
      <c r="D160" s="4">
        <f t="shared" si="11"/>
        <v>0.18999999999999773</v>
      </c>
      <c r="E160" s="3">
        <f t="shared" si="12"/>
        <v>-3.6699999999999875</v>
      </c>
      <c r="F160" s="3">
        <v>48.249999999970868</v>
      </c>
      <c r="G160" s="3">
        <v>11197.56</v>
      </c>
      <c r="H160" s="3">
        <f t="shared" si="13"/>
        <v>11245.80999999997</v>
      </c>
      <c r="I160" s="3"/>
      <c r="J160" s="3"/>
      <c r="K160" s="3"/>
    </row>
    <row r="161" spans="1:11">
      <c r="A161" s="3">
        <v>42523</v>
      </c>
      <c r="B161" s="3">
        <v>218.96</v>
      </c>
      <c r="C161" s="4">
        <f t="shared" si="10"/>
        <v>0.18999999999999773</v>
      </c>
      <c r="D161" s="4">
        <f t="shared" si="11"/>
        <v>-3.6699999999999875</v>
      </c>
      <c r="E161" s="3">
        <f t="shared" si="12"/>
        <v>-0.59999999999999432</v>
      </c>
      <c r="F161" s="3">
        <v>11215.209999999972</v>
      </c>
      <c r="G161" s="3">
        <v>0</v>
      </c>
      <c r="H161" s="3">
        <f t="shared" si="13"/>
        <v>11215.209999999972</v>
      </c>
      <c r="I161" s="3"/>
      <c r="J161" s="3"/>
      <c r="K161" s="3"/>
    </row>
    <row r="162" spans="1:11">
      <c r="A162" s="3">
        <v>42524</v>
      </c>
      <c r="B162" s="3">
        <v>218.99</v>
      </c>
      <c r="C162" s="4">
        <f t="shared" si="10"/>
        <v>-3.6699999999999875</v>
      </c>
      <c r="D162" s="4">
        <f t="shared" si="11"/>
        <v>-0.59999999999999432</v>
      </c>
      <c r="E162" s="3">
        <f t="shared" si="12"/>
        <v>3.0000000000001137E-2</v>
      </c>
      <c r="F162" s="3">
        <v>11215.209999999972</v>
      </c>
      <c r="G162" s="3">
        <v>0</v>
      </c>
      <c r="H162" s="3">
        <f t="shared" si="13"/>
        <v>11215.209999999972</v>
      </c>
      <c r="I162" s="3"/>
      <c r="J162" s="3"/>
      <c r="K162" s="3"/>
    </row>
    <row r="163" spans="1:11">
      <c r="A163" s="3">
        <v>42527</v>
      </c>
      <c r="B163" s="3">
        <v>220.68</v>
      </c>
      <c r="C163" s="4">
        <f t="shared" si="10"/>
        <v>-0.59999999999999432</v>
      </c>
      <c r="D163" s="4">
        <f t="shared" si="11"/>
        <v>3.0000000000001137E-2</v>
      </c>
      <c r="E163" s="3">
        <f t="shared" si="12"/>
        <v>1.6899999999999977</v>
      </c>
      <c r="F163" s="3">
        <v>181.20999999996354</v>
      </c>
      <c r="G163" s="3">
        <v>11034</v>
      </c>
      <c r="H163" s="3">
        <f t="shared" si="13"/>
        <v>11215.209999999963</v>
      </c>
      <c r="I163" s="3"/>
      <c r="J163" s="3"/>
      <c r="K163" s="3"/>
    </row>
    <row r="164" spans="1:11">
      <c r="A164" s="3">
        <v>42528</v>
      </c>
      <c r="B164" s="3">
        <v>232.34</v>
      </c>
      <c r="C164" s="4">
        <f t="shared" si="10"/>
        <v>3.0000000000001137E-2</v>
      </c>
      <c r="D164" s="4">
        <f t="shared" si="11"/>
        <v>1.6899999999999977</v>
      </c>
      <c r="E164" s="3">
        <f t="shared" si="12"/>
        <v>11.659999999999997</v>
      </c>
      <c r="F164" s="3">
        <v>181.20999999996354</v>
      </c>
      <c r="G164" s="3">
        <v>11617</v>
      </c>
      <c r="H164" s="3">
        <f t="shared" si="13"/>
        <v>11798.209999999963</v>
      </c>
      <c r="I164" s="3"/>
      <c r="J164" s="3"/>
      <c r="K164" s="3"/>
    </row>
    <row r="165" spans="1:11">
      <c r="A165" s="3">
        <v>42529</v>
      </c>
      <c r="B165" s="3">
        <v>235.52</v>
      </c>
      <c r="C165" s="4">
        <f t="shared" si="10"/>
        <v>1.6899999999999977</v>
      </c>
      <c r="D165" s="4">
        <f t="shared" si="11"/>
        <v>11.659999999999997</v>
      </c>
      <c r="E165" s="3">
        <f t="shared" si="12"/>
        <v>3.1800000000000068</v>
      </c>
      <c r="F165" s="3">
        <v>181.20999999996354</v>
      </c>
      <c r="G165" s="3">
        <v>11776</v>
      </c>
      <c r="H165" s="3">
        <f t="shared" si="13"/>
        <v>11957.209999999963</v>
      </c>
      <c r="I165" s="3"/>
      <c r="J165" s="3"/>
      <c r="K165" s="3"/>
    </row>
    <row r="166" spans="1:11">
      <c r="A166" s="3">
        <v>42530</v>
      </c>
      <c r="B166" s="3">
        <v>229.36</v>
      </c>
      <c r="C166" s="4">
        <f t="shared" si="10"/>
        <v>11.659999999999997</v>
      </c>
      <c r="D166" s="4">
        <f t="shared" si="11"/>
        <v>3.1800000000000068</v>
      </c>
      <c r="E166" s="3">
        <f t="shared" si="12"/>
        <v>-6.1599999999999966</v>
      </c>
      <c r="F166" s="3">
        <v>181.20999999996354</v>
      </c>
      <c r="G166" s="3">
        <v>11468</v>
      </c>
      <c r="H166" s="3">
        <f t="shared" si="13"/>
        <v>11649.209999999963</v>
      </c>
      <c r="I166" s="3"/>
      <c r="J166" s="3"/>
      <c r="K166" s="3"/>
    </row>
    <row r="167" spans="1:11">
      <c r="A167" s="3">
        <v>42531</v>
      </c>
      <c r="B167" s="3">
        <v>218.79</v>
      </c>
      <c r="C167" s="4">
        <f t="shared" si="10"/>
        <v>3.1800000000000068</v>
      </c>
      <c r="D167" s="4">
        <f t="shared" si="11"/>
        <v>-6.1599999999999966</v>
      </c>
      <c r="E167" s="3">
        <f t="shared" si="12"/>
        <v>-10.570000000000022</v>
      </c>
      <c r="F167" s="3">
        <v>11120.709999999963</v>
      </c>
      <c r="G167" s="3">
        <v>0</v>
      </c>
      <c r="H167" s="3">
        <f t="shared" si="13"/>
        <v>11120.709999999963</v>
      </c>
      <c r="I167" s="3"/>
      <c r="J167" s="3"/>
      <c r="K167" s="3"/>
    </row>
    <row r="168" spans="1:11">
      <c r="A168" s="3">
        <v>42534</v>
      </c>
      <c r="B168" s="3">
        <v>217.87</v>
      </c>
      <c r="C168" s="4">
        <f t="shared" si="10"/>
        <v>-6.1599999999999966</v>
      </c>
      <c r="D168" s="4">
        <f t="shared" si="11"/>
        <v>-10.570000000000022</v>
      </c>
      <c r="E168" s="3">
        <f t="shared" si="12"/>
        <v>-0.91999999999998749</v>
      </c>
      <c r="F168" s="3">
        <v>11120.709999999963</v>
      </c>
      <c r="G168" s="3">
        <v>0</v>
      </c>
      <c r="H168" s="3">
        <f t="shared" si="13"/>
        <v>11120.709999999963</v>
      </c>
      <c r="I168" s="3"/>
      <c r="J168" s="3"/>
      <c r="K168" s="3"/>
    </row>
    <row r="169" spans="1:11">
      <c r="A169" s="3">
        <v>42535</v>
      </c>
      <c r="B169" s="3">
        <v>214.96</v>
      </c>
      <c r="C169" s="4">
        <f t="shared" si="10"/>
        <v>-10.570000000000022</v>
      </c>
      <c r="D169" s="4">
        <f t="shared" si="11"/>
        <v>-0.91999999999998749</v>
      </c>
      <c r="E169" s="3">
        <f t="shared" si="12"/>
        <v>-2.9099999999999966</v>
      </c>
      <c r="F169" s="3">
        <v>11120.709999999963</v>
      </c>
      <c r="G169" s="3">
        <v>0</v>
      </c>
      <c r="H169" s="3">
        <f t="shared" si="13"/>
        <v>11120.709999999963</v>
      </c>
      <c r="I169" s="3"/>
      <c r="J169" s="3"/>
      <c r="K169" s="3"/>
    </row>
    <row r="170" spans="1:11">
      <c r="A170" s="3">
        <v>42536</v>
      </c>
      <c r="B170" s="3">
        <v>217.7</v>
      </c>
      <c r="C170" s="4">
        <f t="shared" si="10"/>
        <v>-0.91999999999998749</v>
      </c>
      <c r="D170" s="4">
        <f t="shared" si="11"/>
        <v>-2.9099999999999966</v>
      </c>
      <c r="E170" s="3">
        <f t="shared" si="12"/>
        <v>2.7399999999999807</v>
      </c>
      <c r="F170" s="3">
        <v>11120.709999999963</v>
      </c>
      <c r="G170" s="3">
        <v>0</v>
      </c>
      <c r="H170" s="3">
        <f t="shared" si="13"/>
        <v>11120.709999999963</v>
      </c>
      <c r="I170" s="3"/>
      <c r="J170" s="3"/>
      <c r="K170" s="3"/>
    </row>
    <row r="171" spans="1:11">
      <c r="A171" s="3">
        <v>42537</v>
      </c>
      <c r="B171" s="3">
        <v>217.93</v>
      </c>
      <c r="C171" s="4">
        <f t="shared" si="10"/>
        <v>-2.9099999999999966</v>
      </c>
      <c r="D171" s="4">
        <f t="shared" si="11"/>
        <v>2.7399999999999807</v>
      </c>
      <c r="E171" s="3">
        <f t="shared" si="12"/>
        <v>0.23000000000001819</v>
      </c>
      <c r="F171" s="3">
        <v>6.2799999999544411</v>
      </c>
      <c r="G171" s="3">
        <v>11114.43</v>
      </c>
      <c r="H171" s="3">
        <f t="shared" si="13"/>
        <v>11120.709999999955</v>
      </c>
      <c r="I171" s="3"/>
      <c r="J171" s="3"/>
      <c r="K171" s="3"/>
    </row>
    <row r="172" spans="1:11">
      <c r="A172" s="3">
        <v>42538</v>
      </c>
      <c r="B172" s="3">
        <v>215.47</v>
      </c>
      <c r="C172" s="4">
        <f t="shared" si="10"/>
        <v>2.7399999999999807</v>
      </c>
      <c r="D172" s="4">
        <f t="shared" si="11"/>
        <v>0.23000000000001819</v>
      </c>
      <c r="E172" s="3">
        <f t="shared" si="12"/>
        <v>-2.460000000000008</v>
      </c>
      <c r="F172" s="3">
        <v>6.2799999999544411</v>
      </c>
      <c r="G172" s="3">
        <v>10988.97</v>
      </c>
      <c r="H172" s="3">
        <f t="shared" si="13"/>
        <v>10995.249999999955</v>
      </c>
      <c r="I172" s="3"/>
      <c r="J172" s="3"/>
      <c r="K172" s="3"/>
    </row>
    <row r="173" spans="1:11">
      <c r="A173" s="3">
        <v>42541</v>
      </c>
      <c r="B173" s="3">
        <v>219.7</v>
      </c>
      <c r="C173" s="4">
        <f t="shared" si="10"/>
        <v>0.23000000000001819</v>
      </c>
      <c r="D173" s="4">
        <f t="shared" si="11"/>
        <v>-2.460000000000008</v>
      </c>
      <c r="E173" s="3">
        <f t="shared" si="12"/>
        <v>4.2299999999999898</v>
      </c>
      <c r="F173" s="3">
        <v>6.2799999999544411</v>
      </c>
      <c r="G173" s="3">
        <v>11204.699999999999</v>
      </c>
      <c r="H173" s="3">
        <f t="shared" si="13"/>
        <v>11210.979999999954</v>
      </c>
      <c r="I173" s="3"/>
      <c r="J173" s="3"/>
      <c r="K173" s="3"/>
    </row>
    <row r="174" spans="1:11">
      <c r="A174" s="3">
        <v>42542</v>
      </c>
      <c r="B174" s="3">
        <v>219.61</v>
      </c>
      <c r="C174" s="4">
        <f t="shared" si="10"/>
        <v>-2.460000000000008</v>
      </c>
      <c r="D174" s="4">
        <f t="shared" si="11"/>
        <v>4.2299999999999898</v>
      </c>
      <c r="E174" s="3">
        <f t="shared" si="12"/>
        <v>-8.9999999999974989E-2</v>
      </c>
      <c r="F174" s="3">
        <v>6.2799999999544411</v>
      </c>
      <c r="G174" s="3">
        <v>11200.11</v>
      </c>
      <c r="H174" s="3">
        <f t="shared" si="13"/>
        <v>11206.389999999956</v>
      </c>
      <c r="I174" s="3"/>
      <c r="J174" s="3"/>
      <c r="K174" s="3"/>
    </row>
    <row r="175" spans="1:11">
      <c r="A175" s="3">
        <v>42543</v>
      </c>
      <c r="B175" s="3">
        <v>196.66</v>
      </c>
      <c r="C175" s="4">
        <f t="shared" si="10"/>
        <v>4.2299999999999898</v>
      </c>
      <c r="D175" s="4">
        <f t="shared" si="11"/>
        <v>-8.9999999999974989E-2</v>
      </c>
      <c r="E175" s="3">
        <f t="shared" si="12"/>
        <v>-22.950000000000017</v>
      </c>
      <c r="F175" s="3">
        <v>10035.939999999955</v>
      </c>
      <c r="G175" s="3">
        <v>0</v>
      </c>
      <c r="H175" s="3">
        <f t="shared" si="13"/>
        <v>10035.939999999955</v>
      </c>
      <c r="I175" s="3"/>
      <c r="J175" s="3"/>
      <c r="K175" s="3"/>
    </row>
    <row r="176" spans="1:11">
      <c r="A176" s="3">
        <v>42544</v>
      </c>
      <c r="B176" s="3">
        <v>196.4</v>
      </c>
      <c r="C176" s="4">
        <f t="shared" si="10"/>
        <v>-8.9999999999974989E-2</v>
      </c>
      <c r="D176" s="4">
        <f t="shared" si="11"/>
        <v>-22.950000000000017</v>
      </c>
      <c r="E176" s="3">
        <f t="shared" si="12"/>
        <v>-0.25999999999999091</v>
      </c>
      <c r="F176" s="3">
        <v>10035.939999999955</v>
      </c>
      <c r="G176" s="3">
        <v>0</v>
      </c>
      <c r="H176" s="3">
        <f t="shared" si="13"/>
        <v>10035.939999999955</v>
      </c>
      <c r="I176" s="3"/>
      <c r="J176" s="3"/>
      <c r="K176" s="3"/>
    </row>
    <row r="177" spans="1:11">
      <c r="A177" s="3">
        <v>42545</v>
      </c>
      <c r="B177" s="3">
        <v>193.15</v>
      </c>
      <c r="C177" s="4">
        <f t="shared" si="10"/>
        <v>-22.950000000000017</v>
      </c>
      <c r="D177" s="4">
        <f t="shared" si="11"/>
        <v>-0.25999999999999091</v>
      </c>
      <c r="E177" s="3">
        <f t="shared" si="12"/>
        <v>-3.25</v>
      </c>
      <c r="F177" s="3">
        <v>10035.939999999955</v>
      </c>
      <c r="G177" s="3">
        <v>0</v>
      </c>
      <c r="H177" s="3">
        <f t="shared" si="13"/>
        <v>10035.939999999955</v>
      </c>
      <c r="I177" s="3"/>
      <c r="J177" s="3"/>
      <c r="K177" s="3"/>
    </row>
    <row r="178" spans="1:11">
      <c r="A178" s="3">
        <v>42548</v>
      </c>
      <c r="B178" s="3">
        <v>198.55</v>
      </c>
      <c r="C178" s="4">
        <f t="shared" si="10"/>
        <v>-0.25999999999999091</v>
      </c>
      <c r="D178" s="4">
        <f t="shared" si="11"/>
        <v>-3.25</v>
      </c>
      <c r="E178" s="3">
        <f t="shared" si="12"/>
        <v>5.4000000000000057</v>
      </c>
      <c r="F178" s="3">
        <v>10035.939999999955</v>
      </c>
      <c r="G178" s="3">
        <v>0</v>
      </c>
      <c r="H178" s="3">
        <f t="shared" si="13"/>
        <v>10035.939999999955</v>
      </c>
      <c r="I178" s="3"/>
      <c r="J178" s="3"/>
      <c r="K178" s="3"/>
    </row>
    <row r="179" spans="1:11">
      <c r="A179" s="3">
        <v>42549</v>
      </c>
      <c r="B179" s="3">
        <v>201.79</v>
      </c>
      <c r="C179" s="4">
        <f t="shared" si="10"/>
        <v>-3.25</v>
      </c>
      <c r="D179" s="4">
        <f t="shared" si="11"/>
        <v>5.4000000000000057</v>
      </c>
      <c r="E179" s="3">
        <f t="shared" si="12"/>
        <v>3.2399999999999807</v>
      </c>
      <c r="F179" s="3">
        <v>148.2299999999486</v>
      </c>
      <c r="G179" s="3">
        <v>9887.7099999999991</v>
      </c>
      <c r="H179" s="3">
        <f t="shared" si="13"/>
        <v>10035.939999999948</v>
      </c>
      <c r="I179" s="3"/>
      <c r="J179" s="3"/>
      <c r="K179" s="3"/>
    </row>
    <row r="180" spans="1:11">
      <c r="A180" s="3">
        <v>42550</v>
      </c>
      <c r="B180" s="3">
        <v>210.19</v>
      </c>
      <c r="C180" s="4">
        <f t="shared" si="10"/>
        <v>5.4000000000000057</v>
      </c>
      <c r="D180" s="4">
        <f t="shared" si="11"/>
        <v>3.2399999999999807</v>
      </c>
      <c r="E180" s="3">
        <f t="shared" si="12"/>
        <v>8.4000000000000057</v>
      </c>
      <c r="F180" s="3">
        <v>148.2299999999486</v>
      </c>
      <c r="G180" s="3">
        <v>10299.31</v>
      </c>
      <c r="H180" s="3">
        <f t="shared" si="13"/>
        <v>10447.539999999948</v>
      </c>
      <c r="I180" s="3"/>
      <c r="J180" s="3"/>
      <c r="K180" s="3"/>
    </row>
    <row r="181" spans="1:11">
      <c r="A181" s="3">
        <v>42551</v>
      </c>
      <c r="B181" s="3">
        <v>212.28</v>
      </c>
      <c r="C181" s="4">
        <f t="shared" si="10"/>
        <v>3.2399999999999807</v>
      </c>
      <c r="D181" s="4">
        <f t="shared" si="11"/>
        <v>8.4000000000000057</v>
      </c>
      <c r="E181" s="3">
        <f t="shared" si="12"/>
        <v>2.0900000000000034</v>
      </c>
      <c r="F181" s="3">
        <v>148.2299999999486</v>
      </c>
      <c r="G181" s="3">
        <v>10401.719999999999</v>
      </c>
      <c r="H181" s="3">
        <f t="shared" si="13"/>
        <v>10549.949999999948</v>
      </c>
      <c r="I181" s="3"/>
      <c r="J181" s="3"/>
      <c r="K181" s="3"/>
    </row>
    <row r="182" spans="1:11">
      <c r="A182" s="3">
        <v>42552</v>
      </c>
      <c r="B182" s="3">
        <v>216.5</v>
      </c>
      <c r="C182" s="4">
        <f t="shared" si="10"/>
        <v>8.4000000000000057</v>
      </c>
      <c r="D182" s="4">
        <f t="shared" si="11"/>
        <v>2.0900000000000034</v>
      </c>
      <c r="E182" s="3">
        <f t="shared" si="12"/>
        <v>4.2199999999999989</v>
      </c>
      <c r="F182" s="3">
        <v>148.2299999999486</v>
      </c>
      <c r="G182" s="3">
        <v>10608.5</v>
      </c>
      <c r="H182" s="3">
        <f t="shared" si="13"/>
        <v>10756.729999999949</v>
      </c>
      <c r="I182" s="3"/>
      <c r="J182" s="3"/>
      <c r="K182" s="3"/>
    </row>
    <row r="183" spans="1:11">
      <c r="A183" s="3">
        <v>42556</v>
      </c>
      <c r="B183" s="3">
        <v>213.98</v>
      </c>
      <c r="C183" s="4">
        <f t="shared" si="10"/>
        <v>2.0900000000000034</v>
      </c>
      <c r="D183" s="4">
        <f t="shared" si="11"/>
        <v>4.2199999999999989</v>
      </c>
      <c r="E183" s="3">
        <f t="shared" si="12"/>
        <v>-2.5200000000000102</v>
      </c>
      <c r="F183" s="3">
        <v>148.2299999999486</v>
      </c>
      <c r="G183" s="3">
        <v>10485.019999999999</v>
      </c>
      <c r="H183" s="3">
        <f t="shared" si="13"/>
        <v>10633.249999999947</v>
      </c>
      <c r="I183" s="3"/>
      <c r="J183" s="3"/>
      <c r="K183" s="3"/>
    </row>
    <row r="184" spans="1:11">
      <c r="A184" s="3">
        <v>42557</v>
      </c>
      <c r="B184" s="3">
        <v>214.44</v>
      </c>
      <c r="C184" s="4">
        <f t="shared" si="10"/>
        <v>4.2199999999999989</v>
      </c>
      <c r="D184" s="4">
        <f t="shared" si="11"/>
        <v>-2.5200000000000102</v>
      </c>
      <c r="E184" s="3">
        <f t="shared" si="12"/>
        <v>0.46000000000000796</v>
      </c>
      <c r="F184" s="3">
        <v>148.2299999999486</v>
      </c>
      <c r="G184" s="3">
        <v>10507.56</v>
      </c>
      <c r="H184" s="3">
        <f t="shared" si="13"/>
        <v>10655.789999999948</v>
      </c>
      <c r="I184" s="3"/>
      <c r="J184" s="3"/>
      <c r="K184" s="3"/>
    </row>
    <row r="185" spans="1:11">
      <c r="A185" s="3">
        <v>42558</v>
      </c>
      <c r="B185" s="3">
        <v>215.94</v>
      </c>
      <c r="C185" s="4">
        <f t="shared" si="10"/>
        <v>-2.5200000000000102</v>
      </c>
      <c r="D185" s="4">
        <f t="shared" si="11"/>
        <v>0.46000000000000796</v>
      </c>
      <c r="E185" s="3">
        <f t="shared" si="12"/>
        <v>1.5</v>
      </c>
      <c r="F185" s="3">
        <v>148.2299999999486</v>
      </c>
      <c r="G185" s="3">
        <v>10581.06</v>
      </c>
      <c r="H185" s="3">
        <f t="shared" si="13"/>
        <v>10729.289999999948</v>
      </c>
      <c r="I185" s="3"/>
      <c r="J185" s="3"/>
      <c r="K185" s="3"/>
    </row>
    <row r="186" spans="1:11">
      <c r="A186" s="3">
        <v>42559</v>
      </c>
      <c r="B186" s="3">
        <v>216.78</v>
      </c>
      <c r="C186" s="4">
        <f t="shared" si="10"/>
        <v>0.46000000000000796</v>
      </c>
      <c r="D186" s="4">
        <f t="shared" si="11"/>
        <v>1.5</v>
      </c>
      <c r="E186" s="3">
        <f t="shared" si="12"/>
        <v>0.84000000000000341</v>
      </c>
      <c r="F186" s="3">
        <v>148.2299999999486</v>
      </c>
      <c r="G186" s="3">
        <v>10622.22</v>
      </c>
      <c r="H186" s="3">
        <f t="shared" si="13"/>
        <v>10770.449999999948</v>
      </c>
      <c r="I186" s="3"/>
      <c r="J186" s="3"/>
      <c r="K186" s="3"/>
    </row>
    <row r="187" spans="1:11">
      <c r="A187" s="3">
        <v>42562</v>
      </c>
      <c r="B187" s="3">
        <v>224.78</v>
      </c>
      <c r="C187" s="4">
        <f t="shared" si="10"/>
        <v>1.5</v>
      </c>
      <c r="D187" s="4">
        <f t="shared" si="11"/>
        <v>0.84000000000000341</v>
      </c>
      <c r="E187" s="3">
        <f t="shared" si="12"/>
        <v>8</v>
      </c>
      <c r="F187" s="3">
        <v>148.2299999999486</v>
      </c>
      <c r="G187" s="3">
        <v>11014.22</v>
      </c>
      <c r="H187" s="3">
        <f t="shared" si="13"/>
        <v>11162.449999999948</v>
      </c>
      <c r="I187" s="3"/>
      <c r="J187" s="3"/>
      <c r="K187" s="3"/>
    </row>
    <row r="188" spans="1:11">
      <c r="A188" s="3">
        <v>42563</v>
      </c>
      <c r="B188" s="3">
        <v>224.65</v>
      </c>
      <c r="C188" s="4">
        <f t="shared" si="10"/>
        <v>0.84000000000000341</v>
      </c>
      <c r="D188" s="4">
        <f t="shared" si="11"/>
        <v>8</v>
      </c>
      <c r="E188" s="3">
        <f t="shared" si="12"/>
        <v>-0.12999999999999545</v>
      </c>
      <c r="F188" s="3">
        <v>148.2299999999486</v>
      </c>
      <c r="G188" s="3">
        <v>11007.85</v>
      </c>
      <c r="H188" s="3">
        <f t="shared" si="13"/>
        <v>11156.079999999949</v>
      </c>
      <c r="I188" s="3"/>
      <c r="J188" s="3"/>
      <c r="K188" s="3"/>
    </row>
    <row r="189" spans="1:11">
      <c r="A189" s="3">
        <v>42564</v>
      </c>
      <c r="B189" s="3">
        <v>222.53</v>
      </c>
      <c r="C189" s="4">
        <f t="shared" si="10"/>
        <v>8</v>
      </c>
      <c r="D189" s="4">
        <f t="shared" si="11"/>
        <v>-0.12999999999999545</v>
      </c>
      <c r="E189" s="3">
        <f t="shared" si="12"/>
        <v>-2.1200000000000045</v>
      </c>
      <c r="F189" s="3">
        <v>11052.199999999948</v>
      </c>
      <c r="G189" s="3">
        <v>0</v>
      </c>
      <c r="H189" s="3">
        <f t="shared" si="13"/>
        <v>11052.199999999948</v>
      </c>
      <c r="I189" s="3"/>
      <c r="J189" s="3"/>
      <c r="K189" s="3"/>
    </row>
    <row r="190" spans="1:11">
      <c r="A190" s="3">
        <v>42565</v>
      </c>
      <c r="B190" s="3">
        <v>221.53</v>
      </c>
      <c r="C190" s="4">
        <f t="shared" si="10"/>
        <v>-0.12999999999999545</v>
      </c>
      <c r="D190" s="4">
        <f t="shared" si="11"/>
        <v>-2.1200000000000045</v>
      </c>
      <c r="E190" s="3">
        <f t="shared" si="12"/>
        <v>-1</v>
      </c>
      <c r="F190" s="3">
        <v>11052.199999999948</v>
      </c>
      <c r="G190" s="3">
        <v>0</v>
      </c>
      <c r="H190" s="3">
        <f t="shared" si="13"/>
        <v>11052.199999999948</v>
      </c>
      <c r="I190" s="3"/>
      <c r="J190" s="3"/>
      <c r="K190" s="3"/>
    </row>
    <row r="191" spans="1:11">
      <c r="A191" s="3">
        <v>42566</v>
      </c>
      <c r="B191" s="3">
        <v>220.4</v>
      </c>
      <c r="C191" s="4">
        <f t="shared" si="10"/>
        <v>-2.1200000000000045</v>
      </c>
      <c r="D191" s="4">
        <f t="shared" si="11"/>
        <v>-1</v>
      </c>
      <c r="E191" s="3">
        <f t="shared" si="12"/>
        <v>-1.1299999999999955</v>
      </c>
      <c r="F191" s="3">
        <v>11052.199999999948</v>
      </c>
      <c r="G191" s="3">
        <v>0</v>
      </c>
      <c r="H191" s="3">
        <f t="shared" si="13"/>
        <v>11052.199999999948</v>
      </c>
      <c r="I191" s="3"/>
      <c r="J191" s="3"/>
      <c r="K191" s="3"/>
    </row>
    <row r="192" spans="1:11">
      <c r="A192" s="3">
        <v>42569</v>
      </c>
      <c r="B192" s="3">
        <v>226.25</v>
      </c>
      <c r="C192" s="4">
        <f t="shared" si="10"/>
        <v>-1</v>
      </c>
      <c r="D192" s="4">
        <f t="shared" si="11"/>
        <v>-1.1299999999999955</v>
      </c>
      <c r="E192" s="3">
        <f t="shared" si="12"/>
        <v>5.8499999999999943</v>
      </c>
      <c r="F192" s="3">
        <v>11052.199999999948</v>
      </c>
      <c r="G192" s="3">
        <v>0</v>
      </c>
      <c r="H192" s="3">
        <f t="shared" si="13"/>
        <v>11052.199999999948</v>
      </c>
      <c r="I192" s="3"/>
      <c r="J192" s="3"/>
      <c r="K192" s="3"/>
    </row>
    <row r="193" spans="1:11">
      <c r="A193" s="3">
        <v>42570</v>
      </c>
      <c r="B193" s="3">
        <v>225.26</v>
      </c>
      <c r="C193" s="4">
        <f t="shared" si="10"/>
        <v>-1.1299999999999955</v>
      </c>
      <c r="D193" s="4">
        <f t="shared" si="11"/>
        <v>5.8499999999999943</v>
      </c>
      <c r="E193" s="3">
        <f t="shared" si="12"/>
        <v>-0.99000000000000909</v>
      </c>
      <c r="F193" s="3">
        <v>11052.199999999948</v>
      </c>
      <c r="G193" s="3">
        <v>0</v>
      </c>
      <c r="H193" s="3">
        <f t="shared" si="13"/>
        <v>11052.199999999948</v>
      </c>
      <c r="I193" s="3"/>
      <c r="J193" s="3"/>
      <c r="K193" s="3"/>
    </row>
    <row r="194" spans="1:11">
      <c r="A194" s="3">
        <v>42571</v>
      </c>
      <c r="B194" s="3">
        <v>228.36</v>
      </c>
      <c r="C194" s="4">
        <f t="shared" si="10"/>
        <v>5.8499999999999943</v>
      </c>
      <c r="D194" s="4">
        <f t="shared" si="11"/>
        <v>-0.99000000000000909</v>
      </c>
      <c r="E194" s="3">
        <f t="shared" si="12"/>
        <v>3.1000000000000227</v>
      </c>
      <c r="F194" s="3">
        <v>11052.199999999948</v>
      </c>
      <c r="G194" s="3">
        <v>0</v>
      </c>
      <c r="H194" s="3">
        <f t="shared" si="13"/>
        <v>11052.199999999948</v>
      </c>
      <c r="I194" s="3"/>
      <c r="J194" s="3"/>
      <c r="K194" s="3"/>
    </row>
    <row r="195" spans="1:11">
      <c r="A195" s="3">
        <v>42572</v>
      </c>
      <c r="B195" s="3">
        <v>220.5</v>
      </c>
      <c r="C195" s="4">
        <f t="shared" si="10"/>
        <v>-0.99000000000000909</v>
      </c>
      <c r="D195" s="4">
        <f t="shared" si="11"/>
        <v>3.1000000000000227</v>
      </c>
      <c r="E195" s="3">
        <f t="shared" si="12"/>
        <v>-7.8600000000000136</v>
      </c>
      <c r="F195" s="3">
        <v>11052.199999999948</v>
      </c>
      <c r="G195" s="3">
        <v>0</v>
      </c>
      <c r="H195" s="3">
        <f t="shared" si="13"/>
        <v>11052.199999999948</v>
      </c>
      <c r="I195" s="3"/>
      <c r="J195" s="3"/>
      <c r="K195" s="3"/>
    </row>
    <row r="196" spans="1:11">
      <c r="A196" s="3">
        <v>42573</v>
      </c>
      <c r="B196" s="3">
        <v>222.27</v>
      </c>
      <c r="C196" s="4">
        <f t="shared" si="10"/>
        <v>3.1000000000000227</v>
      </c>
      <c r="D196" s="4">
        <f t="shared" si="11"/>
        <v>-7.8600000000000136</v>
      </c>
      <c r="E196" s="3">
        <f t="shared" si="12"/>
        <v>1.7700000000000102</v>
      </c>
      <c r="F196" s="3">
        <v>11052.199999999948</v>
      </c>
      <c r="G196" s="3">
        <v>0</v>
      </c>
      <c r="H196" s="3">
        <f t="shared" si="13"/>
        <v>11052.199999999948</v>
      </c>
      <c r="I196" s="3"/>
      <c r="J196" s="3"/>
      <c r="K196" s="3"/>
    </row>
    <row r="197" spans="1:11">
      <c r="A197" s="3">
        <v>42576</v>
      </c>
      <c r="B197" s="3">
        <v>230.01</v>
      </c>
      <c r="C197" s="4">
        <f t="shared" si="10"/>
        <v>-7.8600000000000136</v>
      </c>
      <c r="D197" s="4">
        <f t="shared" si="11"/>
        <v>1.7700000000000102</v>
      </c>
      <c r="E197" s="3">
        <f t="shared" si="12"/>
        <v>7.7399999999999807</v>
      </c>
      <c r="F197" s="3">
        <v>11.719999999939546</v>
      </c>
      <c r="G197" s="3">
        <v>11040.48</v>
      </c>
      <c r="H197" s="3">
        <f t="shared" si="13"/>
        <v>11052.199999999939</v>
      </c>
      <c r="I197" s="3"/>
      <c r="J197" s="3"/>
      <c r="K197" s="3"/>
    </row>
    <row r="198" spans="1:11">
      <c r="A198" s="3">
        <v>42577</v>
      </c>
      <c r="B198" s="3">
        <v>229.51</v>
      </c>
      <c r="C198" s="4">
        <f t="shared" si="10"/>
        <v>1.7700000000000102</v>
      </c>
      <c r="D198" s="4">
        <f t="shared" si="11"/>
        <v>7.7399999999999807</v>
      </c>
      <c r="E198" s="3">
        <f t="shared" si="12"/>
        <v>-0.5</v>
      </c>
      <c r="F198" s="3">
        <v>11.719999999939546</v>
      </c>
      <c r="G198" s="3">
        <v>11016.48</v>
      </c>
      <c r="H198" s="3">
        <f t="shared" si="13"/>
        <v>11028.199999999939</v>
      </c>
      <c r="I198" s="3"/>
      <c r="J198" s="3"/>
      <c r="K198" s="3"/>
    </row>
    <row r="199" spans="1:11">
      <c r="A199" s="3">
        <v>42578</v>
      </c>
      <c r="B199" s="3">
        <v>228.49</v>
      </c>
      <c r="C199" s="4">
        <f t="shared" si="10"/>
        <v>7.7399999999999807</v>
      </c>
      <c r="D199" s="4">
        <f t="shared" si="11"/>
        <v>-0.5</v>
      </c>
      <c r="E199" s="3">
        <f t="shared" si="12"/>
        <v>-1.0199999999999818</v>
      </c>
      <c r="F199" s="3">
        <v>10979.23999999994</v>
      </c>
      <c r="G199" s="3">
        <v>0</v>
      </c>
      <c r="H199" s="3">
        <f t="shared" si="13"/>
        <v>10979.23999999994</v>
      </c>
      <c r="I199" s="3"/>
      <c r="J199" s="3"/>
      <c r="K199" s="3"/>
    </row>
    <row r="200" spans="1:11">
      <c r="A200" s="3">
        <v>42579</v>
      </c>
      <c r="B200" s="3">
        <v>230.61</v>
      </c>
      <c r="C200" s="4">
        <f t="shared" si="10"/>
        <v>-0.5</v>
      </c>
      <c r="D200" s="4">
        <f t="shared" si="11"/>
        <v>-1.0199999999999818</v>
      </c>
      <c r="E200" s="3">
        <f t="shared" si="12"/>
        <v>2.1200000000000045</v>
      </c>
      <c r="F200" s="3">
        <v>10979.23999999994</v>
      </c>
      <c r="G200" s="3">
        <v>0</v>
      </c>
      <c r="H200" s="3">
        <f t="shared" si="13"/>
        <v>10979.23999999994</v>
      </c>
      <c r="I200" s="3"/>
      <c r="J200" s="3"/>
      <c r="K200" s="3"/>
    </row>
    <row r="201" spans="1:11">
      <c r="A201" s="3">
        <v>42580</v>
      </c>
      <c r="B201" s="3">
        <v>234.79</v>
      </c>
      <c r="C201" s="4">
        <f t="shared" si="10"/>
        <v>-1.0199999999999818</v>
      </c>
      <c r="D201" s="4">
        <f t="shared" si="11"/>
        <v>2.1200000000000045</v>
      </c>
      <c r="E201" s="3">
        <f t="shared" si="12"/>
        <v>4.1799999999999784</v>
      </c>
      <c r="F201" s="3">
        <v>178.8999999999314</v>
      </c>
      <c r="G201" s="3">
        <v>10800.34</v>
      </c>
      <c r="H201" s="3">
        <f t="shared" si="13"/>
        <v>10979.239999999931</v>
      </c>
      <c r="I201" s="3"/>
      <c r="J201" s="3"/>
      <c r="K201" s="3"/>
    </row>
    <row r="202" spans="1:11">
      <c r="A202" s="3">
        <v>42583</v>
      </c>
      <c r="B202" s="3">
        <v>230.01</v>
      </c>
      <c r="C202" s="4">
        <f t="shared" si="10"/>
        <v>2.1200000000000045</v>
      </c>
      <c r="D202" s="4">
        <f t="shared" si="11"/>
        <v>4.1799999999999784</v>
      </c>
      <c r="E202" s="3">
        <f t="shared" si="12"/>
        <v>-4.7800000000000011</v>
      </c>
      <c r="F202" s="3">
        <v>178.8999999999314</v>
      </c>
      <c r="G202" s="3">
        <v>10580.46</v>
      </c>
      <c r="H202" s="3">
        <f t="shared" si="13"/>
        <v>10759.35999999993</v>
      </c>
      <c r="I202" s="3"/>
      <c r="J202" s="3"/>
      <c r="K202" s="3"/>
    </row>
    <row r="203" spans="1:11">
      <c r="A203" s="3">
        <v>42584</v>
      </c>
      <c r="B203" s="3">
        <v>227.2</v>
      </c>
      <c r="C203" s="4">
        <f t="shared" si="10"/>
        <v>4.1799999999999784</v>
      </c>
      <c r="D203" s="4">
        <f t="shared" si="11"/>
        <v>-4.7800000000000011</v>
      </c>
      <c r="E203" s="3">
        <f t="shared" si="12"/>
        <v>-2.8100000000000023</v>
      </c>
      <c r="F203" s="3">
        <v>10630.099999999929</v>
      </c>
      <c r="G203" s="3">
        <v>0</v>
      </c>
      <c r="H203" s="3">
        <f t="shared" si="13"/>
        <v>10630.099999999929</v>
      </c>
      <c r="I203" s="3"/>
      <c r="J203" s="3"/>
      <c r="K203" s="3"/>
    </row>
    <row r="204" spans="1:11">
      <c r="A204" s="3">
        <v>42585</v>
      </c>
      <c r="B204" s="3">
        <v>225.79</v>
      </c>
      <c r="C204" s="4">
        <f t="shared" si="10"/>
        <v>-4.7800000000000011</v>
      </c>
      <c r="D204" s="4">
        <f t="shared" si="11"/>
        <v>-2.8100000000000023</v>
      </c>
      <c r="E204" s="3">
        <f t="shared" si="12"/>
        <v>-1.4099999999999966</v>
      </c>
      <c r="F204" s="3">
        <v>10630.099999999929</v>
      </c>
      <c r="G204" s="3">
        <v>0</v>
      </c>
      <c r="H204" s="3">
        <f t="shared" si="13"/>
        <v>10630.099999999929</v>
      </c>
      <c r="I204" s="3"/>
      <c r="J204" s="3"/>
      <c r="K204" s="3"/>
    </row>
    <row r="205" spans="1:11">
      <c r="A205" s="3">
        <v>42586</v>
      </c>
      <c r="B205" s="3">
        <v>230.61</v>
      </c>
      <c r="C205" s="4">
        <f t="shared" ref="C205:C268" si="14">B203-B202</f>
        <v>-2.8100000000000023</v>
      </c>
      <c r="D205" s="4">
        <f t="shared" ref="D205:D268" si="15">B204-B203</f>
        <v>-1.4099999999999966</v>
      </c>
      <c r="E205" s="3">
        <f t="shared" ref="E205:E268" si="16">B205-B204</f>
        <v>4.8200000000000216</v>
      </c>
      <c r="F205" s="3">
        <v>10630.099999999929</v>
      </c>
      <c r="G205" s="3">
        <v>0</v>
      </c>
      <c r="H205" s="3">
        <f t="shared" si="13"/>
        <v>10630.099999999929</v>
      </c>
      <c r="I205" s="3"/>
      <c r="J205" s="3"/>
      <c r="K205" s="3"/>
    </row>
    <row r="206" spans="1:11">
      <c r="A206" s="3">
        <v>42587</v>
      </c>
      <c r="B206" s="3">
        <v>230.03</v>
      </c>
      <c r="C206" s="4">
        <f t="shared" si="14"/>
        <v>-1.4099999999999966</v>
      </c>
      <c r="D206" s="4">
        <f t="shared" si="15"/>
        <v>4.8200000000000216</v>
      </c>
      <c r="E206" s="3">
        <f t="shared" si="16"/>
        <v>-0.58000000000001251</v>
      </c>
      <c r="F206" s="3">
        <v>10630.099999999929</v>
      </c>
      <c r="G206" s="3">
        <v>0</v>
      </c>
      <c r="H206" s="3">
        <f t="shared" si="13"/>
        <v>10630.099999999929</v>
      </c>
      <c r="I206" s="3"/>
      <c r="J206" s="3"/>
      <c r="K206" s="3"/>
    </row>
    <row r="207" spans="1:11">
      <c r="A207" s="3">
        <v>42590</v>
      </c>
      <c r="B207" s="3">
        <v>226.16</v>
      </c>
      <c r="C207" s="4">
        <f t="shared" si="14"/>
        <v>4.8200000000000216</v>
      </c>
      <c r="D207" s="4">
        <f t="shared" si="15"/>
        <v>-0.58000000000001251</v>
      </c>
      <c r="E207" s="3">
        <f t="shared" si="16"/>
        <v>-3.8700000000000045</v>
      </c>
      <c r="F207" s="3">
        <v>10630.099999999929</v>
      </c>
      <c r="G207" s="3">
        <v>0</v>
      </c>
      <c r="H207" s="3">
        <f t="shared" si="13"/>
        <v>10630.099999999929</v>
      </c>
      <c r="I207" s="3"/>
      <c r="J207" s="3"/>
      <c r="K207" s="3"/>
    </row>
    <row r="208" spans="1:11">
      <c r="A208" s="3">
        <v>42591</v>
      </c>
      <c r="B208" s="3">
        <v>229.08</v>
      </c>
      <c r="C208" s="4">
        <f t="shared" si="14"/>
        <v>-0.58000000000001251</v>
      </c>
      <c r="D208" s="4">
        <f t="shared" si="15"/>
        <v>-3.8700000000000045</v>
      </c>
      <c r="E208" s="3">
        <f t="shared" si="16"/>
        <v>2.9200000000000159</v>
      </c>
      <c r="F208" s="3">
        <v>10630.099999999929</v>
      </c>
      <c r="G208" s="3">
        <v>0</v>
      </c>
      <c r="H208" s="3">
        <f t="shared" si="13"/>
        <v>10630.099999999929</v>
      </c>
      <c r="I208" s="3"/>
      <c r="J208" s="3"/>
      <c r="K208" s="3"/>
    </row>
    <row r="209" spans="1:11">
      <c r="A209" s="3">
        <v>42592</v>
      </c>
      <c r="B209" s="3">
        <v>225.65</v>
      </c>
      <c r="C209" s="4">
        <f t="shared" si="14"/>
        <v>-3.8700000000000045</v>
      </c>
      <c r="D209" s="4">
        <f t="shared" si="15"/>
        <v>2.9200000000000159</v>
      </c>
      <c r="E209" s="3">
        <f t="shared" si="16"/>
        <v>-3.4300000000000068</v>
      </c>
      <c r="F209" s="3">
        <v>10630.099999999929</v>
      </c>
      <c r="G209" s="3">
        <v>0</v>
      </c>
      <c r="H209" s="3">
        <f t="shared" si="13"/>
        <v>10630.099999999929</v>
      </c>
      <c r="I209" s="3"/>
      <c r="J209" s="3"/>
      <c r="K209" s="3"/>
    </row>
    <row r="210" spans="1:11">
      <c r="A210" s="3">
        <v>42593</v>
      </c>
      <c r="B210" s="3">
        <v>224.91</v>
      </c>
      <c r="C210" s="4">
        <f t="shared" si="14"/>
        <v>2.9200000000000159</v>
      </c>
      <c r="D210" s="4">
        <f t="shared" si="15"/>
        <v>-3.4300000000000068</v>
      </c>
      <c r="E210" s="3">
        <f t="shared" si="16"/>
        <v>-0.74000000000000909</v>
      </c>
      <c r="F210" s="3">
        <v>10630.099999999929</v>
      </c>
      <c r="G210" s="3">
        <v>0</v>
      </c>
      <c r="H210" s="3">
        <f t="shared" si="13"/>
        <v>10630.099999999929</v>
      </c>
      <c r="I210" s="3"/>
      <c r="J210" s="3"/>
      <c r="K210" s="3"/>
    </row>
    <row r="211" spans="1:11">
      <c r="A211" s="3">
        <v>42594</v>
      </c>
      <c r="B211" s="3">
        <v>225.61</v>
      </c>
      <c r="C211" s="4">
        <f t="shared" si="14"/>
        <v>-3.4300000000000068</v>
      </c>
      <c r="D211" s="4">
        <f t="shared" si="15"/>
        <v>-0.74000000000000909</v>
      </c>
      <c r="E211" s="3">
        <f t="shared" si="16"/>
        <v>0.70000000000001705</v>
      </c>
      <c r="F211" s="3">
        <v>10630.099999999929</v>
      </c>
      <c r="G211" s="3">
        <v>0</v>
      </c>
      <c r="H211" s="3">
        <f t="shared" si="13"/>
        <v>10630.099999999929</v>
      </c>
      <c r="I211" s="3"/>
      <c r="J211" s="3"/>
      <c r="K211" s="3"/>
    </row>
    <row r="212" spans="1:11">
      <c r="A212" s="3">
        <v>42597</v>
      </c>
      <c r="B212" s="3">
        <v>225.59</v>
      </c>
      <c r="C212" s="4">
        <f t="shared" si="14"/>
        <v>-0.74000000000000909</v>
      </c>
      <c r="D212" s="4">
        <f t="shared" si="15"/>
        <v>0.70000000000001705</v>
      </c>
      <c r="E212" s="3">
        <f t="shared" si="16"/>
        <v>-2.0000000000010232E-2</v>
      </c>
      <c r="F212" s="3">
        <v>10630.099999999929</v>
      </c>
      <c r="G212" s="3">
        <v>0</v>
      </c>
      <c r="H212" s="3">
        <f t="shared" si="13"/>
        <v>10630.099999999929</v>
      </c>
      <c r="I212" s="3"/>
      <c r="J212" s="3"/>
      <c r="K212" s="3"/>
    </row>
    <row r="213" spans="1:11">
      <c r="A213" s="3">
        <v>42598</v>
      </c>
      <c r="B213" s="3">
        <v>223.61</v>
      </c>
      <c r="C213" s="4">
        <f t="shared" si="14"/>
        <v>0.70000000000001705</v>
      </c>
      <c r="D213" s="4">
        <f t="shared" si="15"/>
        <v>-2.0000000000010232E-2</v>
      </c>
      <c r="E213" s="3">
        <f t="shared" si="16"/>
        <v>-1.9799999999999898</v>
      </c>
      <c r="F213" s="3">
        <v>10630.099999999929</v>
      </c>
      <c r="G213" s="3">
        <v>0</v>
      </c>
      <c r="H213" s="3">
        <f t="shared" si="13"/>
        <v>10630.099999999929</v>
      </c>
      <c r="I213" s="3"/>
      <c r="J213" s="3"/>
      <c r="K213" s="3"/>
    </row>
    <row r="214" spans="1:11">
      <c r="A214" s="3">
        <v>42599</v>
      </c>
      <c r="B214" s="3">
        <v>223.24</v>
      </c>
      <c r="C214" s="4">
        <f t="shared" si="14"/>
        <v>-2.0000000000010232E-2</v>
      </c>
      <c r="D214" s="4">
        <f t="shared" si="15"/>
        <v>-1.9799999999999898</v>
      </c>
      <c r="E214" s="3">
        <f t="shared" si="16"/>
        <v>-0.37000000000000455</v>
      </c>
      <c r="F214" s="3">
        <v>10630.099999999929</v>
      </c>
      <c r="G214" s="3">
        <v>0</v>
      </c>
      <c r="H214" s="3">
        <f t="shared" ref="H214:H277" si="17">G214+F214</f>
        <v>10630.099999999929</v>
      </c>
      <c r="I214" s="3"/>
      <c r="J214" s="3"/>
      <c r="K214" s="3"/>
    </row>
    <row r="215" spans="1:11">
      <c r="A215" s="3">
        <v>42600</v>
      </c>
      <c r="B215" s="3">
        <v>223.51</v>
      </c>
      <c r="C215" s="4">
        <f t="shared" si="14"/>
        <v>-1.9799999999999898</v>
      </c>
      <c r="D215" s="4">
        <f t="shared" si="15"/>
        <v>-0.37000000000000455</v>
      </c>
      <c r="E215" s="3">
        <f t="shared" si="16"/>
        <v>0.26999999999998181</v>
      </c>
      <c r="F215" s="3">
        <v>10630.099999999929</v>
      </c>
      <c r="G215" s="3">
        <v>0</v>
      </c>
      <c r="H215" s="3">
        <f t="shared" si="17"/>
        <v>10630.099999999929</v>
      </c>
      <c r="I215" s="3"/>
      <c r="J215" s="3"/>
      <c r="K215" s="3"/>
    </row>
    <row r="216" spans="1:11">
      <c r="A216" s="3">
        <v>42601</v>
      </c>
      <c r="B216" s="3">
        <v>225</v>
      </c>
      <c r="C216" s="4">
        <f t="shared" si="14"/>
        <v>-0.37000000000000455</v>
      </c>
      <c r="D216" s="4">
        <f t="shared" si="15"/>
        <v>0.26999999999998181</v>
      </c>
      <c r="E216" s="3">
        <f t="shared" si="16"/>
        <v>1.4900000000000091</v>
      </c>
      <c r="F216" s="3">
        <v>55.099999999929423</v>
      </c>
      <c r="G216" s="3">
        <v>10575</v>
      </c>
      <c r="H216" s="3">
        <f t="shared" si="17"/>
        <v>10630.099999999929</v>
      </c>
      <c r="I216" s="3"/>
      <c r="J216" s="3"/>
      <c r="K216" s="3"/>
    </row>
    <row r="217" spans="1:11">
      <c r="A217" s="3">
        <v>42604</v>
      </c>
      <c r="B217" s="3">
        <v>222.93</v>
      </c>
      <c r="C217" s="4">
        <f t="shared" si="14"/>
        <v>0.26999999999998181</v>
      </c>
      <c r="D217" s="4">
        <f t="shared" si="15"/>
        <v>1.4900000000000091</v>
      </c>
      <c r="E217" s="3">
        <f t="shared" si="16"/>
        <v>-2.0699999999999932</v>
      </c>
      <c r="F217" s="3">
        <v>55.099999999929423</v>
      </c>
      <c r="G217" s="3">
        <v>10477.710000000001</v>
      </c>
      <c r="H217" s="3">
        <f t="shared" si="17"/>
        <v>10532.80999999993</v>
      </c>
      <c r="I217" s="3"/>
      <c r="J217" s="3"/>
      <c r="K217" s="3"/>
    </row>
    <row r="218" spans="1:11">
      <c r="A218" s="3">
        <v>42605</v>
      </c>
      <c r="B218" s="3">
        <v>224.84</v>
      </c>
      <c r="C218" s="4">
        <f t="shared" si="14"/>
        <v>1.4900000000000091</v>
      </c>
      <c r="D218" s="4">
        <f t="shared" si="15"/>
        <v>-2.0699999999999932</v>
      </c>
      <c r="E218" s="3">
        <f t="shared" si="16"/>
        <v>1.9099999999999966</v>
      </c>
      <c r="F218" s="3">
        <v>55.099999999929423</v>
      </c>
      <c r="G218" s="3">
        <v>10567.48</v>
      </c>
      <c r="H218" s="3">
        <f t="shared" si="17"/>
        <v>10622.579999999929</v>
      </c>
      <c r="I218" s="3"/>
      <c r="J218" s="3"/>
      <c r="K218" s="3"/>
    </row>
    <row r="219" spans="1:11">
      <c r="A219" s="3">
        <v>42606</v>
      </c>
      <c r="B219" s="3">
        <v>222.62</v>
      </c>
      <c r="C219" s="4">
        <f t="shared" si="14"/>
        <v>-2.0699999999999932</v>
      </c>
      <c r="D219" s="4">
        <f t="shared" si="15"/>
        <v>1.9099999999999966</v>
      </c>
      <c r="E219" s="3">
        <f t="shared" si="16"/>
        <v>-2.2199999999999989</v>
      </c>
      <c r="F219" s="3">
        <v>55.099999999929423</v>
      </c>
      <c r="G219" s="3">
        <v>10463.14</v>
      </c>
      <c r="H219" s="3">
        <f t="shared" si="17"/>
        <v>10518.239999999929</v>
      </c>
      <c r="I219" s="3"/>
      <c r="J219" s="3"/>
      <c r="K219" s="3"/>
    </row>
    <row r="220" spans="1:11">
      <c r="A220" s="3">
        <v>42607</v>
      </c>
      <c r="B220" s="3">
        <v>220.96</v>
      </c>
      <c r="C220" s="4">
        <f t="shared" si="14"/>
        <v>1.9099999999999966</v>
      </c>
      <c r="D220" s="4">
        <f t="shared" si="15"/>
        <v>-2.2199999999999989</v>
      </c>
      <c r="E220" s="3">
        <f t="shared" si="16"/>
        <v>-1.6599999999999966</v>
      </c>
      <c r="F220" s="3">
        <v>10440.21999999993</v>
      </c>
      <c r="G220" s="3">
        <v>0</v>
      </c>
      <c r="H220" s="3">
        <f t="shared" si="17"/>
        <v>10440.21999999993</v>
      </c>
      <c r="I220" s="3"/>
      <c r="J220" s="3"/>
      <c r="K220" s="3"/>
    </row>
    <row r="221" spans="1:11">
      <c r="A221" s="3">
        <v>42608</v>
      </c>
      <c r="B221" s="3">
        <v>219.99</v>
      </c>
      <c r="C221" s="4">
        <f t="shared" si="14"/>
        <v>-2.2199999999999989</v>
      </c>
      <c r="D221" s="4">
        <f t="shared" si="15"/>
        <v>-1.6599999999999966</v>
      </c>
      <c r="E221" s="3">
        <f t="shared" si="16"/>
        <v>-0.96999999999999886</v>
      </c>
      <c r="F221" s="3">
        <v>10440.21999999993</v>
      </c>
      <c r="G221" s="3">
        <v>0</v>
      </c>
      <c r="H221" s="3">
        <f t="shared" si="17"/>
        <v>10440.21999999993</v>
      </c>
      <c r="I221" s="3"/>
      <c r="J221" s="3"/>
      <c r="K221" s="3"/>
    </row>
    <row r="222" spans="1:11">
      <c r="A222" s="3">
        <v>42611</v>
      </c>
      <c r="B222" s="3">
        <v>215.2</v>
      </c>
      <c r="C222" s="4">
        <f t="shared" si="14"/>
        <v>-1.6599999999999966</v>
      </c>
      <c r="D222" s="4">
        <f t="shared" si="15"/>
        <v>-0.96999999999999886</v>
      </c>
      <c r="E222" s="3">
        <f t="shared" si="16"/>
        <v>-4.7900000000000205</v>
      </c>
      <c r="F222" s="3">
        <v>10440.21999999993</v>
      </c>
      <c r="G222" s="3">
        <v>0</v>
      </c>
      <c r="H222" s="3">
        <f t="shared" si="17"/>
        <v>10440.21999999993</v>
      </c>
      <c r="I222" s="3"/>
      <c r="J222" s="3"/>
      <c r="K222" s="3"/>
    </row>
    <row r="223" spans="1:11">
      <c r="A223" s="3">
        <v>42612</v>
      </c>
      <c r="B223" s="3">
        <v>211.34</v>
      </c>
      <c r="C223" s="4">
        <f t="shared" si="14"/>
        <v>-0.96999999999999886</v>
      </c>
      <c r="D223" s="4">
        <f t="shared" si="15"/>
        <v>-4.7900000000000205</v>
      </c>
      <c r="E223" s="3">
        <f t="shared" si="16"/>
        <v>-3.8599999999999852</v>
      </c>
      <c r="F223" s="3">
        <v>10440.21999999993</v>
      </c>
      <c r="G223" s="3">
        <v>0</v>
      </c>
      <c r="H223" s="3">
        <f t="shared" si="17"/>
        <v>10440.21999999993</v>
      </c>
      <c r="I223" s="3"/>
      <c r="J223" s="3"/>
      <c r="K223" s="3"/>
    </row>
    <row r="224" spans="1:11">
      <c r="A224" s="3">
        <v>42613</v>
      </c>
      <c r="B224" s="3">
        <v>212.01</v>
      </c>
      <c r="C224" s="4">
        <f t="shared" si="14"/>
        <v>-4.7900000000000205</v>
      </c>
      <c r="D224" s="4">
        <f t="shared" si="15"/>
        <v>-3.8599999999999852</v>
      </c>
      <c r="E224" s="3">
        <f t="shared" si="16"/>
        <v>0.66999999999998749</v>
      </c>
      <c r="F224" s="3">
        <v>10440.21999999993</v>
      </c>
      <c r="G224" s="3">
        <v>0</v>
      </c>
      <c r="H224" s="3">
        <f t="shared" si="17"/>
        <v>10440.21999999993</v>
      </c>
      <c r="I224" s="3"/>
      <c r="J224" s="3"/>
      <c r="K224" s="3"/>
    </row>
    <row r="225" spans="1:11">
      <c r="A225" s="3">
        <v>42614</v>
      </c>
      <c r="B225" s="3">
        <v>200.77</v>
      </c>
      <c r="C225" s="4">
        <f t="shared" si="14"/>
        <v>-3.8599999999999852</v>
      </c>
      <c r="D225" s="4">
        <f t="shared" si="15"/>
        <v>0.66999999999998749</v>
      </c>
      <c r="E225" s="3">
        <f t="shared" si="16"/>
        <v>-11.239999999999981</v>
      </c>
      <c r="F225" s="3">
        <v>10440.21999999993</v>
      </c>
      <c r="G225" s="3">
        <v>0</v>
      </c>
      <c r="H225" s="3">
        <f t="shared" si="17"/>
        <v>10440.21999999993</v>
      </c>
      <c r="I225" s="3"/>
      <c r="J225" s="3"/>
      <c r="K225" s="3"/>
    </row>
    <row r="226" spans="1:11">
      <c r="A226" s="3">
        <v>42615</v>
      </c>
      <c r="B226" s="3">
        <v>197.78</v>
      </c>
      <c r="C226" s="4">
        <f t="shared" si="14"/>
        <v>0.66999999999998749</v>
      </c>
      <c r="D226" s="4">
        <f t="shared" si="15"/>
        <v>-11.239999999999981</v>
      </c>
      <c r="E226" s="3">
        <f t="shared" si="16"/>
        <v>-2.9900000000000091</v>
      </c>
      <c r="F226" s="3">
        <v>10440.21999999993</v>
      </c>
      <c r="G226" s="3">
        <v>0</v>
      </c>
      <c r="H226" s="3">
        <f t="shared" si="17"/>
        <v>10440.21999999993</v>
      </c>
      <c r="I226" s="3"/>
      <c r="J226" s="3"/>
      <c r="K226" s="3"/>
    </row>
    <row r="227" spans="1:11">
      <c r="A227" s="3">
        <v>42619</v>
      </c>
      <c r="B227" s="3">
        <v>202.83</v>
      </c>
      <c r="C227" s="4">
        <f t="shared" si="14"/>
        <v>-11.239999999999981</v>
      </c>
      <c r="D227" s="4">
        <f t="shared" si="15"/>
        <v>-2.9900000000000091</v>
      </c>
      <c r="E227" s="3">
        <f t="shared" si="16"/>
        <v>5.0500000000000114</v>
      </c>
      <c r="F227" s="3">
        <v>10440.21999999993</v>
      </c>
      <c r="G227" s="3">
        <v>0</v>
      </c>
      <c r="H227" s="3">
        <f t="shared" si="17"/>
        <v>10440.21999999993</v>
      </c>
      <c r="I227" s="3"/>
      <c r="J227" s="3"/>
      <c r="K227" s="3"/>
    </row>
    <row r="228" spans="1:11">
      <c r="A228" s="3">
        <v>42620</v>
      </c>
      <c r="B228" s="3">
        <v>201.71</v>
      </c>
      <c r="C228" s="4">
        <f t="shared" si="14"/>
        <v>-2.9900000000000091</v>
      </c>
      <c r="D228" s="4">
        <f t="shared" si="15"/>
        <v>5.0500000000000114</v>
      </c>
      <c r="E228" s="3">
        <f t="shared" si="16"/>
        <v>-1.1200000000000045</v>
      </c>
      <c r="F228" s="3">
        <v>10440.21999999993</v>
      </c>
      <c r="G228" s="3">
        <v>0</v>
      </c>
      <c r="H228" s="3">
        <f t="shared" si="17"/>
        <v>10440.21999999993</v>
      </c>
      <c r="I228" s="3"/>
      <c r="J228" s="3"/>
      <c r="K228" s="3"/>
    </row>
    <row r="229" spans="1:11">
      <c r="A229" s="3">
        <v>42621</v>
      </c>
      <c r="B229" s="3">
        <v>197.36</v>
      </c>
      <c r="C229" s="4">
        <f t="shared" si="14"/>
        <v>5.0500000000000114</v>
      </c>
      <c r="D229" s="4">
        <f t="shared" si="15"/>
        <v>-1.1200000000000045</v>
      </c>
      <c r="E229" s="3">
        <f t="shared" si="16"/>
        <v>-4.3499999999999943</v>
      </c>
      <c r="F229" s="3">
        <v>10440.21999999993</v>
      </c>
      <c r="G229" s="3">
        <v>0</v>
      </c>
      <c r="H229" s="3">
        <f t="shared" si="17"/>
        <v>10440.21999999993</v>
      </c>
      <c r="I229" s="3"/>
      <c r="J229" s="3"/>
      <c r="K229" s="3"/>
    </row>
    <row r="230" spans="1:11">
      <c r="A230" s="3">
        <v>42622</v>
      </c>
      <c r="B230" s="3">
        <v>194.47</v>
      </c>
      <c r="C230" s="4">
        <f t="shared" si="14"/>
        <v>-1.1200000000000045</v>
      </c>
      <c r="D230" s="4">
        <f t="shared" si="15"/>
        <v>-4.3499999999999943</v>
      </c>
      <c r="E230" s="3">
        <f t="shared" si="16"/>
        <v>-2.8900000000000148</v>
      </c>
      <c r="F230" s="3">
        <v>10440.21999999993</v>
      </c>
      <c r="G230" s="3">
        <v>0</v>
      </c>
      <c r="H230" s="3">
        <f t="shared" si="17"/>
        <v>10440.21999999993</v>
      </c>
      <c r="I230" s="3"/>
      <c r="J230" s="3"/>
      <c r="K230" s="3"/>
    </row>
    <row r="231" spans="1:11">
      <c r="A231" s="3">
        <v>42625</v>
      </c>
      <c r="B231" s="3">
        <v>198.3</v>
      </c>
      <c r="C231" s="4">
        <f t="shared" si="14"/>
        <v>-4.3499999999999943</v>
      </c>
      <c r="D231" s="4">
        <f t="shared" si="15"/>
        <v>-2.8900000000000148</v>
      </c>
      <c r="E231" s="3">
        <f t="shared" si="16"/>
        <v>3.8300000000000125</v>
      </c>
      <c r="F231" s="3">
        <v>10440.21999999993</v>
      </c>
      <c r="G231" s="3">
        <v>0</v>
      </c>
      <c r="H231" s="3">
        <f t="shared" si="17"/>
        <v>10440.21999999993</v>
      </c>
      <c r="I231" s="3"/>
      <c r="J231" s="3"/>
      <c r="K231" s="3"/>
    </row>
    <row r="232" spans="1:11">
      <c r="A232" s="3">
        <v>42626</v>
      </c>
      <c r="B232" s="3">
        <v>196.05</v>
      </c>
      <c r="C232" s="4">
        <f t="shared" si="14"/>
        <v>-2.8900000000000148</v>
      </c>
      <c r="D232" s="4">
        <f t="shared" si="15"/>
        <v>3.8300000000000125</v>
      </c>
      <c r="E232" s="3">
        <f t="shared" si="16"/>
        <v>-2.25</v>
      </c>
      <c r="F232" s="3">
        <v>10440.21999999993</v>
      </c>
      <c r="G232" s="3">
        <v>0</v>
      </c>
      <c r="H232" s="3">
        <f t="shared" si="17"/>
        <v>10440.21999999993</v>
      </c>
      <c r="I232" s="3"/>
      <c r="J232" s="3"/>
      <c r="K232" s="3"/>
    </row>
    <row r="233" spans="1:11">
      <c r="A233" s="3">
        <v>42627</v>
      </c>
      <c r="B233" s="3">
        <v>196.41</v>
      </c>
      <c r="C233" s="4">
        <f t="shared" si="14"/>
        <v>3.8300000000000125</v>
      </c>
      <c r="D233" s="4">
        <f t="shared" si="15"/>
        <v>-2.25</v>
      </c>
      <c r="E233" s="3">
        <f t="shared" si="16"/>
        <v>0.35999999999998522</v>
      </c>
      <c r="F233" s="3">
        <v>10440.21999999993</v>
      </c>
      <c r="G233" s="3">
        <v>0</v>
      </c>
      <c r="H233" s="3">
        <f t="shared" si="17"/>
        <v>10440.21999999993</v>
      </c>
      <c r="I233" s="3"/>
      <c r="J233" s="3"/>
      <c r="K233" s="3"/>
    </row>
    <row r="234" spans="1:11">
      <c r="A234" s="3">
        <v>42628</v>
      </c>
      <c r="B234" s="3">
        <v>200.42</v>
      </c>
      <c r="C234" s="4">
        <f t="shared" si="14"/>
        <v>-2.25</v>
      </c>
      <c r="D234" s="4">
        <f t="shared" si="15"/>
        <v>0.35999999999998522</v>
      </c>
      <c r="E234" s="3">
        <f t="shared" si="16"/>
        <v>4.0099999999999909</v>
      </c>
      <c r="F234" s="3">
        <v>18.379999999927065</v>
      </c>
      <c r="G234" s="3">
        <v>10421.84</v>
      </c>
      <c r="H234" s="3">
        <f t="shared" si="17"/>
        <v>10440.219999999927</v>
      </c>
      <c r="I234" s="3"/>
      <c r="J234" s="3"/>
      <c r="K234" s="3"/>
    </row>
    <row r="235" spans="1:11">
      <c r="A235" s="3">
        <v>42629</v>
      </c>
      <c r="B235" s="3">
        <v>205.4</v>
      </c>
      <c r="C235" s="4">
        <f t="shared" si="14"/>
        <v>0.35999999999998522</v>
      </c>
      <c r="D235" s="4">
        <f t="shared" si="15"/>
        <v>4.0099999999999909</v>
      </c>
      <c r="E235" s="3">
        <f t="shared" si="16"/>
        <v>4.9800000000000182</v>
      </c>
      <c r="F235" s="3">
        <v>18.379999999927065</v>
      </c>
      <c r="G235" s="3">
        <v>10680.800000000001</v>
      </c>
      <c r="H235" s="3">
        <f t="shared" si="17"/>
        <v>10699.179999999928</v>
      </c>
      <c r="I235" s="3"/>
      <c r="J235" s="3"/>
      <c r="K235" s="3"/>
    </row>
    <row r="236" spans="1:11">
      <c r="A236" s="3">
        <v>42632</v>
      </c>
      <c r="B236" s="3">
        <v>206.34</v>
      </c>
      <c r="C236" s="4">
        <f t="shared" si="14"/>
        <v>4.0099999999999909</v>
      </c>
      <c r="D236" s="4">
        <f t="shared" si="15"/>
        <v>4.9800000000000182</v>
      </c>
      <c r="E236" s="3">
        <f t="shared" si="16"/>
        <v>0.93999999999999773</v>
      </c>
      <c r="F236" s="3">
        <v>18.379999999927065</v>
      </c>
      <c r="G236" s="3">
        <v>10729.68</v>
      </c>
      <c r="H236" s="3">
        <f t="shared" si="17"/>
        <v>10748.059999999927</v>
      </c>
      <c r="I236" s="3"/>
      <c r="J236" s="3"/>
      <c r="K236" s="3"/>
    </row>
    <row r="237" spans="1:11">
      <c r="A237" s="3">
        <v>42633</v>
      </c>
      <c r="B237" s="3">
        <v>204.64</v>
      </c>
      <c r="C237" s="4">
        <f t="shared" si="14"/>
        <v>4.9800000000000182</v>
      </c>
      <c r="D237" s="4">
        <f t="shared" si="15"/>
        <v>0.93999999999999773</v>
      </c>
      <c r="E237" s="3">
        <f t="shared" si="16"/>
        <v>-1.7000000000000171</v>
      </c>
      <c r="F237" s="3">
        <v>18.379999999927065</v>
      </c>
      <c r="G237" s="3">
        <v>10641.279999999999</v>
      </c>
      <c r="H237" s="3">
        <f t="shared" si="17"/>
        <v>10659.659999999925</v>
      </c>
      <c r="I237" s="3"/>
      <c r="J237" s="3"/>
      <c r="K237" s="3"/>
    </row>
    <row r="238" spans="1:11">
      <c r="A238" s="3">
        <v>42634</v>
      </c>
      <c r="B238" s="3">
        <v>205.22</v>
      </c>
      <c r="C238" s="4">
        <f t="shared" si="14"/>
        <v>0.93999999999999773</v>
      </c>
      <c r="D238" s="4">
        <f t="shared" si="15"/>
        <v>-1.7000000000000171</v>
      </c>
      <c r="E238" s="3">
        <f t="shared" si="16"/>
        <v>0.58000000000001251</v>
      </c>
      <c r="F238" s="3">
        <v>18.379999999927065</v>
      </c>
      <c r="G238" s="3">
        <v>10671.44</v>
      </c>
      <c r="H238" s="3">
        <f t="shared" si="17"/>
        <v>10689.819999999927</v>
      </c>
      <c r="I238" s="3"/>
      <c r="J238" s="3"/>
      <c r="K238" s="3"/>
    </row>
    <row r="239" spans="1:11">
      <c r="A239" s="3">
        <v>42635</v>
      </c>
      <c r="B239" s="3">
        <v>206.43</v>
      </c>
      <c r="C239" s="4">
        <f t="shared" si="14"/>
        <v>-1.7000000000000171</v>
      </c>
      <c r="D239" s="4">
        <f t="shared" si="15"/>
        <v>0.58000000000001251</v>
      </c>
      <c r="E239" s="3">
        <f t="shared" si="16"/>
        <v>1.210000000000008</v>
      </c>
      <c r="F239" s="3">
        <v>18.379999999927065</v>
      </c>
      <c r="G239" s="3">
        <v>10734.36</v>
      </c>
      <c r="H239" s="3">
        <f t="shared" si="17"/>
        <v>10752.739999999927</v>
      </c>
      <c r="I239" s="3"/>
      <c r="J239" s="3"/>
      <c r="K239" s="3"/>
    </row>
    <row r="240" spans="1:11">
      <c r="A240" s="3">
        <v>42636</v>
      </c>
      <c r="B240" s="3">
        <v>207.45</v>
      </c>
      <c r="C240" s="4">
        <f t="shared" si="14"/>
        <v>0.58000000000001251</v>
      </c>
      <c r="D240" s="4">
        <f t="shared" si="15"/>
        <v>1.210000000000008</v>
      </c>
      <c r="E240" s="3">
        <f t="shared" si="16"/>
        <v>1.0199999999999818</v>
      </c>
      <c r="F240" s="3">
        <v>18.379999999927065</v>
      </c>
      <c r="G240" s="3">
        <v>10787.4</v>
      </c>
      <c r="H240" s="3">
        <f t="shared" si="17"/>
        <v>10805.779999999926</v>
      </c>
      <c r="I240" s="3"/>
      <c r="J240" s="3"/>
      <c r="K240" s="3"/>
    </row>
    <row r="241" spans="1:11">
      <c r="A241" s="3">
        <v>42639</v>
      </c>
      <c r="B241" s="3">
        <v>208.99</v>
      </c>
      <c r="C241" s="4">
        <f t="shared" si="14"/>
        <v>1.210000000000008</v>
      </c>
      <c r="D241" s="4">
        <f t="shared" si="15"/>
        <v>1.0199999999999818</v>
      </c>
      <c r="E241" s="3">
        <f t="shared" si="16"/>
        <v>1.5400000000000205</v>
      </c>
      <c r="F241" s="3">
        <v>18.379999999927065</v>
      </c>
      <c r="G241" s="3">
        <v>10867.48</v>
      </c>
      <c r="H241" s="3">
        <f t="shared" si="17"/>
        <v>10885.859999999926</v>
      </c>
      <c r="I241" s="3"/>
      <c r="J241" s="3"/>
      <c r="K241" s="3"/>
    </row>
    <row r="242" spans="1:11">
      <c r="A242" s="3">
        <v>42640</v>
      </c>
      <c r="B242" s="3">
        <v>205.81</v>
      </c>
      <c r="C242" s="4">
        <f t="shared" si="14"/>
        <v>1.0199999999999818</v>
      </c>
      <c r="D242" s="4">
        <f t="shared" si="15"/>
        <v>1.5400000000000205</v>
      </c>
      <c r="E242" s="3">
        <f t="shared" si="16"/>
        <v>-3.1800000000000068</v>
      </c>
      <c r="F242" s="3">
        <v>18.379999999927065</v>
      </c>
      <c r="G242" s="3">
        <v>10702.12</v>
      </c>
      <c r="H242" s="3">
        <f t="shared" si="17"/>
        <v>10720.499999999927</v>
      </c>
      <c r="I242" s="3"/>
      <c r="J242" s="3"/>
      <c r="K242" s="3"/>
    </row>
    <row r="243" spans="1:11">
      <c r="A243" s="3">
        <v>42641</v>
      </c>
      <c r="B243" s="3">
        <v>206.27</v>
      </c>
      <c r="C243" s="4">
        <f t="shared" si="14"/>
        <v>1.5400000000000205</v>
      </c>
      <c r="D243" s="4">
        <f t="shared" si="15"/>
        <v>-3.1800000000000068</v>
      </c>
      <c r="E243" s="3">
        <f t="shared" si="16"/>
        <v>0.46000000000000796</v>
      </c>
      <c r="F243" s="3">
        <v>18.379999999927065</v>
      </c>
      <c r="G243" s="3">
        <v>10726.04</v>
      </c>
      <c r="H243" s="3">
        <f t="shared" si="17"/>
        <v>10744.419999999927</v>
      </c>
      <c r="I243" s="3"/>
      <c r="J243" s="3"/>
      <c r="K243" s="3"/>
    </row>
    <row r="244" spans="1:11">
      <c r="A244" s="3">
        <v>42642</v>
      </c>
      <c r="B244" s="3">
        <v>200.7</v>
      </c>
      <c r="C244" s="4">
        <f t="shared" si="14"/>
        <v>-3.1800000000000068</v>
      </c>
      <c r="D244" s="4">
        <f t="shared" si="15"/>
        <v>0.46000000000000796</v>
      </c>
      <c r="E244" s="3">
        <f t="shared" si="16"/>
        <v>-5.5700000000000216</v>
      </c>
      <c r="F244" s="3">
        <v>18.379999999927065</v>
      </c>
      <c r="G244" s="3">
        <v>10436.4</v>
      </c>
      <c r="H244" s="3">
        <f t="shared" si="17"/>
        <v>10454.779999999926</v>
      </c>
      <c r="I244" s="3"/>
      <c r="J244" s="3"/>
      <c r="K244" s="3"/>
    </row>
    <row r="245" spans="1:11">
      <c r="A245" s="3">
        <v>42643</v>
      </c>
      <c r="B245" s="3">
        <v>204.03</v>
      </c>
      <c r="C245" s="4">
        <f t="shared" si="14"/>
        <v>0.46000000000000796</v>
      </c>
      <c r="D245" s="4">
        <f t="shared" si="15"/>
        <v>-5.5700000000000216</v>
      </c>
      <c r="E245" s="3">
        <f t="shared" si="16"/>
        <v>3.3300000000000125</v>
      </c>
      <c r="F245" s="3">
        <v>18.379999999927065</v>
      </c>
      <c r="G245" s="3">
        <v>10609.56</v>
      </c>
      <c r="H245" s="3">
        <f t="shared" si="17"/>
        <v>10627.939999999926</v>
      </c>
      <c r="I245" s="3"/>
      <c r="J245" s="3"/>
      <c r="K245" s="3"/>
    </row>
    <row r="246" spans="1:11">
      <c r="A246" s="3">
        <v>42646</v>
      </c>
      <c r="B246" s="3">
        <v>213.7</v>
      </c>
      <c r="C246" s="4">
        <f t="shared" si="14"/>
        <v>-5.5700000000000216</v>
      </c>
      <c r="D246" s="4">
        <f t="shared" si="15"/>
        <v>3.3300000000000125</v>
      </c>
      <c r="E246" s="3">
        <f t="shared" si="16"/>
        <v>9.6699999999999875</v>
      </c>
      <c r="F246" s="3">
        <v>18.379999999927065</v>
      </c>
      <c r="G246" s="3">
        <v>11112.4</v>
      </c>
      <c r="H246" s="3">
        <f t="shared" si="17"/>
        <v>11130.779999999926</v>
      </c>
      <c r="I246" s="3"/>
      <c r="J246" s="3"/>
      <c r="K246" s="3"/>
    </row>
    <row r="247" spans="1:11">
      <c r="A247" s="3">
        <v>42647</v>
      </c>
      <c r="B247" s="3">
        <v>211.41</v>
      </c>
      <c r="C247" s="4">
        <f t="shared" si="14"/>
        <v>3.3300000000000125</v>
      </c>
      <c r="D247" s="4">
        <f t="shared" si="15"/>
        <v>9.6699999999999875</v>
      </c>
      <c r="E247" s="3">
        <f t="shared" si="16"/>
        <v>-2.289999999999992</v>
      </c>
      <c r="F247" s="3">
        <v>18.379999999927065</v>
      </c>
      <c r="G247" s="3">
        <v>10993.32</v>
      </c>
      <c r="H247" s="3">
        <f t="shared" si="17"/>
        <v>11011.699999999926</v>
      </c>
      <c r="I247" s="3"/>
      <c r="J247" s="3"/>
      <c r="K247" s="3"/>
    </row>
    <row r="248" spans="1:11">
      <c r="A248" s="3">
        <v>42648</v>
      </c>
      <c r="B248" s="3">
        <v>208.46</v>
      </c>
      <c r="C248" s="4">
        <f t="shared" si="14"/>
        <v>9.6699999999999875</v>
      </c>
      <c r="D248" s="4">
        <f t="shared" si="15"/>
        <v>-2.289999999999992</v>
      </c>
      <c r="E248" s="3">
        <f t="shared" si="16"/>
        <v>-2.9499999999999886</v>
      </c>
      <c r="F248" s="3">
        <v>10858.299999999927</v>
      </c>
      <c r="G248" s="3">
        <v>0</v>
      </c>
      <c r="H248" s="3">
        <f t="shared" si="17"/>
        <v>10858.299999999927</v>
      </c>
      <c r="I248" s="3"/>
      <c r="J248" s="3"/>
      <c r="K248" s="3"/>
    </row>
    <row r="249" spans="1:11">
      <c r="A249" s="3">
        <v>42649</v>
      </c>
      <c r="B249" s="3">
        <v>201</v>
      </c>
      <c r="C249" s="4">
        <f t="shared" si="14"/>
        <v>-2.289999999999992</v>
      </c>
      <c r="D249" s="4">
        <f t="shared" si="15"/>
        <v>-2.9499999999999886</v>
      </c>
      <c r="E249" s="3">
        <f t="shared" si="16"/>
        <v>-7.460000000000008</v>
      </c>
      <c r="F249" s="3">
        <v>10858.299999999927</v>
      </c>
      <c r="G249" s="3">
        <v>0</v>
      </c>
      <c r="H249" s="3">
        <f t="shared" si="17"/>
        <v>10858.299999999927</v>
      </c>
      <c r="I249" s="3"/>
      <c r="J249" s="3"/>
      <c r="K249" s="3"/>
    </row>
    <row r="250" spans="1:11">
      <c r="A250" s="3">
        <v>42650</v>
      </c>
      <c r="B250" s="3">
        <v>196.61</v>
      </c>
      <c r="C250" s="4">
        <f t="shared" si="14"/>
        <v>-2.9499999999999886</v>
      </c>
      <c r="D250" s="4">
        <f t="shared" si="15"/>
        <v>-7.460000000000008</v>
      </c>
      <c r="E250" s="3">
        <f t="shared" si="16"/>
        <v>-4.3899999999999864</v>
      </c>
      <c r="F250" s="3">
        <v>10858.299999999927</v>
      </c>
      <c r="G250" s="3">
        <v>0</v>
      </c>
      <c r="H250" s="3">
        <f t="shared" si="17"/>
        <v>10858.299999999927</v>
      </c>
      <c r="I250" s="3"/>
      <c r="J250" s="3"/>
      <c r="K250" s="3"/>
    </row>
    <row r="251" spans="1:11">
      <c r="A251" s="3">
        <v>42653</v>
      </c>
      <c r="B251" s="3">
        <v>200.95</v>
      </c>
      <c r="C251" s="4">
        <f t="shared" si="14"/>
        <v>-7.460000000000008</v>
      </c>
      <c r="D251" s="4">
        <f t="shared" si="15"/>
        <v>-4.3899999999999864</v>
      </c>
      <c r="E251" s="3">
        <f t="shared" si="16"/>
        <v>4.339999999999975</v>
      </c>
      <c r="F251" s="3">
        <v>10858.299999999927</v>
      </c>
      <c r="G251" s="3">
        <v>0</v>
      </c>
      <c r="H251" s="3">
        <f t="shared" si="17"/>
        <v>10858.299999999927</v>
      </c>
      <c r="I251" s="3"/>
      <c r="J251" s="3"/>
      <c r="K251" s="3"/>
    </row>
    <row r="252" spans="1:11">
      <c r="A252" s="3">
        <v>42654</v>
      </c>
      <c r="B252" s="3">
        <v>200.1</v>
      </c>
      <c r="C252" s="4">
        <f t="shared" si="14"/>
        <v>-4.3899999999999864</v>
      </c>
      <c r="D252" s="4">
        <f t="shared" si="15"/>
        <v>4.339999999999975</v>
      </c>
      <c r="E252" s="3">
        <f t="shared" si="16"/>
        <v>-0.84999999999999432</v>
      </c>
      <c r="F252" s="3">
        <v>10858.299999999927</v>
      </c>
      <c r="G252" s="3">
        <v>0</v>
      </c>
      <c r="H252" s="3">
        <f t="shared" si="17"/>
        <v>10858.299999999927</v>
      </c>
      <c r="I252" s="3"/>
      <c r="J252" s="3"/>
      <c r="K252" s="3"/>
    </row>
    <row r="253" spans="1:11">
      <c r="A253" s="3">
        <v>42655</v>
      </c>
      <c r="B253" s="3">
        <v>201.51</v>
      </c>
      <c r="C253" s="4">
        <f t="shared" si="14"/>
        <v>4.339999999999975</v>
      </c>
      <c r="D253" s="4">
        <f t="shared" si="15"/>
        <v>-0.84999999999999432</v>
      </c>
      <c r="E253" s="3">
        <f t="shared" si="16"/>
        <v>1.4099999999999966</v>
      </c>
      <c r="F253" s="3">
        <v>10858.299999999927</v>
      </c>
      <c r="G253" s="3">
        <v>0</v>
      </c>
      <c r="H253" s="3">
        <f t="shared" si="17"/>
        <v>10858.299999999927</v>
      </c>
      <c r="I253" s="3"/>
      <c r="J253" s="3"/>
      <c r="K253" s="3"/>
    </row>
    <row r="254" spans="1:11">
      <c r="A254" s="3">
        <v>42656</v>
      </c>
      <c r="B254" s="3">
        <v>200.24</v>
      </c>
      <c r="C254" s="4">
        <f t="shared" si="14"/>
        <v>-0.84999999999999432</v>
      </c>
      <c r="D254" s="4">
        <f t="shared" si="15"/>
        <v>1.4099999999999966</v>
      </c>
      <c r="E254" s="3">
        <f t="shared" si="16"/>
        <v>-1.2699999999999818</v>
      </c>
      <c r="F254" s="3">
        <v>10858.299999999927</v>
      </c>
      <c r="G254" s="3">
        <v>0</v>
      </c>
      <c r="H254" s="3">
        <f t="shared" si="17"/>
        <v>10858.299999999927</v>
      </c>
      <c r="I254" s="3"/>
      <c r="J254" s="3"/>
      <c r="K254" s="3"/>
    </row>
    <row r="255" spans="1:11">
      <c r="A255" s="3">
        <v>42657</v>
      </c>
      <c r="B255" s="3">
        <v>196.51</v>
      </c>
      <c r="C255" s="4">
        <f t="shared" si="14"/>
        <v>1.4099999999999966</v>
      </c>
      <c r="D255" s="4">
        <f t="shared" si="15"/>
        <v>-1.2699999999999818</v>
      </c>
      <c r="E255" s="3">
        <f t="shared" si="16"/>
        <v>-3.7300000000000182</v>
      </c>
      <c r="F255" s="3">
        <v>10858.299999999927</v>
      </c>
      <c r="G255" s="3">
        <v>0</v>
      </c>
      <c r="H255" s="3">
        <f t="shared" si="17"/>
        <v>10858.299999999927</v>
      </c>
      <c r="I255" s="3"/>
      <c r="J255" s="3"/>
      <c r="K255" s="3"/>
    </row>
    <row r="256" spans="1:11">
      <c r="A256" s="3">
        <v>42660</v>
      </c>
      <c r="B256" s="3">
        <v>193.96</v>
      </c>
      <c r="C256" s="4">
        <f t="shared" si="14"/>
        <v>-1.2699999999999818</v>
      </c>
      <c r="D256" s="4">
        <f t="shared" si="15"/>
        <v>-3.7300000000000182</v>
      </c>
      <c r="E256" s="3">
        <f t="shared" si="16"/>
        <v>-2.5499999999999829</v>
      </c>
      <c r="F256" s="3">
        <v>10858.299999999927</v>
      </c>
      <c r="G256" s="3">
        <v>0</v>
      </c>
      <c r="H256" s="3">
        <f t="shared" si="17"/>
        <v>10858.299999999927</v>
      </c>
      <c r="I256" s="3"/>
      <c r="J256" s="3"/>
      <c r="K256" s="3"/>
    </row>
    <row r="257" spans="1:11">
      <c r="A257" s="3">
        <v>42661</v>
      </c>
      <c r="B257" s="3">
        <v>199.1</v>
      </c>
      <c r="C257" s="4">
        <f t="shared" si="14"/>
        <v>-3.7300000000000182</v>
      </c>
      <c r="D257" s="4">
        <f t="shared" si="15"/>
        <v>-2.5499999999999829</v>
      </c>
      <c r="E257" s="3">
        <f t="shared" si="16"/>
        <v>5.1399999999999864</v>
      </c>
      <c r="F257" s="3">
        <v>10858.299999999927</v>
      </c>
      <c r="G257" s="3">
        <v>0</v>
      </c>
      <c r="H257" s="3">
        <f t="shared" si="17"/>
        <v>10858.299999999927</v>
      </c>
      <c r="I257" s="3"/>
      <c r="J257" s="3"/>
      <c r="K257" s="3"/>
    </row>
    <row r="258" spans="1:11">
      <c r="A258" s="3">
        <v>42662</v>
      </c>
      <c r="B258" s="3">
        <v>203.56</v>
      </c>
      <c r="C258" s="4">
        <f t="shared" si="14"/>
        <v>-2.5499999999999829</v>
      </c>
      <c r="D258" s="4">
        <f t="shared" si="15"/>
        <v>5.1399999999999864</v>
      </c>
      <c r="E258" s="3">
        <f t="shared" si="16"/>
        <v>4.460000000000008</v>
      </c>
      <c r="F258" s="3">
        <v>69.619999999926051</v>
      </c>
      <c r="G258" s="3">
        <v>10788.68</v>
      </c>
      <c r="H258" s="3">
        <f t="shared" si="17"/>
        <v>10858.299999999927</v>
      </c>
      <c r="I258" s="3"/>
      <c r="J258" s="3"/>
      <c r="K258" s="3"/>
    </row>
    <row r="259" spans="1:11">
      <c r="A259" s="3">
        <v>42663</v>
      </c>
      <c r="B259" s="3">
        <v>199.1</v>
      </c>
      <c r="C259" s="4">
        <f t="shared" si="14"/>
        <v>5.1399999999999864</v>
      </c>
      <c r="D259" s="4">
        <f t="shared" si="15"/>
        <v>4.460000000000008</v>
      </c>
      <c r="E259" s="3">
        <f t="shared" si="16"/>
        <v>-4.460000000000008</v>
      </c>
      <c r="F259" s="3">
        <v>69.619999999926051</v>
      </c>
      <c r="G259" s="3">
        <v>10552.3</v>
      </c>
      <c r="H259" s="3">
        <f t="shared" si="17"/>
        <v>10621.919999999925</v>
      </c>
      <c r="I259" s="3"/>
      <c r="J259" s="3"/>
      <c r="K259" s="3"/>
    </row>
    <row r="260" spans="1:11">
      <c r="A260" s="3">
        <v>42664</v>
      </c>
      <c r="B260" s="3">
        <v>200.09</v>
      </c>
      <c r="C260" s="4">
        <f t="shared" si="14"/>
        <v>4.460000000000008</v>
      </c>
      <c r="D260" s="4">
        <f t="shared" si="15"/>
        <v>-4.460000000000008</v>
      </c>
      <c r="E260" s="3">
        <f t="shared" si="16"/>
        <v>0.99000000000000909</v>
      </c>
      <c r="F260" s="3">
        <v>69.619999999926051</v>
      </c>
      <c r="G260" s="3">
        <v>10604.77</v>
      </c>
      <c r="H260" s="3">
        <f t="shared" si="17"/>
        <v>10674.389999999927</v>
      </c>
      <c r="I260" s="3"/>
      <c r="J260" s="3"/>
      <c r="K260" s="3"/>
    </row>
    <row r="261" spans="1:11">
      <c r="A261" s="3">
        <v>42667</v>
      </c>
      <c r="B261" s="3">
        <v>202.76</v>
      </c>
      <c r="C261" s="4">
        <f t="shared" si="14"/>
        <v>-4.460000000000008</v>
      </c>
      <c r="D261" s="4">
        <f t="shared" si="15"/>
        <v>0.99000000000000909</v>
      </c>
      <c r="E261" s="3">
        <f t="shared" si="16"/>
        <v>2.6699999999999875</v>
      </c>
      <c r="F261" s="3">
        <v>69.619999999926051</v>
      </c>
      <c r="G261" s="3">
        <v>10746.279999999999</v>
      </c>
      <c r="H261" s="3">
        <f t="shared" si="17"/>
        <v>10815.899999999925</v>
      </c>
      <c r="I261" s="3"/>
      <c r="J261" s="3"/>
      <c r="K261" s="3"/>
    </row>
    <row r="262" spans="1:11">
      <c r="A262" s="3">
        <v>42668</v>
      </c>
      <c r="B262" s="3">
        <v>202.34</v>
      </c>
      <c r="C262" s="4">
        <f t="shared" si="14"/>
        <v>0.99000000000000909</v>
      </c>
      <c r="D262" s="4">
        <f t="shared" si="15"/>
        <v>2.6699999999999875</v>
      </c>
      <c r="E262" s="3">
        <f t="shared" si="16"/>
        <v>-0.41999999999998749</v>
      </c>
      <c r="F262" s="3">
        <v>69.619999999926051</v>
      </c>
      <c r="G262" s="3">
        <v>10724.02</v>
      </c>
      <c r="H262" s="3">
        <f t="shared" si="17"/>
        <v>10793.639999999927</v>
      </c>
      <c r="I262" s="3"/>
      <c r="J262" s="3"/>
      <c r="K262" s="3"/>
    </row>
    <row r="263" spans="1:11">
      <c r="A263" s="3">
        <v>42669</v>
      </c>
      <c r="B263" s="3">
        <v>202.24</v>
      </c>
      <c r="C263" s="4">
        <f t="shared" si="14"/>
        <v>2.6699999999999875</v>
      </c>
      <c r="D263" s="4">
        <f t="shared" si="15"/>
        <v>-0.41999999999998749</v>
      </c>
      <c r="E263" s="3">
        <f t="shared" si="16"/>
        <v>-9.9999999999994316E-2</v>
      </c>
      <c r="F263" s="3">
        <v>10788.339999999927</v>
      </c>
      <c r="G263" s="3">
        <v>0</v>
      </c>
      <c r="H263" s="3">
        <f t="shared" si="17"/>
        <v>10788.339999999927</v>
      </c>
      <c r="I263" s="3"/>
      <c r="J263" s="3"/>
      <c r="K263" s="3"/>
    </row>
    <row r="264" spans="1:11">
      <c r="A264" s="3">
        <v>42670</v>
      </c>
      <c r="B264" s="3">
        <v>204.01</v>
      </c>
      <c r="C264" s="4">
        <f t="shared" si="14"/>
        <v>-0.41999999999998749</v>
      </c>
      <c r="D264" s="4">
        <f t="shared" si="15"/>
        <v>-9.9999999999994316E-2</v>
      </c>
      <c r="E264" s="3">
        <f t="shared" si="16"/>
        <v>1.7699999999999818</v>
      </c>
      <c r="F264" s="3">
        <v>10788.339999999927</v>
      </c>
      <c r="G264" s="3">
        <v>0</v>
      </c>
      <c r="H264" s="3">
        <f t="shared" si="17"/>
        <v>10788.339999999927</v>
      </c>
      <c r="I264" s="3"/>
      <c r="J264" s="3"/>
      <c r="K264" s="3"/>
    </row>
    <row r="265" spans="1:11">
      <c r="A265" s="3">
        <v>42671</v>
      </c>
      <c r="B265" s="3">
        <v>199.97</v>
      </c>
      <c r="C265" s="4">
        <f t="shared" si="14"/>
        <v>-9.9999999999994316E-2</v>
      </c>
      <c r="D265" s="4">
        <f t="shared" si="15"/>
        <v>1.7699999999999818</v>
      </c>
      <c r="E265" s="3">
        <f t="shared" si="16"/>
        <v>-4.039999999999992</v>
      </c>
      <c r="F265" s="3">
        <v>10788.339999999927</v>
      </c>
      <c r="G265" s="3">
        <v>0</v>
      </c>
      <c r="H265" s="3">
        <f t="shared" si="17"/>
        <v>10788.339999999927</v>
      </c>
      <c r="I265" s="3"/>
      <c r="J265" s="3"/>
      <c r="K265" s="3"/>
    </row>
    <row r="266" spans="1:11">
      <c r="A266" s="3">
        <v>42674</v>
      </c>
      <c r="B266" s="3">
        <v>197.73</v>
      </c>
      <c r="C266" s="4">
        <f t="shared" si="14"/>
        <v>1.7699999999999818</v>
      </c>
      <c r="D266" s="4">
        <f t="shared" si="15"/>
        <v>-4.039999999999992</v>
      </c>
      <c r="E266" s="3">
        <f t="shared" si="16"/>
        <v>-2.2400000000000091</v>
      </c>
      <c r="F266" s="3">
        <v>10788.339999999927</v>
      </c>
      <c r="G266" s="3">
        <v>0</v>
      </c>
      <c r="H266" s="3">
        <f t="shared" si="17"/>
        <v>10788.339999999927</v>
      </c>
      <c r="I266" s="3"/>
      <c r="J266" s="3"/>
      <c r="K266" s="3"/>
    </row>
    <row r="267" spans="1:11">
      <c r="A267" s="3">
        <v>42675</v>
      </c>
      <c r="B267" s="3">
        <v>190.79</v>
      </c>
      <c r="C267" s="4">
        <f t="shared" si="14"/>
        <v>-4.039999999999992</v>
      </c>
      <c r="D267" s="4">
        <f t="shared" si="15"/>
        <v>-2.2400000000000091</v>
      </c>
      <c r="E267" s="3">
        <f t="shared" si="16"/>
        <v>-6.9399999999999977</v>
      </c>
      <c r="F267" s="3">
        <v>10788.339999999927</v>
      </c>
      <c r="G267" s="3">
        <v>0</v>
      </c>
      <c r="H267" s="3">
        <f t="shared" si="17"/>
        <v>10788.339999999927</v>
      </c>
      <c r="I267" s="3"/>
      <c r="J267" s="3"/>
      <c r="K267" s="3"/>
    </row>
    <row r="268" spans="1:11">
      <c r="A268" s="3">
        <v>42676</v>
      </c>
      <c r="B268" s="3">
        <v>188.02</v>
      </c>
      <c r="C268" s="4">
        <f t="shared" si="14"/>
        <v>-2.2400000000000091</v>
      </c>
      <c r="D268" s="4">
        <f t="shared" si="15"/>
        <v>-6.9399999999999977</v>
      </c>
      <c r="E268" s="3">
        <f t="shared" si="16"/>
        <v>-2.7699999999999818</v>
      </c>
      <c r="F268" s="3">
        <v>10788.339999999927</v>
      </c>
      <c r="G268" s="3">
        <v>0</v>
      </c>
      <c r="H268" s="3">
        <f t="shared" si="17"/>
        <v>10788.339999999927</v>
      </c>
      <c r="I268" s="3"/>
      <c r="J268" s="3"/>
      <c r="K268" s="3"/>
    </row>
    <row r="269" spans="1:11">
      <c r="A269" s="3">
        <v>42677</v>
      </c>
      <c r="B269" s="3">
        <v>187.42</v>
      </c>
      <c r="C269" s="4">
        <f t="shared" ref="C269:C332" si="18">B267-B266</f>
        <v>-6.9399999999999977</v>
      </c>
      <c r="D269" s="4">
        <f t="shared" ref="D269:D332" si="19">B268-B267</f>
        <v>-2.7699999999999818</v>
      </c>
      <c r="E269" s="3">
        <f t="shared" ref="E269:E332" si="20">B269-B268</f>
        <v>-0.60000000000002274</v>
      </c>
      <c r="F269" s="3">
        <v>10788.339999999927</v>
      </c>
      <c r="G269" s="3">
        <v>0</v>
      </c>
      <c r="H269" s="3">
        <f t="shared" si="17"/>
        <v>10788.339999999927</v>
      </c>
      <c r="I269" s="3"/>
      <c r="J269" s="3"/>
      <c r="K269" s="3"/>
    </row>
    <row r="270" spans="1:11">
      <c r="A270" s="3">
        <v>42678</v>
      </c>
      <c r="B270" s="3">
        <v>190.56</v>
      </c>
      <c r="C270" s="4">
        <f t="shared" si="18"/>
        <v>-2.7699999999999818</v>
      </c>
      <c r="D270" s="4">
        <f t="shared" si="19"/>
        <v>-0.60000000000002274</v>
      </c>
      <c r="E270" s="3">
        <f t="shared" si="20"/>
        <v>3.1400000000000148</v>
      </c>
      <c r="F270" s="3">
        <v>10788.339999999927</v>
      </c>
      <c r="G270" s="3">
        <v>0</v>
      </c>
      <c r="H270" s="3">
        <f t="shared" si="17"/>
        <v>10788.339999999927</v>
      </c>
      <c r="I270" s="3"/>
      <c r="J270" s="3"/>
      <c r="K270" s="3"/>
    </row>
    <row r="271" spans="1:11">
      <c r="A271" s="3">
        <v>42681</v>
      </c>
      <c r="B271" s="3">
        <v>193.21</v>
      </c>
      <c r="C271" s="4">
        <f t="shared" si="18"/>
        <v>-0.60000000000002274</v>
      </c>
      <c r="D271" s="4">
        <f t="shared" si="19"/>
        <v>3.1400000000000148</v>
      </c>
      <c r="E271" s="3">
        <f t="shared" si="20"/>
        <v>2.6500000000000057</v>
      </c>
      <c r="F271" s="3">
        <v>161.78999999993724</v>
      </c>
      <c r="G271" s="3">
        <v>10626.550000000001</v>
      </c>
      <c r="H271" s="3">
        <f t="shared" si="17"/>
        <v>10788.339999999938</v>
      </c>
      <c r="I271" s="3"/>
      <c r="J271" s="3"/>
      <c r="K271" s="3"/>
    </row>
    <row r="272" spans="1:11">
      <c r="A272" s="3">
        <v>42682</v>
      </c>
      <c r="B272" s="3">
        <v>194.94</v>
      </c>
      <c r="C272" s="4">
        <f t="shared" si="18"/>
        <v>3.1400000000000148</v>
      </c>
      <c r="D272" s="4">
        <f t="shared" si="19"/>
        <v>2.6500000000000057</v>
      </c>
      <c r="E272" s="3">
        <f t="shared" si="20"/>
        <v>1.7299999999999898</v>
      </c>
      <c r="F272" s="3">
        <v>161.78999999993724</v>
      </c>
      <c r="G272" s="3">
        <v>10721.7</v>
      </c>
      <c r="H272" s="3">
        <f t="shared" si="17"/>
        <v>10883.489999999938</v>
      </c>
      <c r="I272" s="3"/>
      <c r="J272" s="3"/>
      <c r="K272" s="3"/>
    </row>
    <row r="273" spans="1:11">
      <c r="A273" s="3">
        <v>42683</v>
      </c>
      <c r="B273" s="3">
        <v>190.06</v>
      </c>
      <c r="C273" s="4">
        <f t="shared" si="18"/>
        <v>2.6500000000000057</v>
      </c>
      <c r="D273" s="4">
        <f t="shared" si="19"/>
        <v>1.7299999999999898</v>
      </c>
      <c r="E273" s="3">
        <f t="shared" si="20"/>
        <v>-4.8799999999999955</v>
      </c>
      <c r="F273" s="3">
        <v>161.78999999993724</v>
      </c>
      <c r="G273" s="3">
        <v>10453.299999999999</v>
      </c>
      <c r="H273" s="3">
        <f t="shared" si="17"/>
        <v>10615.089999999936</v>
      </c>
      <c r="I273" s="3"/>
      <c r="J273" s="3"/>
      <c r="K273" s="3"/>
    </row>
    <row r="274" spans="1:11">
      <c r="A274" s="3">
        <v>42684</v>
      </c>
      <c r="B274" s="3">
        <v>185.35</v>
      </c>
      <c r="C274" s="4">
        <f t="shared" si="18"/>
        <v>1.7299999999999898</v>
      </c>
      <c r="D274" s="4">
        <f t="shared" si="19"/>
        <v>-4.8799999999999955</v>
      </c>
      <c r="E274" s="3">
        <f t="shared" si="20"/>
        <v>-4.710000000000008</v>
      </c>
      <c r="F274" s="3">
        <v>10356.039999999937</v>
      </c>
      <c r="G274" s="3">
        <v>0</v>
      </c>
      <c r="H274" s="3">
        <f t="shared" si="17"/>
        <v>10356.039999999937</v>
      </c>
      <c r="I274" s="3"/>
      <c r="J274" s="3"/>
      <c r="K274" s="3"/>
    </row>
    <row r="275" spans="1:11">
      <c r="A275" s="3">
        <v>42685</v>
      </c>
      <c r="B275" s="3">
        <v>188.56</v>
      </c>
      <c r="C275" s="4">
        <f t="shared" si="18"/>
        <v>-4.8799999999999955</v>
      </c>
      <c r="D275" s="4">
        <f t="shared" si="19"/>
        <v>-4.710000000000008</v>
      </c>
      <c r="E275" s="3">
        <f t="shared" si="20"/>
        <v>3.210000000000008</v>
      </c>
      <c r="F275" s="3">
        <v>10356.039999999937</v>
      </c>
      <c r="G275" s="3">
        <v>0</v>
      </c>
      <c r="H275" s="3">
        <f t="shared" si="17"/>
        <v>10356.039999999937</v>
      </c>
      <c r="I275" s="3"/>
      <c r="J275" s="3"/>
      <c r="K275" s="3"/>
    </row>
    <row r="276" spans="1:11">
      <c r="A276" s="3">
        <v>42688</v>
      </c>
      <c r="B276" s="3">
        <v>181.45</v>
      </c>
      <c r="C276" s="4">
        <f t="shared" si="18"/>
        <v>-4.710000000000008</v>
      </c>
      <c r="D276" s="4">
        <f t="shared" si="19"/>
        <v>3.210000000000008</v>
      </c>
      <c r="E276" s="3">
        <f t="shared" si="20"/>
        <v>-7.1100000000000136</v>
      </c>
      <c r="F276" s="3">
        <v>10356.039999999937</v>
      </c>
      <c r="G276" s="3">
        <v>0</v>
      </c>
      <c r="H276" s="3">
        <f t="shared" si="17"/>
        <v>10356.039999999937</v>
      </c>
      <c r="I276" s="3"/>
      <c r="J276" s="3"/>
      <c r="K276" s="3"/>
    </row>
    <row r="277" spans="1:11">
      <c r="A277" s="3">
        <v>42689</v>
      </c>
      <c r="B277" s="3">
        <v>183.77</v>
      </c>
      <c r="C277" s="4">
        <f t="shared" si="18"/>
        <v>3.210000000000008</v>
      </c>
      <c r="D277" s="4">
        <f t="shared" si="19"/>
        <v>-7.1100000000000136</v>
      </c>
      <c r="E277" s="3">
        <f t="shared" si="20"/>
        <v>2.3200000000000216</v>
      </c>
      <c r="F277" s="3">
        <v>10356.039999999937</v>
      </c>
      <c r="G277" s="3">
        <v>0</v>
      </c>
      <c r="H277" s="3">
        <f t="shared" si="17"/>
        <v>10356.039999999937</v>
      </c>
      <c r="I277" s="3"/>
      <c r="J277" s="3"/>
      <c r="K277" s="3"/>
    </row>
    <row r="278" spans="1:11">
      <c r="A278" s="3">
        <v>42690</v>
      </c>
      <c r="B278" s="3">
        <v>183.93</v>
      </c>
      <c r="C278" s="4">
        <f t="shared" si="18"/>
        <v>-7.1100000000000136</v>
      </c>
      <c r="D278" s="4">
        <f t="shared" si="19"/>
        <v>2.3200000000000216</v>
      </c>
      <c r="E278" s="3">
        <f t="shared" si="20"/>
        <v>0.15999999999999659</v>
      </c>
      <c r="F278" s="3">
        <v>55.959999999928584</v>
      </c>
      <c r="G278" s="3">
        <v>10300.08</v>
      </c>
      <c r="H278" s="3">
        <f t="shared" ref="H278:H341" si="21">G278+F278</f>
        <v>10356.039999999928</v>
      </c>
      <c r="I278" s="3"/>
      <c r="J278" s="3"/>
      <c r="K278" s="3"/>
    </row>
    <row r="279" spans="1:11">
      <c r="A279" s="3">
        <v>42691</v>
      </c>
      <c r="B279" s="3">
        <v>188.66</v>
      </c>
      <c r="C279" s="4">
        <f t="shared" si="18"/>
        <v>2.3200000000000216</v>
      </c>
      <c r="D279" s="4">
        <f t="shared" si="19"/>
        <v>0.15999999999999659</v>
      </c>
      <c r="E279" s="3">
        <f t="shared" si="20"/>
        <v>4.7299999999999898</v>
      </c>
      <c r="F279" s="3">
        <v>55.959999999928584</v>
      </c>
      <c r="G279" s="3">
        <v>10564.96</v>
      </c>
      <c r="H279" s="3">
        <f t="shared" si="21"/>
        <v>10620.919999999927</v>
      </c>
      <c r="I279" s="3"/>
      <c r="J279" s="3"/>
      <c r="K279" s="3"/>
    </row>
    <row r="280" spans="1:11">
      <c r="A280" s="3">
        <v>42692</v>
      </c>
      <c r="B280" s="3">
        <v>185.02</v>
      </c>
      <c r="C280" s="4">
        <f t="shared" si="18"/>
        <v>0.15999999999999659</v>
      </c>
      <c r="D280" s="4">
        <f t="shared" si="19"/>
        <v>4.7299999999999898</v>
      </c>
      <c r="E280" s="3">
        <f t="shared" si="20"/>
        <v>-3.6399999999999864</v>
      </c>
      <c r="F280" s="3">
        <v>55.959999999928584</v>
      </c>
      <c r="G280" s="3">
        <v>10361.120000000001</v>
      </c>
      <c r="H280" s="3">
        <f t="shared" si="21"/>
        <v>10417.079999999929</v>
      </c>
      <c r="I280" s="3"/>
      <c r="J280" s="3"/>
      <c r="K280" s="3"/>
    </row>
    <row r="281" spans="1:11">
      <c r="A281" s="3">
        <v>42695</v>
      </c>
      <c r="B281" s="3">
        <v>184.52</v>
      </c>
      <c r="C281" s="4">
        <f t="shared" si="18"/>
        <v>4.7299999999999898</v>
      </c>
      <c r="D281" s="4">
        <f t="shared" si="19"/>
        <v>-3.6399999999999864</v>
      </c>
      <c r="E281" s="3">
        <f t="shared" si="20"/>
        <v>-0.5</v>
      </c>
      <c r="F281" s="3">
        <v>10389.079999999929</v>
      </c>
      <c r="G281" s="3">
        <v>0</v>
      </c>
      <c r="H281" s="3">
        <f t="shared" si="21"/>
        <v>10389.079999999929</v>
      </c>
      <c r="I281" s="3"/>
      <c r="J281" s="3"/>
      <c r="K281" s="3"/>
    </row>
    <row r="282" spans="1:11">
      <c r="A282" s="3">
        <v>42696</v>
      </c>
      <c r="B282" s="3">
        <v>191.17</v>
      </c>
      <c r="C282" s="4">
        <f t="shared" si="18"/>
        <v>-3.6399999999999864</v>
      </c>
      <c r="D282" s="4">
        <f t="shared" si="19"/>
        <v>-0.5</v>
      </c>
      <c r="E282" s="3">
        <f t="shared" si="20"/>
        <v>6.6499999999999773</v>
      </c>
      <c r="F282" s="3">
        <v>10389.079999999929</v>
      </c>
      <c r="G282" s="3">
        <v>0</v>
      </c>
      <c r="H282" s="3">
        <f t="shared" si="21"/>
        <v>10389.079999999929</v>
      </c>
      <c r="I282" s="3"/>
      <c r="J282" s="3"/>
      <c r="K282" s="3"/>
    </row>
    <row r="283" spans="1:11">
      <c r="A283" s="3">
        <v>42697</v>
      </c>
      <c r="B283" s="3">
        <v>193.14</v>
      </c>
      <c r="C283" s="4">
        <f t="shared" si="18"/>
        <v>-0.5</v>
      </c>
      <c r="D283" s="4">
        <f t="shared" si="19"/>
        <v>6.6499999999999773</v>
      </c>
      <c r="E283" s="3">
        <f t="shared" si="20"/>
        <v>1.9699999999999989</v>
      </c>
      <c r="F283" s="3">
        <v>152.65999999993062</v>
      </c>
      <c r="G283" s="3">
        <v>10236.42</v>
      </c>
      <c r="H283" s="3">
        <f t="shared" si="21"/>
        <v>10389.079999999931</v>
      </c>
      <c r="I283" s="3"/>
      <c r="J283" s="3"/>
      <c r="K283" s="3"/>
    </row>
    <row r="284" spans="1:11">
      <c r="A284" s="3">
        <v>42699</v>
      </c>
      <c r="B284" s="3">
        <v>196.65</v>
      </c>
      <c r="C284" s="4">
        <f t="shared" si="18"/>
        <v>6.6499999999999773</v>
      </c>
      <c r="D284" s="4">
        <f t="shared" si="19"/>
        <v>1.9699999999999989</v>
      </c>
      <c r="E284" s="3">
        <f t="shared" si="20"/>
        <v>3.5100000000000193</v>
      </c>
      <c r="F284" s="3">
        <v>152.65999999993062</v>
      </c>
      <c r="G284" s="3">
        <v>10422.450000000001</v>
      </c>
      <c r="H284" s="3">
        <f t="shared" si="21"/>
        <v>10575.109999999931</v>
      </c>
      <c r="I284" s="3"/>
      <c r="J284" s="3"/>
      <c r="K284" s="3"/>
    </row>
    <row r="285" spans="1:11">
      <c r="A285" s="3">
        <v>42702</v>
      </c>
      <c r="B285" s="3">
        <v>196.12</v>
      </c>
      <c r="C285" s="4">
        <f t="shared" si="18"/>
        <v>1.9699999999999989</v>
      </c>
      <c r="D285" s="4">
        <f t="shared" si="19"/>
        <v>3.5100000000000193</v>
      </c>
      <c r="E285" s="3">
        <f t="shared" si="20"/>
        <v>-0.53000000000000114</v>
      </c>
      <c r="F285" s="3">
        <v>152.65999999993062</v>
      </c>
      <c r="G285" s="3">
        <v>10394.36</v>
      </c>
      <c r="H285" s="3">
        <f t="shared" si="21"/>
        <v>10547.019999999931</v>
      </c>
      <c r="I285" s="3"/>
      <c r="J285" s="3"/>
      <c r="K285" s="3"/>
    </row>
    <row r="286" spans="1:11">
      <c r="A286" s="3">
        <v>42703</v>
      </c>
      <c r="B286" s="3">
        <v>189.57</v>
      </c>
      <c r="C286" s="4">
        <f t="shared" si="18"/>
        <v>3.5100000000000193</v>
      </c>
      <c r="D286" s="4">
        <f t="shared" si="19"/>
        <v>-0.53000000000000114</v>
      </c>
      <c r="E286" s="3">
        <f t="shared" si="20"/>
        <v>-6.5500000000000114</v>
      </c>
      <c r="F286" s="3">
        <v>10199.86999999993</v>
      </c>
      <c r="G286" s="3">
        <v>0</v>
      </c>
      <c r="H286" s="3">
        <f t="shared" si="21"/>
        <v>10199.86999999993</v>
      </c>
      <c r="I286" s="3"/>
      <c r="J286" s="3"/>
      <c r="K286" s="3"/>
    </row>
    <row r="287" spans="1:11">
      <c r="A287" s="3">
        <v>42704</v>
      </c>
      <c r="B287" s="3">
        <v>189.4</v>
      </c>
      <c r="C287" s="4">
        <f t="shared" si="18"/>
        <v>-0.53000000000000114</v>
      </c>
      <c r="D287" s="4">
        <f t="shared" si="19"/>
        <v>-6.5500000000000114</v>
      </c>
      <c r="E287" s="3">
        <f t="shared" si="20"/>
        <v>-0.16999999999998749</v>
      </c>
      <c r="F287" s="3">
        <v>10199.86999999993</v>
      </c>
      <c r="G287" s="3">
        <v>0</v>
      </c>
      <c r="H287" s="3">
        <f t="shared" si="21"/>
        <v>10199.86999999993</v>
      </c>
      <c r="I287" s="3"/>
      <c r="J287" s="3"/>
      <c r="K287" s="3"/>
    </row>
    <row r="288" spans="1:11">
      <c r="A288" s="3">
        <v>42705</v>
      </c>
      <c r="B288" s="3">
        <v>181.88</v>
      </c>
      <c r="C288" s="4">
        <f t="shared" si="18"/>
        <v>-6.5500000000000114</v>
      </c>
      <c r="D288" s="4">
        <f t="shared" si="19"/>
        <v>-0.16999999999998749</v>
      </c>
      <c r="E288" s="3">
        <f t="shared" si="20"/>
        <v>-7.5200000000000102</v>
      </c>
      <c r="F288" s="3">
        <v>10199.86999999993</v>
      </c>
      <c r="G288" s="3">
        <v>0</v>
      </c>
      <c r="H288" s="3">
        <f t="shared" si="21"/>
        <v>10199.86999999993</v>
      </c>
      <c r="I288" s="3"/>
      <c r="J288" s="3"/>
      <c r="K288" s="3"/>
    </row>
    <row r="289" spans="1:11">
      <c r="A289" s="3">
        <v>42706</v>
      </c>
      <c r="B289" s="3">
        <v>181.47</v>
      </c>
      <c r="C289" s="4">
        <f t="shared" si="18"/>
        <v>-0.16999999999998749</v>
      </c>
      <c r="D289" s="4">
        <f t="shared" si="19"/>
        <v>-7.5200000000000102</v>
      </c>
      <c r="E289" s="3">
        <f t="shared" si="20"/>
        <v>-0.40999999999999659</v>
      </c>
      <c r="F289" s="3">
        <v>10199.86999999993</v>
      </c>
      <c r="G289" s="3">
        <v>0</v>
      </c>
      <c r="H289" s="3">
        <f t="shared" si="21"/>
        <v>10199.86999999993</v>
      </c>
      <c r="I289" s="3"/>
      <c r="J289" s="3"/>
      <c r="K289" s="3"/>
    </row>
    <row r="290" spans="1:11">
      <c r="A290" s="3">
        <v>42709</v>
      </c>
      <c r="B290" s="3">
        <v>186.8</v>
      </c>
      <c r="C290" s="4">
        <f t="shared" si="18"/>
        <v>-7.5200000000000102</v>
      </c>
      <c r="D290" s="4">
        <f t="shared" si="19"/>
        <v>-0.40999999999999659</v>
      </c>
      <c r="E290" s="3">
        <f t="shared" si="20"/>
        <v>5.3300000000000125</v>
      </c>
      <c r="F290" s="3">
        <v>10199.86999999993</v>
      </c>
      <c r="G290" s="3">
        <v>0</v>
      </c>
      <c r="H290" s="3">
        <f t="shared" si="21"/>
        <v>10199.86999999993</v>
      </c>
      <c r="I290" s="3"/>
      <c r="J290" s="3"/>
      <c r="K290" s="3"/>
    </row>
    <row r="291" spans="1:11">
      <c r="A291" s="3">
        <v>42710</v>
      </c>
      <c r="B291" s="3">
        <v>185.85</v>
      </c>
      <c r="C291" s="4">
        <f t="shared" si="18"/>
        <v>-0.40999999999999659</v>
      </c>
      <c r="D291" s="4">
        <f t="shared" si="19"/>
        <v>5.3300000000000125</v>
      </c>
      <c r="E291" s="3">
        <f t="shared" si="20"/>
        <v>-0.95000000000001705</v>
      </c>
      <c r="F291" s="3">
        <v>10199.86999999993</v>
      </c>
      <c r="G291" s="3">
        <v>0</v>
      </c>
      <c r="H291" s="3">
        <f t="shared" si="21"/>
        <v>10199.86999999993</v>
      </c>
      <c r="I291" s="3"/>
      <c r="J291" s="3"/>
      <c r="K291" s="3"/>
    </row>
    <row r="292" spans="1:11">
      <c r="A292" s="3">
        <v>42711</v>
      </c>
      <c r="B292" s="3">
        <v>193.15</v>
      </c>
      <c r="C292" s="4">
        <f t="shared" si="18"/>
        <v>5.3300000000000125</v>
      </c>
      <c r="D292" s="4">
        <f t="shared" si="19"/>
        <v>-0.95000000000001705</v>
      </c>
      <c r="E292" s="3">
        <f t="shared" si="20"/>
        <v>7.3000000000000114</v>
      </c>
      <c r="F292" s="3">
        <v>10199.86999999993</v>
      </c>
      <c r="G292" s="3">
        <v>0</v>
      </c>
      <c r="H292" s="3">
        <f t="shared" si="21"/>
        <v>10199.86999999993</v>
      </c>
      <c r="I292" s="3"/>
      <c r="J292" s="3"/>
      <c r="K292" s="3"/>
    </row>
    <row r="293" spans="1:11">
      <c r="A293" s="3">
        <v>42712</v>
      </c>
      <c r="B293" s="3">
        <v>192.29</v>
      </c>
      <c r="C293" s="4">
        <f t="shared" si="18"/>
        <v>-0.95000000000001705</v>
      </c>
      <c r="D293" s="4">
        <f t="shared" si="19"/>
        <v>7.3000000000000114</v>
      </c>
      <c r="E293" s="3">
        <f t="shared" si="20"/>
        <v>-0.86000000000001364</v>
      </c>
      <c r="F293" s="3">
        <v>10199.86999999993</v>
      </c>
      <c r="G293" s="3">
        <v>0</v>
      </c>
      <c r="H293" s="3">
        <f t="shared" si="21"/>
        <v>10199.86999999993</v>
      </c>
      <c r="I293" s="3"/>
      <c r="J293" s="3"/>
      <c r="K293" s="3"/>
    </row>
    <row r="294" spans="1:11">
      <c r="A294" s="3">
        <v>42713</v>
      </c>
      <c r="B294" s="3">
        <v>192.18</v>
      </c>
      <c r="C294" s="4">
        <f t="shared" si="18"/>
        <v>7.3000000000000114</v>
      </c>
      <c r="D294" s="4">
        <f t="shared" si="19"/>
        <v>-0.86000000000001364</v>
      </c>
      <c r="E294" s="3">
        <f t="shared" si="20"/>
        <v>-0.10999999999998522</v>
      </c>
      <c r="F294" s="3">
        <v>10199.86999999993</v>
      </c>
      <c r="G294" s="3">
        <v>0</v>
      </c>
      <c r="H294" s="3">
        <f t="shared" si="21"/>
        <v>10199.86999999993</v>
      </c>
      <c r="I294" s="3"/>
      <c r="J294" s="3"/>
      <c r="K294" s="3"/>
    </row>
    <row r="295" spans="1:11">
      <c r="A295" s="3">
        <v>42716</v>
      </c>
      <c r="B295" s="3">
        <v>192.43</v>
      </c>
      <c r="C295" s="4">
        <f t="shared" si="18"/>
        <v>-0.86000000000001364</v>
      </c>
      <c r="D295" s="4">
        <f t="shared" si="19"/>
        <v>-0.10999999999998522</v>
      </c>
      <c r="E295" s="3">
        <f t="shared" si="20"/>
        <v>0.25</v>
      </c>
      <c r="F295" s="3">
        <v>10199.86999999993</v>
      </c>
      <c r="G295" s="3">
        <v>0</v>
      </c>
      <c r="H295" s="3">
        <f t="shared" si="21"/>
        <v>10199.86999999993</v>
      </c>
      <c r="I295" s="3"/>
      <c r="J295" s="3"/>
      <c r="K295" s="3"/>
    </row>
    <row r="296" spans="1:11">
      <c r="A296" s="3">
        <v>42717</v>
      </c>
      <c r="B296" s="3">
        <v>198.15</v>
      </c>
      <c r="C296" s="4">
        <f t="shared" si="18"/>
        <v>-0.10999999999998522</v>
      </c>
      <c r="D296" s="4">
        <f t="shared" si="19"/>
        <v>0.25</v>
      </c>
      <c r="E296" s="3">
        <f t="shared" si="20"/>
        <v>5.7199999999999989</v>
      </c>
      <c r="F296" s="3">
        <v>94.219999999939404</v>
      </c>
      <c r="G296" s="3">
        <v>10105.65</v>
      </c>
      <c r="H296" s="3">
        <f t="shared" si="21"/>
        <v>10199.869999999939</v>
      </c>
      <c r="I296" s="3"/>
      <c r="J296" s="3"/>
      <c r="K296" s="3"/>
    </row>
    <row r="297" spans="1:11">
      <c r="A297" s="3">
        <v>42718</v>
      </c>
      <c r="B297" s="3">
        <v>198.69</v>
      </c>
      <c r="C297" s="4">
        <f t="shared" si="18"/>
        <v>0.25</v>
      </c>
      <c r="D297" s="4">
        <f t="shared" si="19"/>
        <v>5.7199999999999989</v>
      </c>
      <c r="E297" s="3">
        <f t="shared" si="20"/>
        <v>0.53999999999999204</v>
      </c>
      <c r="F297" s="3">
        <v>94.219999999939404</v>
      </c>
      <c r="G297" s="3">
        <v>10133.19</v>
      </c>
      <c r="H297" s="3">
        <f t="shared" si="21"/>
        <v>10227.40999999994</v>
      </c>
      <c r="I297" s="3"/>
      <c r="J297" s="3"/>
      <c r="K297" s="3"/>
    </row>
    <row r="298" spans="1:11">
      <c r="A298" s="3">
        <v>42719</v>
      </c>
      <c r="B298" s="3">
        <v>197.58</v>
      </c>
      <c r="C298" s="4">
        <f t="shared" si="18"/>
        <v>5.7199999999999989</v>
      </c>
      <c r="D298" s="4">
        <f t="shared" si="19"/>
        <v>0.53999999999999204</v>
      </c>
      <c r="E298" s="3">
        <f t="shared" si="20"/>
        <v>-1.1099999999999852</v>
      </c>
      <c r="F298" s="3">
        <v>94.219999999939404</v>
      </c>
      <c r="G298" s="3">
        <v>10076.58</v>
      </c>
      <c r="H298" s="3">
        <f t="shared" si="21"/>
        <v>10170.799999999939</v>
      </c>
      <c r="I298" s="3"/>
      <c r="J298" s="3"/>
      <c r="K298" s="3"/>
    </row>
    <row r="299" spans="1:11">
      <c r="A299" s="3">
        <v>42720</v>
      </c>
      <c r="B299" s="3">
        <v>202.49</v>
      </c>
      <c r="C299" s="4">
        <f t="shared" si="18"/>
        <v>0.53999999999999204</v>
      </c>
      <c r="D299" s="4">
        <f t="shared" si="19"/>
        <v>-1.1099999999999852</v>
      </c>
      <c r="E299" s="3">
        <f t="shared" si="20"/>
        <v>4.9099999999999966</v>
      </c>
      <c r="F299" s="3">
        <v>94.219999999939404</v>
      </c>
      <c r="G299" s="3">
        <v>10326.99</v>
      </c>
      <c r="H299" s="3">
        <f t="shared" si="21"/>
        <v>10421.209999999939</v>
      </c>
      <c r="I299" s="3"/>
      <c r="J299" s="3"/>
      <c r="K299" s="3"/>
    </row>
    <row r="300" spans="1:11">
      <c r="A300" s="3">
        <v>42723</v>
      </c>
      <c r="B300" s="3">
        <v>202.73</v>
      </c>
      <c r="C300" s="4">
        <f t="shared" si="18"/>
        <v>-1.1099999999999852</v>
      </c>
      <c r="D300" s="4">
        <f t="shared" si="19"/>
        <v>4.9099999999999966</v>
      </c>
      <c r="E300" s="3">
        <f t="shared" si="20"/>
        <v>0.23999999999998067</v>
      </c>
      <c r="F300" s="3">
        <v>94.219999999939404</v>
      </c>
      <c r="G300" s="3">
        <v>10339.23</v>
      </c>
      <c r="H300" s="3">
        <f t="shared" si="21"/>
        <v>10433.449999999939</v>
      </c>
      <c r="I300" s="3"/>
      <c r="J300" s="3"/>
      <c r="K300" s="3"/>
    </row>
    <row r="301" spans="1:11">
      <c r="A301" s="3">
        <v>42724</v>
      </c>
      <c r="B301" s="3">
        <v>208.79</v>
      </c>
      <c r="C301" s="4">
        <f t="shared" si="18"/>
        <v>4.9099999999999966</v>
      </c>
      <c r="D301" s="4">
        <f t="shared" si="19"/>
        <v>0.23999999999998067</v>
      </c>
      <c r="E301" s="3">
        <f t="shared" si="20"/>
        <v>6.0600000000000023</v>
      </c>
      <c r="F301" s="3">
        <v>94.219999999939404</v>
      </c>
      <c r="G301" s="3">
        <v>10648.289999999999</v>
      </c>
      <c r="H301" s="3">
        <f t="shared" si="21"/>
        <v>10742.509999999938</v>
      </c>
      <c r="I301" s="3"/>
      <c r="J301" s="3"/>
      <c r="K301" s="3"/>
    </row>
    <row r="302" spans="1:11">
      <c r="A302" s="3">
        <v>42725</v>
      </c>
      <c r="B302" s="3">
        <v>207.7</v>
      </c>
      <c r="C302" s="4">
        <f t="shared" si="18"/>
        <v>0.23999999999998067</v>
      </c>
      <c r="D302" s="4">
        <f t="shared" si="19"/>
        <v>6.0600000000000023</v>
      </c>
      <c r="E302" s="3">
        <f t="shared" si="20"/>
        <v>-1.0900000000000034</v>
      </c>
      <c r="F302" s="3">
        <v>94.219999999939404</v>
      </c>
      <c r="G302" s="3">
        <v>10592.699999999999</v>
      </c>
      <c r="H302" s="3">
        <f t="shared" si="21"/>
        <v>10686.919999999938</v>
      </c>
      <c r="I302" s="3"/>
      <c r="J302" s="3"/>
      <c r="K302" s="3"/>
    </row>
    <row r="303" spans="1:11">
      <c r="A303" s="3">
        <v>42726</v>
      </c>
      <c r="B303" s="3">
        <v>208.45</v>
      </c>
      <c r="C303" s="4">
        <f t="shared" si="18"/>
        <v>6.0600000000000023</v>
      </c>
      <c r="D303" s="4">
        <f t="shared" si="19"/>
        <v>-1.0900000000000034</v>
      </c>
      <c r="E303" s="3">
        <f t="shared" si="20"/>
        <v>0.75</v>
      </c>
      <c r="F303" s="3">
        <v>94.219999999939404</v>
      </c>
      <c r="G303" s="3">
        <v>10630.949999999999</v>
      </c>
      <c r="H303" s="3">
        <f t="shared" si="21"/>
        <v>10725.169999999938</v>
      </c>
      <c r="I303" s="3"/>
      <c r="J303" s="3"/>
      <c r="K303" s="3"/>
    </row>
    <row r="304" spans="1:11">
      <c r="A304" s="3">
        <v>42727</v>
      </c>
      <c r="B304" s="3">
        <v>213.34</v>
      </c>
      <c r="C304" s="4">
        <f t="shared" si="18"/>
        <v>-1.0900000000000034</v>
      </c>
      <c r="D304" s="4">
        <f t="shared" si="19"/>
        <v>0.75</v>
      </c>
      <c r="E304" s="3">
        <f t="shared" si="20"/>
        <v>4.8900000000000148</v>
      </c>
      <c r="F304" s="3">
        <v>94.219999999939404</v>
      </c>
      <c r="G304" s="3">
        <v>10880.34</v>
      </c>
      <c r="H304" s="3">
        <f t="shared" si="21"/>
        <v>10974.559999999939</v>
      </c>
      <c r="I304" s="3"/>
      <c r="J304" s="3"/>
      <c r="K304" s="3"/>
    </row>
    <row r="305" spans="1:11">
      <c r="A305" s="3">
        <v>42731</v>
      </c>
      <c r="B305" s="3">
        <v>219.53</v>
      </c>
      <c r="C305" s="4">
        <f t="shared" si="18"/>
        <v>0.75</v>
      </c>
      <c r="D305" s="4">
        <f t="shared" si="19"/>
        <v>4.8900000000000148</v>
      </c>
      <c r="E305" s="3">
        <f t="shared" si="20"/>
        <v>6.1899999999999977</v>
      </c>
      <c r="F305" s="3">
        <v>94.219999999939404</v>
      </c>
      <c r="G305" s="3">
        <v>11196.03</v>
      </c>
      <c r="H305" s="3">
        <f t="shared" si="21"/>
        <v>11290.24999999994</v>
      </c>
      <c r="I305" s="3"/>
      <c r="J305" s="3"/>
      <c r="K305" s="3"/>
    </row>
    <row r="306" spans="1:11">
      <c r="A306" s="3">
        <v>42732</v>
      </c>
      <c r="B306" s="3">
        <v>219.74</v>
      </c>
      <c r="C306" s="4">
        <f t="shared" si="18"/>
        <v>4.8900000000000148</v>
      </c>
      <c r="D306" s="4">
        <f t="shared" si="19"/>
        <v>6.1899999999999977</v>
      </c>
      <c r="E306" s="3">
        <f t="shared" si="20"/>
        <v>0.21000000000000796</v>
      </c>
      <c r="F306" s="3">
        <v>94.219999999939404</v>
      </c>
      <c r="G306" s="3">
        <v>11206.74</v>
      </c>
      <c r="H306" s="3">
        <f t="shared" si="21"/>
        <v>11300.959999999939</v>
      </c>
      <c r="I306" s="3"/>
      <c r="J306" s="3"/>
      <c r="K306" s="3"/>
    </row>
    <row r="307" spans="1:11">
      <c r="A307" s="3">
        <v>42733</v>
      </c>
      <c r="B307" s="3">
        <v>214.68</v>
      </c>
      <c r="C307" s="4">
        <f t="shared" si="18"/>
        <v>6.1899999999999977</v>
      </c>
      <c r="D307" s="4">
        <f t="shared" si="19"/>
        <v>0.21000000000000796</v>
      </c>
      <c r="E307" s="3">
        <f t="shared" si="20"/>
        <v>-5.0600000000000023</v>
      </c>
      <c r="F307" s="3">
        <v>94.219999999939404</v>
      </c>
      <c r="G307" s="3">
        <v>10948.68</v>
      </c>
      <c r="H307" s="3">
        <f t="shared" si="21"/>
        <v>11042.89999999994</v>
      </c>
      <c r="I307" s="3"/>
      <c r="J307" s="3"/>
      <c r="K307" s="3"/>
    </row>
    <row r="308" spans="1:11">
      <c r="A308" s="3">
        <v>42734</v>
      </c>
      <c r="B308" s="3">
        <v>213.69</v>
      </c>
      <c r="C308" s="4">
        <f t="shared" si="18"/>
        <v>0.21000000000000796</v>
      </c>
      <c r="D308" s="4">
        <f t="shared" si="19"/>
        <v>-5.0600000000000023</v>
      </c>
      <c r="E308" s="3">
        <f t="shared" si="20"/>
        <v>-0.99000000000000909</v>
      </c>
      <c r="F308" s="3">
        <v>10992.40999999994</v>
      </c>
      <c r="G308" s="3">
        <v>0</v>
      </c>
      <c r="H308" s="3">
        <f t="shared" si="21"/>
        <v>10992.40999999994</v>
      </c>
      <c r="I308" s="3"/>
      <c r="J308" s="3"/>
      <c r="K308" s="3"/>
    </row>
    <row r="309" spans="1:11">
      <c r="A309" s="3">
        <v>42738</v>
      </c>
      <c r="B309" s="3">
        <v>216.99</v>
      </c>
      <c r="C309" s="4">
        <f t="shared" si="18"/>
        <v>-5.0600000000000023</v>
      </c>
      <c r="D309" s="4">
        <f t="shared" si="19"/>
        <v>-0.99000000000000909</v>
      </c>
      <c r="E309" s="3">
        <f t="shared" si="20"/>
        <v>3.3000000000000114</v>
      </c>
      <c r="F309" s="3">
        <v>10992.40999999994</v>
      </c>
      <c r="G309" s="3">
        <v>0</v>
      </c>
      <c r="H309" s="3">
        <f t="shared" si="21"/>
        <v>10992.40999999994</v>
      </c>
      <c r="I309" s="3"/>
      <c r="J309" s="3"/>
      <c r="K309" s="3"/>
    </row>
    <row r="310" spans="1:11">
      <c r="A310" s="3">
        <v>42739</v>
      </c>
      <c r="B310" s="3">
        <v>226.99</v>
      </c>
      <c r="C310" s="4">
        <f t="shared" si="18"/>
        <v>-0.99000000000000909</v>
      </c>
      <c r="D310" s="4">
        <f t="shared" si="19"/>
        <v>3.3000000000000114</v>
      </c>
      <c r="E310" s="3">
        <f t="shared" si="20"/>
        <v>10</v>
      </c>
      <c r="F310" s="3">
        <v>96.889999999948259</v>
      </c>
      <c r="G310" s="3">
        <v>10895.52</v>
      </c>
      <c r="H310" s="3">
        <f t="shared" si="21"/>
        <v>10992.409999999949</v>
      </c>
      <c r="I310" s="3"/>
      <c r="J310" s="3"/>
      <c r="K310" s="3"/>
    </row>
    <row r="311" spans="1:11">
      <c r="A311" s="3">
        <v>42740</v>
      </c>
      <c r="B311" s="3">
        <v>226.75</v>
      </c>
      <c r="C311" s="4">
        <f t="shared" si="18"/>
        <v>3.3000000000000114</v>
      </c>
      <c r="D311" s="4">
        <f t="shared" si="19"/>
        <v>10</v>
      </c>
      <c r="E311" s="3">
        <f t="shared" si="20"/>
        <v>-0.24000000000000909</v>
      </c>
      <c r="F311" s="3">
        <v>96.889999999948259</v>
      </c>
      <c r="G311" s="3">
        <v>10884</v>
      </c>
      <c r="H311" s="3">
        <f t="shared" si="21"/>
        <v>10980.889999999948</v>
      </c>
      <c r="I311" s="3"/>
      <c r="J311" s="3"/>
      <c r="K311" s="3"/>
    </row>
    <row r="312" spans="1:11">
      <c r="A312" s="3">
        <v>42741</v>
      </c>
      <c r="B312" s="3">
        <v>229.01</v>
      </c>
      <c r="C312" s="4">
        <f t="shared" si="18"/>
        <v>10</v>
      </c>
      <c r="D312" s="4">
        <f t="shared" si="19"/>
        <v>-0.24000000000000909</v>
      </c>
      <c r="E312" s="3">
        <f t="shared" si="20"/>
        <v>2.2599999999999909</v>
      </c>
      <c r="F312" s="3">
        <v>96.889999999948259</v>
      </c>
      <c r="G312" s="3">
        <v>10992.48</v>
      </c>
      <c r="H312" s="3">
        <f t="shared" si="21"/>
        <v>11089.369999999948</v>
      </c>
      <c r="I312" s="3"/>
      <c r="J312" s="3"/>
      <c r="K312" s="3"/>
    </row>
    <row r="313" spans="1:11">
      <c r="A313" s="3">
        <v>42744</v>
      </c>
      <c r="B313" s="3">
        <v>231.28</v>
      </c>
      <c r="C313" s="4">
        <f t="shared" si="18"/>
        <v>-0.24000000000000909</v>
      </c>
      <c r="D313" s="4">
        <f t="shared" si="19"/>
        <v>2.2599999999999909</v>
      </c>
      <c r="E313" s="3">
        <f t="shared" si="20"/>
        <v>2.2700000000000102</v>
      </c>
      <c r="F313" s="3">
        <v>96.889999999948259</v>
      </c>
      <c r="G313" s="3">
        <v>11101.44</v>
      </c>
      <c r="H313" s="3">
        <f t="shared" si="21"/>
        <v>11198.329999999949</v>
      </c>
      <c r="I313" s="3"/>
      <c r="J313" s="3"/>
      <c r="K313" s="3"/>
    </row>
    <row r="314" spans="1:11">
      <c r="A314" s="3">
        <v>42745</v>
      </c>
      <c r="B314" s="3">
        <v>229.87</v>
      </c>
      <c r="C314" s="4">
        <f t="shared" si="18"/>
        <v>2.2599999999999909</v>
      </c>
      <c r="D314" s="4">
        <f t="shared" si="19"/>
        <v>2.2700000000000102</v>
      </c>
      <c r="E314" s="3">
        <f t="shared" si="20"/>
        <v>-1.4099999999999966</v>
      </c>
      <c r="F314" s="3">
        <v>96.889999999948259</v>
      </c>
      <c r="G314" s="3">
        <v>11033.76</v>
      </c>
      <c r="H314" s="3">
        <f t="shared" si="21"/>
        <v>11130.649999999949</v>
      </c>
      <c r="I314" s="3"/>
      <c r="J314" s="3"/>
      <c r="K314" s="3"/>
    </row>
    <row r="315" spans="1:11">
      <c r="A315" s="3">
        <v>42746</v>
      </c>
      <c r="B315" s="3">
        <v>229.73</v>
      </c>
      <c r="C315" s="4">
        <f t="shared" si="18"/>
        <v>2.2700000000000102</v>
      </c>
      <c r="D315" s="4">
        <f t="shared" si="19"/>
        <v>-1.4099999999999966</v>
      </c>
      <c r="E315" s="3">
        <f t="shared" si="20"/>
        <v>-0.14000000000001478</v>
      </c>
      <c r="F315" s="3">
        <v>11123.929999999948</v>
      </c>
      <c r="G315" s="3">
        <v>0</v>
      </c>
      <c r="H315" s="3">
        <f t="shared" si="21"/>
        <v>11123.929999999948</v>
      </c>
      <c r="I315" s="3"/>
      <c r="J315" s="3"/>
      <c r="K315" s="3"/>
    </row>
    <row r="316" spans="1:11">
      <c r="A316" s="3">
        <v>42747</v>
      </c>
      <c r="B316" s="3">
        <v>229.59</v>
      </c>
      <c r="C316" s="4">
        <f t="shared" si="18"/>
        <v>-1.4099999999999966</v>
      </c>
      <c r="D316" s="4">
        <f t="shared" si="19"/>
        <v>-0.14000000000001478</v>
      </c>
      <c r="E316" s="3">
        <f t="shared" si="20"/>
        <v>-0.13999999999998636</v>
      </c>
      <c r="F316" s="3">
        <v>11123.929999999948</v>
      </c>
      <c r="G316" s="3">
        <v>0</v>
      </c>
      <c r="H316" s="3">
        <f t="shared" si="21"/>
        <v>11123.929999999948</v>
      </c>
      <c r="I316" s="3"/>
      <c r="J316" s="3"/>
      <c r="K316" s="3"/>
    </row>
    <row r="317" spans="1:11">
      <c r="A317" s="3">
        <v>42748</v>
      </c>
      <c r="B317" s="3">
        <v>237.75</v>
      </c>
      <c r="C317" s="4">
        <f t="shared" si="18"/>
        <v>-0.14000000000001478</v>
      </c>
      <c r="D317" s="4">
        <f t="shared" si="19"/>
        <v>-0.13999999999998636</v>
      </c>
      <c r="E317" s="3">
        <f t="shared" si="20"/>
        <v>8.1599999999999966</v>
      </c>
      <c r="F317" s="3">
        <v>11123.929999999948</v>
      </c>
      <c r="G317" s="3">
        <v>0</v>
      </c>
      <c r="H317" s="3">
        <f t="shared" si="21"/>
        <v>11123.929999999948</v>
      </c>
      <c r="I317" s="3"/>
      <c r="J317" s="3"/>
      <c r="K317" s="3"/>
    </row>
    <row r="318" spans="1:11">
      <c r="A318" s="3">
        <v>42752</v>
      </c>
      <c r="B318" s="3">
        <v>235.58</v>
      </c>
      <c r="C318" s="4">
        <f t="shared" si="18"/>
        <v>-0.13999999999998636</v>
      </c>
      <c r="D318" s="4">
        <f t="shared" si="19"/>
        <v>8.1599999999999966</v>
      </c>
      <c r="E318" s="3">
        <f t="shared" si="20"/>
        <v>-2.1699999999999875</v>
      </c>
      <c r="F318" s="3">
        <v>11123.929999999948</v>
      </c>
      <c r="G318" s="3">
        <v>0</v>
      </c>
      <c r="H318" s="3">
        <f t="shared" si="21"/>
        <v>11123.929999999948</v>
      </c>
      <c r="I318" s="3"/>
      <c r="J318" s="3"/>
      <c r="K318" s="3"/>
    </row>
    <row r="319" spans="1:11">
      <c r="A319" s="3">
        <v>42753</v>
      </c>
      <c r="B319" s="3">
        <v>238.36</v>
      </c>
      <c r="C319" s="4">
        <f t="shared" si="18"/>
        <v>8.1599999999999966</v>
      </c>
      <c r="D319" s="4">
        <f t="shared" si="19"/>
        <v>-2.1699999999999875</v>
      </c>
      <c r="E319" s="3">
        <f t="shared" si="20"/>
        <v>2.7800000000000011</v>
      </c>
      <c r="F319" s="3">
        <v>11123.929999999948</v>
      </c>
      <c r="G319" s="3">
        <v>0</v>
      </c>
      <c r="H319" s="3">
        <f t="shared" si="21"/>
        <v>11123.929999999948</v>
      </c>
      <c r="I319" s="3"/>
      <c r="J319" s="3"/>
      <c r="K319" s="3"/>
    </row>
    <row r="320" spans="1:11">
      <c r="A320" s="3">
        <v>42754</v>
      </c>
      <c r="B320" s="3">
        <v>243.76</v>
      </c>
      <c r="C320" s="4">
        <f t="shared" si="18"/>
        <v>-2.1699999999999875</v>
      </c>
      <c r="D320" s="4">
        <f t="shared" si="19"/>
        <v>2.7800000000000011</v>
      </c>
      <c r="E320" s="3">
        <f t="shared" si="20"/>
        <v>5.3999999999999773</v>
      </c>
      <c r="F320" s="3">
        <v>154.72999999993954</v>
      </c>
      <c r="G320" s="3">
        <v>10969.199999999999</v>
      </c>
      <c r="H320" s="3">
        <f t="shared" si="21"/>
        <v>11123.929999999938</v>
      </c>
      <c r="I320" s="3"/>
      <c r="J320" s="3"/>
      <c r="K320" s="3"/>
    </row>
    <row r="321" spans="1:11">
      <c r="A321" s="3">
        <v>42755</v>
      </c>
      <c r="B321" s="3">
        <v>244.73</v>
      </c>
      <c r="C321" s="4">
        <f t="shared" si="18"/>
        <v>2.7800000000000011</v>
      </c>
      <c r="D321" s="4">
        <f t="shared" si="19"/>
        <v>5.3999999999999773</v>
      </c>
      <c r="E321" s="3">
        <f t="shared" si="20"/>
        <v>0.96999999999999886</v>
      </c>
      <c r="F321" s="3">
        <v>154.72999999993954</v>
      </c>
      <c r="G321" s="3">
        <v>11012.85</v>
      </c>
      <c r="H321" s="3">
        <f t="shared" si="21"/>
        <v>11167.57999999994</v>
      </c>
      <c r="I321" s="3"/>
      <c r="J321" s="3"/>
      <c r="K321" s="3"/>
    </row>
    <row r="322" spans="1:11">
      <c r="A322" s="3">
        <v>42758</v>
      </c>
      <c r="B322" s="3">
        <v>248.92</v>
      </c>
      <c r="C322" s="4">
        <f t="shared" si="18"/>
        <v>5.3999999999999773</v>
      </c>
      <c r="D322" s="4">
        <f t="shared" si="19"/>
        <v>0.96999999999999886</v>
      </c>
      <c r="E322" s="3">
        <f t="shared" si="20"/>
        <v>4.1899999999999977</v>
      </c>
      <c r="F322" s="3">
        <v>154.72999999993954</v>
      </c>
      <c r="G322" s="3">
        <v>11201.4</v>
      </c>
      <c r="H322" s="3">
        <f t="shared" si="21"/>
        <v>11356.129999999939</v>
      </c>
      <c r="I322" s="3"/>
      <c r="J322" s="3"/>
      <c r="K322" s="3"/>
    </row>
    <row r="323" spans="1:11">
      <c r="A323" s="3">
        <v>42759</v>
      </c>
      <c r="B323" s="3">
        <v>254.61</v>
      </c>
      <c r="C323" s="4">
        <f t="shared" si="18"/>
        <v>0.96999999999999886</v>
      </c>
      <c r="D323" s="4">
        <f t="shared" si="19"/>
        <v>4.1899999999999977</v>
      </c>
      <c r="E323" s="3">
        <f t="shared" si="20"/>
        <v>5.6900000000000261</v>
      </c>
      <c r="F323" s="3">
        <v>154.72999999993954</v>
      </c>
      <c r="G323" s="3">
        <v>11457.45</v>
      </c>
      <c r="H323" s="3">
        <f t="shared" si="21"/>
        <v>11612.17999999994</v>
      </c>
      <c r="I323" s="3"/>
      <c r="J323" s="3"/>
      <c r="K323" s="3"/>
    </row>
    <row r="324" spans="1:11">
      <c r="A324" s="3">
        <v>42760</v>
      </c>
      <c r="B324" s="3">
        <v>254.47</v>
      </c>
      <c r="C324" s="4">
        <f t="shared" si="18"/>
        <v>4.1899999999999977</v>
      </c>
      <c r="D324" s="4">
        <f t="shared" si="19"/>
        <v>5.6900000000000261</v>
      </c>
      <c r="E324" s="3">
        <f t="shared" si="20"/>
        <v>-0.14000000000001478</v>
      </c>
      <c r="F324" s="3">
        <v>154.72999999993954</v>
      </c>
      <c r="G324" s="3">
        <v>11451.15</v>
      </c>
      <c r="H324" s="3">
        <f t="shared" si="21"/>
        <v>11605.879999999939</v>
      </c>
      <c r="I324" s="3"/>
      <c r="J324" s="3"/>
      <c r="K324" s="3"/>
    </row>
    <row r="325" spans="1:11">
      <c r="A325" s="3">
        <v>42761</v>
      </c>
      <c r="B325" s="3">
        <v>252.51</v>
      </c>
      <c r="C325" s="4">
        <f t="shared" si="18"/>
        <v>5.6900000000000261</v>
      </c>
      <c r="D325" s="4">
        <f t="shared" si="19"/>
        <v>-0.14000000000001478</v>
      </c>
      <c r="E325" s="3">
        <f t="shared" si="20"/>
        <v>-1.960000000000008</v>
      </c>
      <c r="F325" s="3">
        <v>11517.679999999938</v>
      </c>
      <c r="G325" s="3">
        <v>0</v>
      </c>
      <c r="H325" s="3">
        <f t="shared" si="21"/>
        <v>11517.679999999938</v>
      </c>
      <c r="I325" s="3"/>
      <c r="J325" s="3"/>
      <c r="K325" s="3"/>
    </row>
    <row r="326" spans="1:11">
      <c r="A326" s="3">
        <v>42762</v>
      </c>
      <c r="B326" s="3">
        <v>252.95</v>
      </c>
      <c r="C326" s="4">
        <f t="shared" si="18"/>
        <v>-0.14000000000001478</v>
      </c>
      <c r="D326" s="4">
        <f t="shared" si="19"/>
        <v>-1.960000000000008</v>
      </c>
      <c r="E326" s="3">
        <f t="shared" si="20"/>
        <v>0.43999999999999773</v>
      </c>
      <c r="F326" s="3">
        <v>11517.679999999938</v>
      </c>
      <c r="G326" s="3">
        <v>0</v>
      </c>
      <c r="H326" s="3">
        <f t="shared" si="21"/>
        <v>11517.679999999938</v>
      </c>
      <c r="I326" s="3"/>
      <c r="J326" s="3"/>
      <c r="K326" s="3"/>
    </row>
    <row r="327" spans="1:11">
      <c r="A327" s="3">
        <v>42765</v>
      </c>
      <c r="B327" s="3">
        <v>250.63</v>
      </c>
      <c r="C327" s="4">
        <f t="shared" si="18"/>
        <v>-1.960000000000008</v>
      </c>
      <c r="D327" s="4">
        <f t="shared" si="19"/>
        <v>0.43999999999999773</v>
      </c>
      <c r="E327" s="3">
        <f t="shared" si="20"/>
        <v>-2.3199999999999932</v>
      </c>
      <c r="F327" s="3">
        <v>11517.679999999938</v>
      </c>
      <c r="G327" s="3">
        <v>0</v>
      </c>
      <c r="H327" s="3">
        <f t="shared" si="21"/>
        <v>11517.679999999938</v>
      </c>
      <c r="I327" s="3"/>
      <c r="J327" s="3"/>
      <c r="K327" s="3"/>
    </row>
    <row r="328" spans="1:11">
      <c r="A328" s="3">
        <v>42766</v>
      </c>
      <c r="B328" s="3">
        <v>251.93</v>
      </c>
      <c r="C328" s="4">
        <f t="shared" si="18"/>
        <v>0.43999999999999773</v>
      </c>
      <c r="D328" s="4">
        <f t="shared" si="19"/>
        <v>-2.3199999999999932</v>
      </c>
      <c r="E328" s="3">
        <f t="shared" si="20"/>
        <v>1.3000000000000114</v>
      </c>
      <c r="F328" s="3">
        <v>11517.679999999938</v>
      </c>
      <c r="G328" s="3">
        <v>0</v>
      </c>
      <c r="H328" s="3">
        <f t="shared" si="21"/>
        <v>11517.679999999938</v>
      </c>
      <c r="I328" s="3"/>
      <c r="J328" s="3"/>
      <c r="K328" s="3"/>
    </row>
    <row r="329" spans="1:11">
      <c r="A329" s="3">
        <v>42767</v>
      </c>
      <c r="B329" s="3">
        <v>249.24</v>
      </c>
      <c r="C329" s="4">
        <f t="shared" si="18"/>
        <v>-2.3199999999999932</v>
      </c>
      <c r="D329" s="4">
        <f t="shared" si="19"/>
        <v>1.3000000000000114</v>
      </c>
      <c r="E329" s="3">
        <f t="shared" si="20"/>
        <v>-2.6899999999999977</v>
      </c>
      <c r="F329" s="3">
        <v>11517.679999999938</v>
      </c>
      <c r="G329" s="3">
        <v>0</v>
      </c>
      <c r="H329" s="3">
        <f t="shared" si="21"/>
        <v>11517.679999999938</v>
      </c>
      <c r="I329" s="3"/>
      <c r="J329" s="3"/>
      <c r="K329" s="3"/>
    </row>
    <row r="330" spans="1:11">
      <c r="A330" s="3">
        <v>42768</v>
      </c>
      <c r="B330" s="3">
        <v>251.55</v>
      </c>
      <c r="C330" s="4">
        <f t="shared" si="18"/>
        <v>1.3000000000000114</v>
      </c>
      <c r="D330" s="4">
        <f t="shared" si="19"/>
        <v>-2.6899999999999977</v>
      </c>
      <c r="E330" s="3">
        <f t="shared" si="20"/>
        <v>2.3100000000000023</v>
      </c>
      <c r="F330" s="3">
        <v>11517.679999999938</v>
      </c>
      <c r="G330" s="3">
        <v>0</v>
      </c>
      <c r="H330" s="3">
        <f t="shared" si="21"/>
        <v>11517.679999999938</v>
      </c>
      <c r="I330" s="3"/>
      <c r="J330" s="3"/>
      <c r="K330" s="3"/>
    </row>
    <row r="331" spans="1:11">
      <c r="A331" s="3">
        <v>42769</v>
      </c>
      <c r="B331" s="3">
        <v>251.33</v>
      </c>
      <c r="C331" s="4">
        <f t="shared" si="18"/>
        <v>-2.6899999999999977</v>
      </c>
      <c r="D331" s="4">
        <f t="shared" si="19"/>
        <v>2.3100000000000023</v>
      </c>
      <c r="E331" s="3">
        <f t="shared" si="20"/>
        <v>-0.21999999999999886</v>
      </c>
      <c r="F331" s="3">
        <v>11517.679999999938</v>
      </c>
      <c r="G331" s="3">
        <v>0</v>
      </c>
      <c r="H331" s="3">
        <f t="shared" si="21"/>
        <v>11517.679999999938</v>
      </c>
      <c r="I331" s="3"/>
      <c r="J331" s="3"/>
      <c r="K331" s="3"/>
    </row>
    <row r="332" spans="1:11">
      <c r="A332" s="3">
        <v>42772</v>
      </c>
      <c r="B332" s="3">
        <v>257.77</v>
      </c>
      <c r="C332" s="4">
        <f t="shared" si="18"/>
        <v>2.3100000000000023</v>
      </c>
      <c r="D332" s="4">
        <f t="shared" si="19"/>
        <v>-0.21999999999999886</v>
      </c>
      <c r="E332" s="3">
        <f t="shared" si="20"/>
        <v>6.4399999999999693</v>
      </c>
      <c r="F332" s="3">
        <v>11517.679999999938</v>
      </c>
      <c r="G332" s="3">
        <v>0</v>
      </c>
      <c r="H332" s="3">
        <f t="shared" si="21"/>
        <v>11517.679999999938</v>
      </c>
      <c r="I332" s="3"/>
      <c r="J332" s="3"/>
      <c r="K332" s="3"/>
    </row>
    <row r="333" spans="1:11">
      <c r="A333" s="3">
        <v>42773</v>
      </c>
      <c r="B333" s="3">
        <v>257.48</v>
      </c>
      <c r="C333" s="4">
        <f t="shared" ref="C333:C396" si="22">B331-B330</f>
        <v>-0.21999999999999886</v>
      </c>
      <c r="D333" s="4">
        <f t="shared" ref="D333:D396" si="23">B332-B331</f>
        <v>6.4399999999999693</v>
      </c>
      <c r="E333" s="3">
        <f t="shared" ref="E333:E396" si="24">B333-B332</f>
        <v>-0.28999999999996362</v>
      </c>
      <c r="F333" s="3">
        <v>11517.679999999938</v>
      </c>
      <c r="G333" s="3">
        <v>0</v>
      </c>
      <c r="H333" s="3">
        <f t="shared" si="21"/>
        <v>11517.679999999938</v>
      </c>
      <c r="I333" s="3"/>
      <c r="J333" s="3"/>
      <c r="K333" s="3"/>
    </row>
    <row r="334" spans="1:11">
      <c r="A334" s="3">
        <v>42774</v>
      </c>
      <c r="B334" s="3">
        <v>262.08</v>
      </c>
      <c r="C334" s="4">
        <f t="shared" si="22"/>
        <v>6.4399999999999693</v>
      </c>
      <c r="D334" s="4">
        <f t="shared" si="23"/>
        <v>-0.28999999999996362</v>
      </c>
      <c r="E334" s="3">
        <f t="shared" si="24"/>
        <v>4.5999999999999659</v>
      </c>
      <c r="F334" s="3">
        <v>11517.679999999938</v>
      </c>
      <c r="G334" s="3">
        <v>0</v>
      </c>
      <c r="H334" s="3">
        <f t="shared" si="21"/>
        <v>11517.679999999938</v>
      </c>
      <c r="I334" s="3"/>
      <c r="J334" s="3"/>
      <c r="K334" s="3"/>
    </row>
    <row r="335" spans="1:11">
      <c r="A335" s="3">
        <v>42775</v>
      </c>
      <c r="B335" s="3">
        <v>269.2</v>
      </c>
      <c r="C335" s="4">
        <f t="shared" si="22"/>
        <v>-0.28999999999996362</v>
      </c>
      <c r="D335" s="4">
        <f t="shared" si="23"/>
        <v>4.5999999999999659</v>
      </c>
      <c r="E335" s="3">
        <f t="shared" si="24"/>
        <v>7.1200000000000045</v>
      </c>
      <c r="F335" s="3">
        <v>211.27999999993369</v>
      </c>
      <c r="G335" s="3">
        <v>11306.4</v>
      </c>
      <c r="H335" s="3">
        <f t="shared" si="21"/>
        <v>11517.679999999933</v>
      </c>
      <c r="I335" s="3"/>
      <c r="J335" s="3"/>
      <c r="K335" s="3"/>
    </row>
    <row r="336" spans="1:11">
      <c r="A336" s="3">
        <v>42776</v>
      </c>
      <c r="B336" s="3">
        <v>269.23</v>
      </c>
      <c r="C336" s="4">
        <f t="shared" si="22"/>
        <v>4.5999999999999659</v>
      </c>
      <c r="D336" s="4">
        <f t="shared" si="23"/>
        <v>7.1200000000000045</v>
      </c>
      <c r="E336" s="3">
        <f t="shared" si="24"/>
        <v>3.0000000000029559E-2</v>
      </c>
      <c r="F336" s="3">
        <v>211.27999999993369</v>
      </c>
      <c r="G336" s="3">
        <v>11307.66</v>
      </c>
      <c r="H336" s="3">
        <f t="shared" si="21"/>
        <v>11518.939999999933</v>
      </c>
      <c r="I336" s="3"/>
      <c r="J336" s="3"/>
      <c r="K336" s="3"/>
    </row>
    <row r="337" spans="1:11">
      <c r="A337" s="3">
        <v>42779</v>
      </c>
      <c r="B337" s="3">
        <v>280.60000000000002</v>
      </c>
      <c r="C337" s="4">
        <f t="shared" si="22"/>
        <v>7.1200000000000045</v>
      </c>
      <c r="D337" s="4">
        <f t="shared" si="23"/>
        <v>3.0000000000029559E-2</v>
      </c>
      <c r="E337" s="3">
        <f t="shared" si="24"/>
        <v>11.370000000000005</v>
      </c>
      <c r="F337" s="3">
        <v>211.27999999993369</v>
      </c>
      <c r="G337" s="3">
        <v>11785.2</v>
      </c>
      <c r="H337" s="3">
        <f t="shared" si="21"/>
        <v>11996.479999999934</v>
      </c>
      <c r="I337" s="3"/>
      <c r="J337" s="3"/>
      <c r="K337" s="3"/>
    </row>
    <row r="338" spans="1:11">
      <c r="A338" s="3">
        <v>42780</v>
      </c>
      <c r="B338" s="3">
        <v>280.98</v>
      </c>
      <c r="C338" s="4">
        <f t="shared" si="22"/>
        <v>3.0000000000029559E-2</v>
      </c>
      <c r="D338" s="4">
        <f t="shared" si="23"/>
        <v>11.370000000000005</v>
      </c>
      <c r="E338" s="3">
        <f t="shared" si="24"/>
        <v>0.37999999999999545</v>
      </c>
      <c r="F338" s="3">
        <v>211.27999999993369</v>
      </c>
      <c r="G338" s="3">
        <v>11801.16</v>
      </c>
      <c r="H338" s="3">
        <f t="shared" si="21"/>
        <v>12012.439999999933</v>
      </c>
      <c r="I338" s="3"/>
      <c r="J338" s="3"/>
      <c r="K338" s="3"/>
    </row>
    <row r="339" spans="1:11">
      <c r="A339" s="3">
        <v>42781</v>
      </c>
      <c r="B339" s="3">
        <v>279.76</v>
      </c>
      <c r="C339" s="4">
        <f t="shared" si="22"/>
        <v>11.370000000000005</v>
      </c>
      <c r="D339" s="4">
        <f t="shared" si="23"/>
        <v>0.37999999999999545</v>
      </c>
      <c r="E339" s="3">
        <f t="shared" si="24"/>
        <v>-1.2200000000000273</v>
      </c>
      <c r="F339" s="3">
        <v>211.27999999993369</v>
      </c>
      <c r="G339" s="3">
        <v>11749.92</v>
      </c>
      <c r="H339" s="3">
        <f t="shared" si="21"/>
        <v>11961.199999999933</v>
      </c>
      <c r="I339" s="3"/>
      <c r="J339" s="3"/>
      <c r="K339" s="3"/>
    </row>
    <row r="340" spans="1:11">
      <c r="A340" s="3">
        <v>42782</v>
      </c>
      <c r="B340" s="3">
        <v>268.95</v>
      </c>
      <c r="C340" s="4">
        <f t="shared" si="22"/>
        <v>0.37999999999999545</v>
      </c>
      <c r="D340" s="4">
        <f t="shared" si="23"/>
        <v>-1.2200000000000273</v>
      </c>
      <c r="E340" s="3">
        <f t="shared" si="24"/>
        <v>-10.810000000000002</v>
      </c>
      <c r="F340" s="3">
        <v>11507.179999999933</v>
      </c>
      <c r="G340" s="3">
        <v>0</v>
      </c>
      <c r="H340" s="3">
        <f t="shared" si="21"/>
        <v>11507.179999999933</v>
      </c>
      <c r="I340" s="3"/>
      <c r="J340" s="3"/>
      <c r="K340" s="3"/>
    </row>
    <row r="341" spans="1:11">
      <c r="A341" s="3">
        <v>42783</v>
      </c>
      <c r="B341" s="3">
        <v>272.23</v>
      </c>
      <c r="C341" s="4">
        <f t="shared" si="22"/>
        <v>-1.2200000000000273</v>
      </c>
      <c r="D341" s="4">
        <f t="shared" si="23"/>
        <v>-10.810000000000002</v>
      </c>
      <c r="E341" s="3">
        <f t="shared" si="24"/>
        <v>3.2800000000000296</v>
      </c>
      <c r="F341" s="3">
        <v>11507.179999999933</v>
      </c>
      <c r="G341" s="3">
        <v>0</v>
      </c>
      <c r="H341" s="3">
        <f t="shared" si="21"/>
        <v>11507.179999999933</v>
      </c>
      <c r="I341" s="3"/>
      <c r="J341" s="3"/>
      <c r="K341" s="3"/>
    </row>
    <row r="342" spans="1:11">
      <c r="A342" s="3">
        <v>42787</v>
      </c>
      <c r="B342" s="3">
        <v>277.39</v>
      </c>
      <c r="C342" s="4">
        <f t="shared" si="22"/>
        <v>-10.810000000000002</v>
      </c>
      <c r="D342" s="4">
        <f t="shared" si="23"/>
        <v>3.2800000000000296</v>
      </c>
      <c r="E342" s="3">
        <f t="shared" si="24"/>
        <v>5.1599999999999682</v>
      </c>
      <c r="F342" s="3">
        <v>134.18999999993594</v>
      </c>
      <c r="G342" s="3">
        <v>11372.99</v>
      </c>
      <c r="H342" s="3">
        <f t="shared" ref="H342:H405" si="25">G342+F342</f>
        <v>11507.179999999935</v>
      </c>
      <c r="I342" s="3"/>
      <c r="J342" s="3"/>
      <c r="K342" s="3"/>
    </row>
    <row r="343" spans="1:11">
      <c r="A343" s="3">
        <v>42788</v>
      </c>
      <c r="B343" s="3">
        <v>273.51</v>
      </c>
      <c r="C343" s="4">
        <f t="shared" si="22"/>
        <v>3.2800000000000296</v>
      </c>
      <c r="D343" s="4">
        <f t="shared" si="23"/>
        <v>5.1599999999999682</v>
      </c>
      <c r="E343" s="3">
        <f t="shared" si="24"/>
        <v>-3.8799999999999955</v>
      </c>
      <c r="F343" s="3">
        <v>134.18999999993594</v>
      </c>
      <c r="G343" s="3">
        <v>11213.91</v>
      </c>
      <c r="H343" s="3">
        <f t="shared" si="25"/>
        <v>11348.099999999937</v>
      </c>
      <c r="I343" s="3"/>
      <c r="J343" s="3"/>
      <c r="K343" s="3"/>
    </row>
    <row r="344" spans="1:11">
      <c r="A344" s="3">
        <v>42789</v>
      </c>
      <c r="B344" s="3">
        <v>255.99</v>
      </c>
      <c r="C344" s="4">
        <f t="shared" si="22"/>
        <v>5.1599999999999682</v>
      </c>
      <c r="D344" s="4">
        <f t="shared" si="23"/>
        <v>-3.8799999999999955</v>
      </c>
      <c r="E344" s="3">
        <f t="shared" si="24"/>
        <v>-17.519999999999982</v>
      </c>
      <c r="F344" s="3">
        <v>10629.779999999937</v>
      </c>
      <c r="G344" s="3">
        <v>0</v>
      </c>
      <c r="H344" s="3">
        <f t="shared" si="25"/>
        <v>10629.779999999937</v>
      </c>
      <c r="I344" s="3"/>
      <c r="J344" s="3"/>
      <c r="K344" s="3"/>
    </row>
    <row r="345" spans="1:11">
      <c r="A345" s="3">
        <v>42790</v>
      </c>
      <c r="B345" s="3">
        <v>257</v>
      </c>
      <c r="C345" s="4">
        <f t="shared" si="22"/>
        <v>-3.8799999999999955</v>
      </c>
      <c r="D345" s="4">
        <f t="shared" si="23"/>
        <v>-17.519999999999982</v>
      </c>
      <c r="E345" s="3">
        <f t="shared" si="24"/>
        <v>1.0099999999999909</v>
      </c>
      <c r="F345" s="3">
        <v>10629.779999999937</v>
      </c>
      <c r="G345" s="3">
        <v>0</v>
      </c>
      <c r="H345" s="3">
        <f t="shared" si="25"/>
        <v>10629.779999999937</v>
      </c>
      <c r="I345" s="3"/>
      <c r="J345" s="3"/>
      <c r="K345" s="3"/>
    </row>
    <row r="346" spans="1:11">
      <c r="A346" s="3">
        <v>42793</v>
      </c>
      <c r="B346" s="3">
        <v>246.23</v>
      </c>
      <c r="C346" s="4">
        <f t="shared" si="22"/>
        <v>-17.519999999999982</v>
      </c>
      <c r="D346" s="4">
        <f t="shared" si="23"/>
        <v>1.0099999999999909</v>
      </c>
      <c r="E346" s="3">
        <f t="shared" si="24"/>
        <v>-10.77000000000001</v>
      </c>
      <c r="F346" s="3">
        <v>10629.779999999937</v>
      </c>
      <c r="G346" s="3">
        <v>0</v>
      </c>
      <c r="H346" s="3">
        <f t="shared" si="25"/>
        <v>10629.779999999937</v>
      </c>
      <c r="I346" s="3"/>
      <c r="J346" s="3"/>
      <c r="K346" s="3"/>
    </row>
    <row r="347" spans="1:11">
      <c r="A347" s="3">
        <v>42794</v>
      </c>
      <c r="B347" s="3">
        <v>249.99</v>
      </c>
      <c r="C347" s="4">
        <f t="shared" si="22"/>
        <v>1.0099999999999909</v>
      </c>
      <c r="D347" s="4">
        <f t="shared" si="23"/>
        <v>-10.77000000000001</v>
      </c>
      <c r="E347" s="3">
        <f t="shared" si="24"/>
        <v>3.7600000000000193</v>
      </c>
      <c r="F347" s="3">
        <v>10629.779999999937</v>
      </c>
      <c r="G347" s="3">
        <v>0</v>
      </c>
      <c r="H347" s="3">
        <f t="shared" si="25"/>
        <v>10629.779999999937</v>
      </c>
      <c r="I347" s="3"/>
      <c r="J347" s="3"/>
      <c r="K347" s="3"/>
    </row>
    <row r="348" spans="1:11">
      <c r="A348" s="3">
        <v>42795</v>
      </c>
      <c r="B348" s="3">
        <v>250.02</v>
      </c>
      <c r="C348" s="4">
        <f t="shared" si="22"/>
        <v>-10.77000000000001</v>
      </c>
      <c r="D348" s="4">
        <f t="shared" si="23"/>
        <v>3.7600000000000193</v>
      </c>
      <c r="E348" s="3">
        <f t="shared" si="24"/>
        <v>3.0000000000001137E-2</v>
      </c>
      <c r="F348" s="3">
        <v>128.9399999999259</v>
      </c>
      <c r="G348" s="3">
        <v>10500.84</v>
      </c>
      <c r="H348" s="3">
        <f t="shared" si="25"/>
        <v>10629.779999999926</v>
      </c>
      <c r="I348" s="3"/>
      <c r="J348" s="3"/>
      <c r="K348" s="3"/>
    </row>
    <row r="349" spans="1:11">
      <c r="A349" s="3">
        <v>42796</v>
      </c>
      <c r="B349" s="3">
        <v>250.48</v>
      </c>
      <c r="C349" s="4">
        <f t="shared" si="22"/>
        <v>3.7600000000000193</v>
      </c>
      <c r="D349" s="4">
        <f t="shared" si="23"/>
        <v>3.0000000000001137E-2</v>
      </c>
      <c r="E349" s="3">
        <f t="shared" si="24"/>
        <v>0.45999999999997954</v>
      </c>
      <c r="F349" s="3">
        <v>128.9399999999259</v>
      </c>
      <c r="G349" s="3">
        <v>10520.16</v>
      </c>
      <c r="H349" s="3">
        <f t="shared" si="25"/>
        <v>10649.099999999926</v>
      </c>
      <c r="I349" s="3"/>
      <c r="J349" s="3"/>
      <c r="K349" s="3"/>
    </row>
    <row r="350" spans="1:11">
      <c r="A350" s="3">
        <v>42797</v>
      </c>
      <c r="B350" s="3">
        <v>251.57</v>
      </c>
      <c r="C350" s="4">
        <f t="shared" si="22"/>
        <v>3.0000000000001137E-2</v>
      </c>
      <c r="D350" s="4">
        <f t="shared" si="23"/>
        <v>0.45999999999997954</v>
      </c>
      <c r="E350" s="3">
        <f t="shared" si="24"/>
        <v>1.0900000000000034</v>
      </c>
      <c r="F350" s="3">
        <v>128.9399999999259</v>
      </c>
      <c r="G350" s="3">
        <v>10565.94</v>
      </c>
      <c r="H350" s="3">
        <f t="shared" si="25"/>
        <v>10694.879999999926</v>
      </c>
      <c r="I350" s="3"/>
      <c r="J350" s="3"/>
      <c r="K350" s="3"/>
    </row>
    <row r="351" spans="1:11">
      <c r="A351" s="3">
        <v>42800</v>
      </c>
      <c r="B351" s="3">
        <v>251.21</v>
      </c>
      <c r="C351" s="4">
        <f t="shared" si="22"/>
        <v>0.45999999999997954</v>
      </c>
      <c r="D351" s="4">
        <f t="shared" si="23"/>
        <v>1.0900000000000034</v>
      </c>
      <c r="E351" s="3">
        <f t="shared" si="24"/>
        <v>-0.35999999999998522</v>
      </c>
      <c r="F351" s="3">
        <v>128.9399999999259</v>
      </c>
      <c r="G351" s="3">
        <v>10550.82</v>
      </c>
      <c r="H351" s="3">
        <f t="shared" si="25"/>
        <v>10679.759999999926</v>
      </c>
      <c r="I351" s="3"/>
      <c r="J351" s="3"/>
      <c r="K351" s="3"/>
    </row>
    <row r="352" spans="1:11">
      <c r="A352" s="3">
        <v>42801</v>
      </c>
      <c r="B352" s="3">
        <v>248.59</v>
      </c>
      <c r="C352" s="4">
        <f t="shared" si="22"/>
        <v>1.0900000000000034</v>
      </c>
      <c r="D352" s="4">
        <f t="shared" si="23"/>
        <v>-0.35999999999998522</v>
      </c>
      <c r="E352" s="3">
        <f t="shared" si="24"/>
        <v>-2.6200000000000045</v>
      </c>
      <c r="F352" s="3">
        <v>10569.719999999927</v>
      </c>
      <c r="G352" s="3">
        <v>0</v>
      </c>
      <c r="H352" s="3">
        <f t="shared" si="25"/>
        <v>10569.719999999927</v>
      </c>
      <c r="I352" s="3"/>
      <c r="J352" s="3"/>
      <c r="K352" s="3"/>
    </row>
    <row r="353" spans="1:11">
      <c r="A353" s="3">
        <v>42802</v>
      </c>
      <c r="B353" s="3">
        <v>246.87</v>
      </c>
      <c r="C353" s="4">
        <f t="shared" si="22"/>
        <v>-0.35999999999998522</v>
      </c>
      <c r="D353" s="4">
        <f t="shared" si="23"/>
        <v>-2.6200000000000045</v>
      </c>
      <c r="E353" s="3">
        <f t="shared" si="24"/>
        <v>-1.7199999999999989</v>
      </c>
      <c r="F353" s="3">
        <v>10569.719999999927</v>
      </c>
      <c r="G353" s="3">
        <v>0</v>
      </c>
      <c r="H353" s="3">
        <f t="shared" si="25"/>
        <v>10569.719999999927</v>
      </c>
      <c r="I353" s="3"/>
      <c r="J353" s="3"/>
      <c r="K353" s="3"/>
    </row>
    <row r="354" spans="1:11">
      <c r="A354" s="3">
        <v>42803</v>
      </c>
      <c r="B354" s="3">
        <v>244.9</v>
      </c>
      <c r="C354" s="4">
        <f t="shared" si="22"/>
        <v>-2.6200000000000045</v>
      </c>
      <c r="D354" s="4">
        <f t="shared" si="23"/>
        <v>-1.7199999999999989</v>
      </c>
      <c r="E354" s="3">
        <f t="shared" si="24"/>
        <v>-1.9699999999999989</v>
      </c>
      <c r="F354" s="3">
        <v>10569.719999999927</v>
      </c>
      <c r="G354" s="3">
        <v>0</v>
      </c>
      <c r="H354" s="3">
        <f t="shared" si="25"/>
        <v>10569.719999999927</v>
      </c>
      <c r="I354" s="3"/>
      <c r="J354" s="3"/>
      <c r="K354" s="3"/>
    </row>
    <row r="355" spans="1:11">
      <c r="A355" s="3">
        <v>42804</v>
      </c>
      <c r="B355" s="3">
        <v>243.69</v>
      </c>
      <c r="C355" s="4">
        <f t="shared" si="22"/>
        <v>-1.7199999999999989</v>
      </c>
      <c r="D355" s="4">
        <f t="shared" si="23"/>
        <v>-1.9699999999999989</v>
      </c>
      <c r="E355" s="3">
        <f t="shared" si="24"/>
        <v>-1.210000000000008</v>
      </c>
      <c r="F355" s="3">
        <v>10569.719999999927</v>
      </c>
      <c r="G355" s="3">
        <v>0</v>
      </c>
      <c r="H355" s="3">
        <f t="shared" si="25"/>
        <v>10569.719999999927</v>
      </c>
      <c r="I355" s="3"/>
      <c r="J355" s="3"/>
      <c r="K355" s="3"/>
    </row>
    <row r="356" spans="1:11">
      <c r="A356" s="3">
        <v>42807</v>
      </c>
      <c r="B356" s="3">
        <v>246.17</v>
      </c>
      <c r="C356" s="4">
        <f t="shared" si="22"/>
        <v>-1.9699999999999989</v>
      </c>
      <c r="D356" s="4">
        <f t="shared" si="23"/>
        <v>-1.210000000000008</v>
      </c>
      <c r="E356" s="3">
        <f t="shared" si="24"/>
        <v>2.4799999999999898</v>
      </c>
      <c r="F356" s="3">
        <v>10569.719999999927</v>
      </c>
      <c r="G356" s="3">
        <v>0</v>
      </c>
      <c r="H356" s="3">
        <f t="shared" si="25"/>
        <v>10569.719999999927</v>
      </c>
      <c r="I356" s="3"/>
      <c r="J356" s="3"/>
      <c r="K356" s="3"/>
    </row>
    <row r="357" spans="1:11">
      <c r="A357" s="3">
        <v>42808</v>
      </c>
      <c r="B357" s="3">
        <v>258</v>
      </c>
      <c r="C357" s="4">
        <f t="shared" si="22"/>
        <v>-1.210000000000008</v>
      </c>
      <c r="D357" s="4">
        <f t="shared" si="23"/>
        <v>2.4799999999999898</v>
      </c>
      <c r="E357" s="3">
        <f t="shared" si="24"/>
        <v>11.830000000000013</v>
      </c>
      <c r="F357" s="3">
        <v>249.71999999992659</v>
      </c>
      <c r="G357" s="3">
        <v>10320</v>
      </c>
      <c r="H357" s="3">
        <f t="shared" si="25"/>
        <v>10569.719999999927</v>
      </c>
      <c r="I357" s="3"/>
      <c r="J357" s="3"/>
      <c r="K357" s="3"/>
    </row>
    <row r="358" spans="1:11">
      <c r="A358" s="3">
        <v>42809</v>
      </c>
      <c r="B358" s="3">
        <v>255.73</v>
      </c>
      <c r="C358" s="4">
        <f t="shared" si="22"/>
        <v>2.4799999999999898</v>
      </c>
      <c r="D358" s="4">
        <f t="shared" si="23"/>
        <v>11.830000000000013</v>
      </c>
      <c r="E358" s="3">
        <f t="shared" si="24"/>
        <v>-2.2700000000000102</v>
      </c>
      <c r="F358" s="3">
        <v>249.71999999992659</v>
      </c>
      <c r="G358" s="3">
        <v>10229.199999999999</v>
      </c>
      <c r="H358" s="3">
        <f t="shared" si="25"/>
        <v>10478.919999999925</v>
      </c>
      <c r="I358" s="3"/>
      <c r="J358" s="3"/>
      <c r="K358" s="3"/>
    </row>
    <row r="359" spans="1:11">
      <c r="A359" s="3">
        <v>42810</v>
      </c>
      <c r="B359" s="3">
        <v>262.05</v>
      </c>
      <c r="C359" s="4">
        <f t="shared" si="22"/>
        <v>11.830000000000013</v>
      </c>
      <c r="D359" s="4">
        <f t="shared" si="23"/>
        <v>-2.2700000000000102</v>
      </c>
      <c r="E359" s="3">
        <f t="shared" si="24"/>
        <v>6.3200000000000216</v>
      </c>
      <c r="F359" s="3">
        <v>249.71999999992659</v>
      </c>
      <c r="G359" s="3">
        <v>10482</v>
      </c>
      <c r="H359" s="3">
        <f t="shared" si="25"/>
        <v>10731.719999999927</v>
      </c>
      <c r="I359" s="3"/>
      <c r="J359" s="3"/>
      <c r="K359" s="3"/>
    </row>
    <row r="360" spans="1:11">
      <c r="A360" s="3">
        <v>42811</v>
      </c>
      <c r="B360" s="3">
        <v>261.5</v>
      </c>
      <c r="C360" s="4">
        <f t="shared" si="22"/>
        <v>-2.2700000000000102</v>
      </c>
      <c r="D360" s="4">
        <f t="shared" si="23"/>
        <v>6.3200000000000216</v>
      </c>
      <c r="E360" s="3">
        <f t="shared" si="24"/>
        <v>-0.55000000000001137</v>
      </c>
      <c r="F360" s="3">
        <v>249.71999999992659</v>
      </c>
      <c r="G360" s="3">
        <v>10460</v>
      </c>
      <c r="H360" s="3">
        <f t="shared" si="25"/>
        <v>10709.719999999927</v>
      </c>
      <c r="I360" s="3"/>
      <c r="J360" s="3"/>
      <c r="K360" s="3"/>
    </row>
    <row r="361" spans="1:11">
      <c r="A361" s="3">
        <v>42814</v>
      </c>
      <c r="B361" s="3">
        <v>261.92</v>
      </c>
      <c r="C361" s="4">
        <f t="shared" si="22"/>
        <v>6.3200000000000216</v>
      </c>
      <c r="D361" s="4">
        <f t="shared" si="23"/>
        <v>-0.55000000000001137</v>
      </c>
      <c r="E361" s="3">
        <f t="shared" si="24"/>
        <v>0.42000000000001592</v>
      </c>
      <c r="F361" s="3">
        <v>249.71999999992659</v>
      </c>
      <c r="G361" s="3">
        <v>10476.800000000001</v>
      </c>
      <c r="H361" s="3">
        <f t="shared" si="25"/>
        <v>10726.519999999928</v>
      </c>
      <c r="I361" s="3"/>
      <c r="J361" s="3"/>
      <c r="K361" s="3"/>
    </row>
    <row r="362" spans="1:11">
      <c r="A362" s="3">
        <v>42815</v>
      </c>
      <c r="B362" s="3">
        <v>250.68</v>
      </c>
      <c r="C362" s="4">
        <f t="shared" si="22"/>
        <v>-0.55000000000001137</v>
      </c>
      <c r="D362" s="4">
        <f t="shared" si="23"/>
        <v>0.42000000000001592</v>
      </c>
      <c r="E362" s="3">
        <f t="shared" si="24"/>
        <v>-11.240000000000009</v>
      </c>
      <c r="F362" s="3">
        <v>249.71999999992659</v>
      </c>
      <c r="G362" s="3">
        <v>10027.200000000001</v>
      </c>
      <c r="H362" s="3">
        <f t="shared" si="25"/>
        <v>10276.919999999927</v>
      </c>
      <c r="I362" s="3"/>
      <c r="J362" s="3"/>
      <c r="K362" s="3"/>
    </row>
    <row r="363" spans="1:11">
      <c r="A363" s="3">
        <v>42816</v>
      </c>
      <c r="B363" s="3">
        <v>255.01</v>
      </c>
      <c r="C363" s="4">
        <f t="shared" si="22"/>
        <v>0.42000000000001592</v>
      </c>
      <c r="D363" s="4">
        <f t="shared" si="23"/>
        <v>-11.240000000000009</v>
      </c>
      <c r="E363" s="3">
        <f t="shared" si="24"/>
        <v>4.3299999999999841</v>
      </c>
      <c r="F363" s="3">
        <v>249.71999999992659</v>
      </c>
      <c r="G363" s="3">
        <v>10200.4</v>
      </c>
      <c r="H363" s="3">
        <f t="shared" si="25"/>
        <v>10450.119999999926</v>
      </c>
      <c r="I363" s="3"/>
      <c r="J363" s="3"/>
      <c r="K363" s="3"/>
    </row>
    <row r="364" spans="1:11">
      <c r="A364" s="3">
        <v>42817</v>
      </c>
      <c r="B364" s="3">
        <v>254.78</v>
      </c>
      <c r="C364" s="4">
        <f t="shared" si="22"/>
        <v>-11.240000000000009</v>
      </c>
      <c r="D364" s="4">
        <f t="shared" si="23"/>
        <v>4.3299999999999841</v>
      </c>
      <c r="E364" s="3">
        <f t="shared" si="24"/>
        <v>-0.22999999999998977</v>
      </c>
      <c r="F364" s="3">
        <v>249.71999999992659</v>
      </c>
      <c r="G364" s="3">
        <v>10191.200000000001</v>
      </c>
      <c r="H364" s="3">
        <f t="shared" si="25"/>
        <v>10440.919999999927</v>
      </c>
      <c r="I364" s="3"/>
      <c r="J364" s="3"/>
      <c r="K364" s="3"/>
    </row>
    <row r="365" spans="1:11">
      <c r="A365" s="3">
        <v>42818</v>
      </c>
      <c r="B365" s="3">
        <v>263.16000000000003</v>
      </c>
      <c r="C365" s="4">
        <f t="shared" si="22"/>
        <v>4.3299999999999841</v>
      </c>
      <c r="D365" s="4">
        <f t="shared" si="23"/>
        <v>-0.22999999999998977</v>
      </c>
      <c r="E365" s="3">
        <f t="shared" si="24"/>
        <v>8.3800000000000239</v>
      </c>
      <c r="F365" s="3">
        <v>249.71999999992659</v>
      </c>
      <c r="G365" s="3">
        <v>10526.400000000001</v>
      </c>
      <c r="H365" s="3">
        <f t="shared" si="25"/>
        <v>10776.119999999928</v>
      </c>
      <c r="I365" s="3"/>
      <c r="J365" s="3"/>
      <c r="K365" s="3"/>
    </row>
    <row r="366" spans="1:11">
      <c r="A366" s="3">
        <v>42821</v>
      </c>
      <c r="B366" s="3">
        <v>270.22000000000003</v>
      </c>
      <c r="C366" s="4">
        <f t="shared" si="22"/>
        <v>-0.22999999999998977</v>
      </c>
      <c r="D366" s="4">
        <f t="shared" si="23"/>
        <v>8.3800000000000239</v>
      </c>
      <c r="E366" s="3">
        <f t="shared" si="24"/>
        <v>7.0600000000000023</v>
      </c>
      <c r="F366" s="3">
        <v>249.71999999992659</v>
      </c>
      <c r="G366" s="3">
        <v>10808.800000000001</v>
      </c>
      <c r="H366" s="3">
        <f t="shared" si="25"/>
        <v>11058.519999999928</v>
      </c>
      <c r="I366" s="3"/>
      <c r="J366" s="3"/>
      <c r="K366" s="3"/>
    </row>
    <row r="367" spans="1:11">
      <c r="A367" s="3">
        <v>42822</v>
      </c>
      <c r="B367" s="3">
        <v>277.45</v>
      </c>
      <c r="C367" s="4">
        <f t="shared" si="22"/>
        <v>8.3800000000000239</v>
      </c>
      <c r="D367" s="4">
        <f t="shared" si="23"/>
        <v>7.0600000000000023</v>
      </c>
      <c r="E367" s="3">
        <f t="shared" si="24"/>
        <v>7.2299999999999613</v>
      </c>
      <c r="F367" s="3">
        <v>249.71999999992659</v>
      </c>
      <c r="G367" s="3">
        <v>11098</v>
      </c>
      <c r="H367" s="3">
        <f t="shared" si="25"/>
        <v>11347.719999999927</v>
      </c>
      <c r="I367" s="3"/>
      <c r="J367" s="3"/>
      <c r="K367" s="3"/>
    </row>
    <row r="368" spans="1:11">
      <c r="A368" s="3">
        <v>42823</v>
      </c>
      <c r="B368" s="3">
        <v>277.38</v>
      </c>
      <c r="C368" s="4">
        <f t="shared" si="22"/>
        <v>7.0600000000000023</v>
      </c>
      <c r="D368" s="4">
        <f t="shared" si="23"/>
        <v>7.2299999999999613</v>
      </c>
      <c r="E368" s="3">
        <f t="shared" si="24"/>
        <v>-6.9999999999993179E-2</v>
      </c>
      <c r="F368" s="3">
        <v>249.71999999992659</v>
      </c>
      <c r="G368" s="3">
        <v>11095.2</v>
      </c>
      <c r="H368" s="3">
        <f t="shared" si="25"/>
        <v>11344.919999999927</v>
      </c>
      <c r="I368" s="3"/>
      <c r="J368" s="3"/>
      <c r="K368" s="3"/>
    </row>
    <row r="369" spans="1:11">
      <c r="A369" s="3">
        <v>42824</v>
      </c>
      <c r="B369" s="3">
        <v>277.92</v>
      </c>
      <c r="C369" s="4">
        <f t="shared" si="22"/>
        <v>7.2299999999999613</v>
      </c>
      <c r="D369" s="4">
        <f t="shared" si="23"/>
        <v>-6.9999999999993179E-2</v>
      </c>
      <c r="E369" s="3">
        <f t="shared" si="24"/>
        <v>0.54000000000002046</v>
      </c>
      <c r="F369" s="3">
        <v>249.71999999992659</v>
      </c>
      <c r="G369" s="3">
        <v>11116.800000000001</v>
      </c>
      <c r="H369" s="3">
        <f t="shared" si="25"/>
        <v>11366.519999999928</v>
      </c>
      <c r="I369" s="3"/>
      <c r="J369" s="3"/>
      <c r="K369" s="3"/>
    </row>
    <row r="370" spans="1:11">
      <c r="A370" s="3">
        <v>42825</v>
      </c>
      <c r="B370" s="3">
        <v>278.3</v>
      </c>
      <c r="C370" s="4">
        <f t="shared" si="22"/>
        <v>-6.9999999999993179E-2</v>
      </c>
      <c r="D370" s="4">
        <f t="shared" si="23"/>
        <v>0.54000000000002046</v>
      </c>
      <c r="E370" s="3">
        <f t="shared" si="24"/>
        <v>0.37999999999999545</v>
      </c>
      <c r="F370" s="3">
        <v>249.71999999992659</v>
      </c>
      <c r="G370" s="3">
        <v>11132</v>
      </c>
      <c r="H370" s="3">
        <f t="shared" si="25"/>
        <v>11381.719999999927</v>
      </c>
      <c r="I370" s="3"/>
      <c r="J370" s="3"/>
      <c r="K370" s="3"/>
    </row>
    <row r="371" spans="1:11">
      <c r="A371" s="3">
        <v>42828</v>
      </c>
      <c r="B371" s="3">
        <v>298.52</v>
      </c>
      <c r="C371" s="4">
        <f t="shared" si="22"/>
        <v>0.54000000000002046</v>
      </c>
      <c r="D371" s="4">
        <f t="shared" si="23"/>
        <v>0.37999999999999545</v>
      </c>
      <c r="E371" s="3">
        <f t="shared" si="24"/>
        <v>20.21999999999997</v>
      </c>
      <c r="F371" s="3">
        <v>249.71999999992659</v>
      </c>
      <c r="G371" s="3">
        <v>11940.8</v>
      </c>
      <c r="H371" s="3">
        <f t="shared" si="25"/>
        <v>12190.519999999926</v>
      </c>
      <c r="I371" s="3"/>
      <c r="J371" s="3"/>
      <c r="K371" s="3"/>
    </row>
    <row r="372" spans="1:11">
      <c r="A372" s="3">
        <v>42829</v>
      </c>
      <c r="B372" s="3">
        <v>303.7</v>
      </c>
      <c r="C372" s="4">
        <f t="shared" si="22"/>
        <v>0.37999999999999545</v>
      </c>
      <c r="D372" s="4">
        <f t="shared" si="23"/>
        <v>20.21999999999997</v>
      </c>
      <c r="E372" s="3">
        <f t="shared" si="24"/>
        <v>5.1800000000000068</v>
      </c>
      <c r="F372" s="3">
        <v>249.71999999992659</v>
      </c>
      <c r="G372" s="3">
        <v>12148</v>
      </c>
      <c r="H372" s="3">
        <f t="shared" si="25"/>
        <v>12397.719999999927</v>
      </c>
      <c r="I372" s="3"/>
      <c r="J372" s="3"/>
      <c r="K372" s="3"/>
    </row>
    <row r="373" spans="1:11">
      <c r="A373" s="3">
        <v>42830</v>
      </c>
      <c r="B373" s="3">
        <v>295</v>
      </c>
      <c r="C373" s="4">
        <f t="shared" si="22"/>
        <v>20.21999999999997</v>
      </c>
      <c r="D373" s="4">
        <f t="shared" si="23"/>
        <v>5.1800000000000068</v>
      </c>
      <c r="E373" s="3">
        <f t="shared" si="24"/>
        <v>-8.6999999999999886</v>
      </c>
      <c r="F373" s="3">
        <v>249.71999999992659</v>
      </c>
      <c r="G373" s="3">
        <v>11800</v>
      </c>
      <c r="H373" s="3">
        <f t="shared" si="25"/>
        <v>12049.719999999927</v>
      </c>
      <c r="I373" s="3"/>
      <c r="J373" s="3"/>
      <c r="K373" s="3"/>
    </row>
    <row r="374" spans="1:11">
      <c r="A374" s="3">
        <v>42831</v>
      </c>
      <c r="B374" s="3">
        <v>298.7</v>
      </c>
      <c r="C374" s="4">
        <f t="shared" si="22"/>
        <v>5.1800000000000068</v>
      </c>
      <c r="D374" s="4">
        <f t="shared" si="23"/>
        <v>-8.6999999999999886</v>
      </c>
      <c r="E374" s="3">
        <f t="shared" si="24"/>
        <v>3.6999999999999886</v>
      </c>
      <c r="F374" s="3">
        <v>249.71999999992659</v>
      </c>
      <c r="G374" s="3">
        <v>11948</v>
      </c>
      <c r="H374" s="3">
        <f t="shared" si="25"/>
        <v>12197.719999999927</v>
      </c>
      <c r="I374" s="3"/>
      <c r="J374" s="3"/>
      <c r="K374" s="3"/>
    </row>
    <row r="375" spans="1:11">
      <c r="A375" s="3">
        <v>42832</v>
      </c>
      <c r="B375" s="3">
        <v>302.54000000000002</v>
      </c>
      <c r="C375" s="4">
        <f t="shared" si="22"/>
        <v>-8.6999999999999886</v>
      </c>
      <c r="D375" s="4">
        <f t="shared" si="23"/>
        <v>3.6999999999999886</v>
      </c>
      <c r="E375" s="3">
        <f t="shared" si="24"/>
        <v>3.8400000000000318</v>
      </c>
      <c r="F375" s="3">
        <v>249.71999999992659</v>
      </c>
      <c r="G375" s="3">
        <v>12101.6</v>
      </c>
      <c r="H375" s="3">
        <f t="shared" si="25"/>
        <v>12351.319999999927</v>
      </c>
      <c r="I375" s="3"/>
      <c r="J375" s="3"/>
      <c r="K375" s="3"/>
    </row>
    <row r="376" spans="1:11">
      <c r="A376" s="3">
        <v>42835</v>
      </c>
      <c r="B376" s="3">
        <v>312.39</v>
      </c>
      <c r="C376" s="4">
        <f t="shared" si="22"/>
        <v>3.6999999999999886</v>
      </c>
      <c r="D376" s="4">
        <f t="shared" si="23"/>
        <v>3.8400000000000318</v>
      </c>
      <c r="E376" s="3">
        <f t="shared" si="24"/>
        <v>9.8499999999999659</v>
      </c>
      <c r="F376" s="3">
        <v>249.71999999992659</v>
      </c>
      <c r="G376" s="3">
        <v>12495.599999999999</v>
      </c>
      <c r="H376" s="3">
        <f t="shared" si="25"/>
        <v>12745.319999999925</v>
      </c>
      <c r="I376" s="3"/>
      <c r="J376" s="3"/>
      <c r="K376" s="3"/>
    </row>
    <row r="377" spans="1:11">
      <c r="A377" s="3">
        <v>42836</v>
      </c>
      <c r="B377" s="3">
        <v>308.70999999999998</v>
      </c>
      <c r="C377" s="4">
        <f t="shared" si="22"/>
        <v>3.8400000000000318</v>
      </c>
      <c r="D377" s="4">
        <f t="shared" si="23"/>
        <v>9.8499999999999659</v>
      </c>
      <c r="E377" s="3">
        <f t="shared" si="24"/>
        <v>-3.6800000000000068</v>
      </c>
      <c r="F377" s="3">
        <v>249.71999999992659</v>
      </c>
      <c r="G377" s="3">
        <v>12348.4</v>
      </c>
      <c r="H377" s="3">
        <f t="shared" si="25"/>
        <v>12598.119999999926</v>
      </c>
      <c r="I377" s="3"/>
      <c r="J377" s="3"/>
      <c r="K377" s="3"/>
    </row>
    <row r="378" spans="1:11">
      <c r="A378" s="3">
        <v>42837</v>
      </c>
      <c r="B378" s="3">
        <v>296.83999999999997</v>
      </c>
      <c r="C378" s="4">
        <f t="shared" si="22"/>
        <v>9.8499999999999659</v>
      </c>
      <c r="D378" s="4">
        <f t="shared" si="23"/>
        <v>-3.6800000000000068</v>
      </c>
      <c r="E378" s="3">
        <f t="shared" si="24"/>
        <v>-11.870000000000005</v>
      </c>
      <c r="F378" s="3">
        <v>12123.319999999925</v>
      </c>
      <c r="G378" s="3">
        <v>0</v>
      </c>
      <c r="H378" s="3">
        <f t="shared" si="25"/>
        <v>12123.319999999925</v>
      </c>
      <c r="I378" s="3"/>
      <c r="J378" s="3"/>
      <c r="K378" s="3"/>
    </row>
    <row r="379" spans="1:11">
      <c r="A379" s="3">
        <v>42838</v>
      </c>
      <c r="B379" s="3">
        <v>304</v>
      </c>
      <c r="C379" s="4">
        <f t="shared" si="22"/>
        <v>-3.6800000000000068</v>
      </c>
      <c r="D379" s="4">
        <f t="shared" si="23"/>
        <v>-11.870000000000005</v>
      </c>
      <c r="E379" s="3">
        <f t="shared" si="24"/>
        <v>7.160000000000025</v>
      </c>
      <c r="F379" s="3">
        <v>12123.319999999925</v>
      </c>
      <c r="G379" s="3">
        <v>0</v>
      </c>
      <c r="H379" s="3">
        <f t="shared" si="25"/>
        <v>12123.319999999925</v>
      </c>
      <c r="I379" s="3"/>
      <c r="J379" s="3"/>
      <c r="K379" s="3"/>
    </row>
    <row r="380" spans="1:11">
      <c r="A380" s="3">
        <v>42842</v>
      </c>
      <c r="B380" s="3">
        <v>301.44</v>
      </c>
      <c r="C380" s="4">
        <f t="shared" si="22"/>
        <v>-11.870000000000005</v>
      </c>
      <c r="D380" s="4">
        <f t="shared" si="23"/>
        <v>7.160000000000025</v>
      </c>
      <c r="E380" s="3">
        <f t="shared" si="24"/>
        <v>-2.5600000000000023</v>
      </c>
      <c r="F380" s="3">
        <v>12123.319999999925</v>
      </c>
      <c r="G380" s="3">
        <v>0</v>
      </c>
      <c r="H380" s="3">
        <f t="shared" si="25"/>
        <v>12123.319999999925</v>
      </c>
      <c r="I380" s="3"/>
      <c r="J380" s="3"/>
      <c r="K380" s="3"/>
    </row>
    <row r="381" spans="1:11">
      <c r="A381" s="3">
        <v>42843</v>
      </c>
      <c r="B381" s="3">
        <v>300.25</v>
      </c>
      <c r="C381" s="4">
        <f t="shared" si="22"/>
        <v>7.160000000000025</v>
      </c>
      <c r="D381" s="4">
        <f t="shared" si="23"/>
        <v>-2.5600000000000023</v>
      </c>
      <c r="E381" s="3">
        <f t="shared" si="24"/>
        <v>-1.1899999999999977</v>
      </c>
      <c r="F381" s="3">
        <v>12123.319999999925</v>
      </c>
      <c r="G381" s="3">
        <v>0</v>
      </c>
      <c r="H381" s="3">
        <f t="shared" si="25"/>
        <v>12123.319999999925</v>
      </c>
      <c r="I381" s="3"/>
      <c r="J381" s="3"/>
      <c r="K381" s="3"/>
    </row>
    <row r="382" spans="1:11">
      <c r="A382" s="3">
        <v>42844</v>
      </c>
      <c r="B382" s="3">
        <v>305.52</v>
      </c>
      <c r="C382" s="4">
        <f t="shared" si="22"/>
        <v>-2.5600000000000023</v>
      </c>
      <c r="D382" s="4">
        <f t="shared" si="23"/>
        <v>-1.1899999999999977</v>
      </c>
      <c r="E382" s="3">
        <f t="shared" si="24"/>
        <v>5.2699999999999818</v>
      </c>
      <c r="F382" s="3">
        <v>12123.319999999925</v>
      </c>
      <c r="G382" s="3">
        <v>0</v>
      </c>
      <c r="H382" s="3">
        <f t="shared" si="25"/>
        <v>12123.319999999925</v>
      </c>
      <c r="I382" s="3"/>
      <c r="J382" s="3"/>
      <c r="K382" s="3"/>
    </row>
    <row r="383" spans="1:11">
      <c r="A383" s="3">
        <v>42845</v>
      </c>
      <c r="B383" s="3">
        <v>302.51</v>
      </c>
      <c r="C383" s="4">
        <f t="shared" si="22"/>
        <v>-1.1899999999999977</v>
      </c>
      <c r="D383" s="4">
        <f t="shared" si="23"/>
        <v>5.2699999999999818</v>
      </c>
      <c r="E383" s="3">
        <f t="shared" si="24"/>
        <v>-3.0099999999999909</v>
      </c>
      <c r="F383" s="3">
        <v>12123.319999999925</v>
      </c>
      <c r="G383" s="3">
        <v>0</v>
      </c>
      <c r="H383" s="3">
        <f t="shared" si="25"/>
        <v>12123.319999999925</v>
      </c>
      <c r="I383" s="3"/>
      <c r="J383" s="3"/>
      <c r="K383" s="3"/>
    </row>
    <row r="384" spans="1:11">
      <c r="A384" s="3">
        <v>42846</v>
      </c>
      <c r="B384" s="3">
        <v>305.60000000000002</v>
      </c>
      <c r="C384" s="4">
        <f t="shared" si="22"/>
        <v>5.2699999999999818</v>
      </c>
      <c r="D384" s="4">
        <f t="shared" si="23"/>
        <v>-3.0099999999999909</v>
      </c>
      <c r="E384" s="3">
        <f t="shared" si="24"/>
        <v>3.0900000000000318</v>
      </c>
      <c r="F384" s="3">
        <v>12123.319999999925</v>
      </c>
      <c r="G384" s="3">
        <v>0</v>
      </c>
      <c r="H384" s="3">
        <f t="shared" si="25"/>
        <v>12123.319999999925</v>
      </c>
      <c r="I384" s="3"/>
      <c r="J384" s="3"/>
      <c r="K384" s="3"/>
    </row>
    <row r="385" spans="1:11">
      <c r="A385" s="3">
        <v>42849</v>
      </c>
      <c r="B385" s="3">
        <v>308.02999999999997</v>
      </c>
      <c r="C385" s="4">
        <f t="shared" si="22"/>
        <v>-3.0099999999999909</v>
      </c>
      <c r="D385" s="4">
        <f t="shared" si="23"/>
        <v>3.0900000000000318</v>
      </c>
      <c r="E385" s="3">
        <f t="shared" si="24"/>
        <v>2.42999999999995</v>
      </c>
      <c r="F385" s="3">
        <v>110.14999999992256</v>
      </c>
      <c r="G385" s="3">
        <v>12013.169999999998</v>
      </c>
      <c r="H385" s="3">
        <f t="shared" si="25"/>
        <v>12123.319999999921</v>
      </c>
      <c r="I385" s="3"/>
      <c r="J385" s="3"/>
      <c r="K385" s="3"/>
    </row>
    <row r="386" spans="1:11">
      <c r="A386" s="3">
        <v>42850</v>
      </c>
      <c r="B386" s="3">
        <v>313.79000000000002</v>
      </c>
      <c r="C386" s="4">
        <f t="shared" si="22"/>
        <v>3.0900000000000318</v>
      </c>
      <c r="D386" s="4">
        <f t="shared" si="23"/>
        <v>2.42999999999995</v>
      </c>
      <c r="E386" s="3">
        <f t="shared" si="24"/>
        <v>5.7600000000000477</v>
      </c>
      <c r="F386" s="3">
        <v>110.14999999992256</v>
      </c>
      <c r="G386" s="3">
        <v>12237.810000000001</v>
      </c>
      <c r="H386" s="3">
        <f t="shared" si="25"/>
        <v>12347.959999999925</v>
      </c>
      <c r="I386" s="3"/>
      <c r="J386" s="3"/>
      <c r="K386" s="3"/>
    </row>
    <row r="387" spans="1:11">
      <c r="A387" s="3">
        <v>42851</v>
      </c>
      <c r="B387" s="3">
        <v>310.17</v>
      </c>
      <c r="C387" s="4">
        <f t="shared" si="22"/>
        <v>2.42999999999995</v>
      </c>
      <c r="D387" s="4">
        <f t="shared" si="23"/>
        <v>5.7600000000000477</v>
      </c>
      <c r="E387" s="3">
        <f t="shared" si="24"/>
        <v>-3.6200000000000045</v>
      </c>
      <c r="F387" s="3">
        <v>110.14999999992256</v>
      </c>
      <c r="G387" s="3">
        <v>12096.630000000001</v>
      </c>
      <c r="H387" s="3">
        <f t="shared" si="25"/>
        <v>12206.779999999924</v>
      </c>
      <c r="I387" s="3"/>
      <c r="J387" s="3"/>
      <c r="K387" s="3"/>
    </row>
    <row r="388" spans="1:11">
      <c r="A388" s="3">
        <v>42852</v>
      </c>
      <c r="B388" s="3">
        <v>308.63</v>
      </c>
      <c r="C388" s="4">
        <f t="shared" si="22"/>
        <v>5.7600000000000477</v>
      </c>
      <c r="D388" s="4">
        <f t="shared" si="23"/>
        <v>-3.6200000000000045</v>
      </c>
      <c r="E388" s="3">
        <f t="shared" si="24"/>
        <v>-1.5400000000000205</v>
      </c>
      <c r="F388" s="3">
        <v>12146.719999999923</v>
      </c>
      <c r="G388" s="3">
        <v>0</v>
      </c>
      <c r="H388" s="3">
        <f t="shared" si="25"/>
        <v>12146.719999999923</v>
      </c>
      <c r="I388" s="3"/>
      <c r="J388" s="3"/>
      <c r="K388" s="3"/>
    </row>
    <row r="389" spans="1:11">
      <c r="A389" s="3">
        <v>42853</v>
      </c>
      <c r="B389" s="3">
        <v>314.07</v>
      </c>
      <c r="C389" s="4">
        <f t="shared" si="22"/>
        <v>-3.6200000000000045</v>
      </c>
      <c r="D389" s="4">
        <f t="shared" si="23"/>
        <v>-1.5400000000000205</v>
      </c>
      <c r="E389" s="3">
        <f t="shared" si="24"/>
        <v>5.4399999999999977</v>
      </c>
      <c r="F389" s="3">
        <v>12146.719999999923</v>
      </c>
      <c r="G389" s="3">
        <v>0</v>
      </c>
      <c r="H389" s="3">
        <f t="shared" si="25"/>
        <v>12146.719999999923</v>
      </c>
      <c r="I389" s="3"/>
      <c r="J389" s="3"/>
      <c r="K389" s="3"/>
    </row>
    <row r="390" spans="1:11">
      <c r="A390" s="3">
        <v>42856</v>
      </c>
      <c r="B390" s="3">
        <v>322.83</v>
      </c>
      <c r="C390" s="4">
        <f t="shared" si="22"/>
        <v>-1.5400000000000205</v>
      </c>
      <c r="D390" s="4">
        <f t="shared" si="23"/>
        <v>5.4399999999999977</v>
      </c>
      <c r="E390" s="3">
        <f t="shared" si="24"/>
        <v>8.7599999999999909</v>
      </c>
      <c r="F390" s="3">
        <v>202.00999999992558</v>
      </c>
      <c r="G390" s="3">
        <v>11944.71</v>
      </c>
      <c r="H390" s="3">
        <f t="shared" si="25"/>
        <v>12146.719999999925</v>
      </c>
      <c r="I390" s="3"/>
      <c r="J390" s="3"/>
      <c r="K390" s="3"/>
    </row>
    <row r="391" spans="1:11">
      <c r="A391" s="3">
        <v>42857</v>
      </c>
      <c r="B391" s="3">
        <v>318.89</v>
      </c>
      <c r="C391" s="4">
        <f t="shared" si="22"/>
        <v>5.4399999999999977</v>
      </c>
      <c r="D391" s="4">
        <f t="shared" si="23"/>
        <v>8.7599999999999909</v>
      </c>
      <c r="E391" s="3">
        <f t="shared" si="24"/>
        <v>-3.9399999999999977</v>
      </c>
      <c r="F391" s="3">
        <v>202.00999999992558</v>
      </c>
      <c r="G391" s="3">
        <v>11798.93</v>
      </c>
      <c r="H391" s="3">
        <f t="shared" si="25"/>
        <v>12000.939999999926</v>
      </c>
      <c r="I391" s="3"/>
      <c r="J391" s="3"/>
      <c r="K391" s="3"/>
    </row>
    <row r="392" spans="1:11">
      <c r="A392" s="3">
        <v>42858</v>
      </c>
      <c r="B392" s="3">
        <v>311.02</v>
      </c>
      <c r="C392" s="4">
        <f t="shared" si="22"/>
        <v>8.7599999999999909</v>
      </c>
      <c r="D392" s="4">
        <f t="shared" si="23"/>
        <v>-3.9399999999999977</v>
      </c>
      <c r="E392" s="3">
        <f t="shared" si="24"/>
        <v>-7.8700000000000045</v>
      </c>
      <c r="F392" s="3">
        <v>11709.749999999925</v>
      </c>
      <c r="G392" s="3">
        <v>0</v>
      </c>
      <c r="H392" s="3">
        <f t="shared" si="25"/>
        <v>11709.749999999925</v>
      </c>
      <c r="I392" s="3"/>
      <c r="J392" s="3"/>
      <c r="K392" s="3"/>
    </row>
    <row r="393" spans="1:11">
      <c r="A393" s="3">
        <v>42859</v>
      </c>
      <c r="B393" s="3">
        <v>295.45999999999998</v>
      </c>
      <c r="C393" s="4">
        <f t="shared" si="22"/>
        <v>-3.9399999999999977</v>
      </c>
      <c r="D393" s="4">
        <f t="shared" si="23"/>
        <v>-7.8700000000000045</v>
      </c>
      <c r="E393" s="3">
        <f t="shared" si="24"/>
        <v>-15.560000000000002</v>
      </c>
      <c r="F393" s="3">
        <v>11709.749999999925</v>
      </c>
      <c r="G393" s="3">
        <v>0</v>
      </c>
      <c r="H393" s="3">
        <f t="shared" si="25"/>
        <v>11709.749999999925</v>
      </c>
      <c r="I393" s="3"/>
      <c r="J393" s="3"/>
      <c r="K393" s="3"/>
    </row>
    <row r="394" spans="1:11">
      <c r="A394" s="3">
        <v>42860</v>
      </c>
      <c r="B394" s="3">
        <v>308.35000000000002</v>
      </c>
      <c r="C394" s="4">
        <f t="shared" si="22"/>
        <v>-7.8700000000000045</v>
      </c>
      <c r="D394" s="4">
        <f t="shared" si="23"/>
        <v>-15.560000000000002</v>
      </c>
      <c r="E394" s="3">
        <f t="shared" si="24"/>
        <v>12.890000000000043</v>
      </c>
      <c r="F394" s="3">
        <v>11709.749999999925</v>
      </c>
      <c r="G394" s="3">
        <v>0</v>
      </c>
      <c r="H394" s="3">
        <f t="shared" si="25"/>
        <v>11709.749999999925</v>
      </c>
      <c r="I394" s="3"/>
      <c r="J394" s="3"/>
      <c r="K394" s="3"/>
    </row>
    <row r="395" spans="1:11">
      <c r="A395" s="3">
        <v>42863</v>
      </c>
      <c r="B395" s="3">
        <v>307.19</v>
      </c>
      <c r="C395" s="4">
        <f t="shared" si="22"/>
        <v>-15.560000000000002</v>
      </c>
      <c r="D395" s="4">
        <f t="shared" si="23"/>
        <v>12.890000000000043</v>
      </c>
      <c r="E395" s="3">
        <f t="shared" si="24"/>
        <v>-1.160000000000025</v>
      </c>
      <c r="F395" s="3">
        <v>11709.749999999925</v>
      </c>
      <c r="G395" s="3">
        <v>0</v>
      </c>
      <c r="H395" s="3">
        <f t="shared" si="25"/>
        <v>11709.749999999925</v>
      </c>
      <c r="I395" s="3"/>
      <c r="J395" s="3"/>
      <c r="K395" s="3"/>
    </row>
    <row r="396" spans="1:11">
      <c r="A396" s="3">
        <v>42864</v>
      </c>
      <c r="B396" s="3">
        <v>321.26</v>
      </c>
      <c r="C396" s="4">
        <f t="shared" si="22"/>
        <v>12.890000000000043</v>
      </c>
      <c r="D396" s="4">
        <f t="shared" si="23"/>
        <v>-1.160000000000025</v>
      </c>
      <c r="E396" s="3">
        <f t="shared" si="24"/>
        <v>14.069999999999993</v>
      </c>
      <c r="F396" s="3">
        <v>11709.749999999925</v>
      </c>
      <c r="G396" s="3">
        <v>0</v>
      </c>
      <c r="H396" s="3">
        <f t="shared" si="25"/>
        <v>11709.749999999925</v>
      </c>
      <c r="I396" s="3"/>
      <c r="J396" s="3"/>
      <c r="K396" s="3"/>
    </row>
    <row r="397" spans="1:11">
      <c r="A397" s="3">
        <v>42865</v>
      </c>
      <c r="B397" s="3">
        <v>325.22000000000003</v>
      </c>
      <c r="C397" s="4">
        <f t="shared" ref="C397:C460" si="26">B395-B394</f>
        <v>-1.160000000000025</v>
      </c>
      <c r="D397" s="4">
        <f t="shared" ref="D397:D460" si="27">B396-B395</f>
        <v>14.069999999999993</v>
      </c>
      <c r="E397" s="3">
        <f t="shared" ref="E397:E460" si="28">B397-B396</f>
        <v>3.9600000000000364</v>
      </c>
      <c r="F397" s="3">
        <v>1.8299999999269403</v>
      </c>
      <c r="G397" s="3">
        <v>11707.920000000002</v>
      </c>
      <c r="H397" s="3">
        <f t="shared" si="25"/>
        <v>11709.749999999929</v>
      </c>
      <c r="I397" s="3"/>
      <c r="J397" s="3"/>
      <c r="K397" s="3"/>
    </row>
    <row r="398" spans="1:11">
      <c r="A398" s="3">
        <v>42866</v>
      </c>
      <c r="B398" s="3">
        <v>323.10000000000002</v>
      </c>
      <c r="C398" s="4">
        <f t="shared" si="26"/>
        <v>14.069999999999993</v>
      </c>
      <c r="D398" s="4">
        <f t="shared" si="27"/>
        <v>3.9600000000000364</v>
      </c>
      <c r="E398" s="3">
        <f t="shared" si="28"/>
        <v>-2.1200000000000045</v>
      </c>
      <c r="F398" s="3">
        <v>1.8299999999269403</v>
      </c>
      <c r="G398" s="3">
        <v>11631.6</v>
      </c>
      <c r="H398" s="3">
        <f t="shared" si="25"/>
        <v>11633.429999999928</v>
      </c>
      <c r="I398" s="3"/>
      <c r="J398" s="3"/>
      <c r="K398" s="3"/>
    </row>
    <row r="399" spans="1:11">
      <c r="A399" s="3">
        <v>42867</v>
      </c>
      <c r="B399" s="3">
        <v>324.81</v>
      </c>
      <c r="C399" s="4">
        <f t="shared" si="26"/>
        <v>3.9600000000000364</v>
      </c>
      <c r="D399" s="4">
        <f t="shared" si="27"/>
        <v>-2.1200000000000045</v>
      </c>
      <c r="E399" s="3">
        <f t="shared" si="28"/>
        <v>1.7099999999999795</v>
      </c>
      <c r="F399" s="3">
        <v>1.8299999999269403</v>
      </c>
      <c r="G399" s="3">
        <v>11693.16</v>
      </c>
      <c r="H399" s="3">
        <f t="shared" si="25"/>
        <v>11694.989999999927</v>
      </c>
      <c r="I399" s="3"/>
      <c r="J399" s="3"/>
      <c r="K399" s="3"/>
    </row>
    <row r="400" spans="1:11">
      <c r="A400" s="3">
        <v>42870</v>
      </c>
      <c r="B400" s="3">
        <v>315.88</v>
      </c>
      <c r="C400" s="4">
        <f t="shared" si="26"/>
        <v>-2.1200000000000045</v>
      </c>
      <c r="D400" s="4">
        <f t="shared" si="27"/>
        <v>1.7099999999999795</v>
      </c>
      <c r="E400" s="3">
        <f t="shared" si="28"/>
        <v>-8.9300000000000068</v>
      </c>
      <c r="F400" s="3">
        <v>1.8299999999269403</v>
      </c>
      <c r="G400" s="3">
        <v>11371.68</v>
      </c>
      <c r="H400" s="3">
        <f t="shared" si="25"/>
        <v>11373.509999999927</v>
      </c>
      <c r="I400" s="3"/>
      <c r="J400" s="3"/>
      <c r="K400" s="3"/>
    </row>
    <row r="401" spans="1:11">
      <c r="A401" s="3">
        <v>42871</v>
      </c>
      <c r="B401" s="3">
        <v>317.01</v>
      </c>
      <c r="C401" s="4">
        <f t="shared" si="26"/>
        <v>1.7099999999999795</v>
      </c>
      <c r="D401" s="4">
        <f t="shared" si="27"/>
        <v>-8.9300000000000068</v>
      </c>
      <c r="E401" s="3">
        <f t="shared" si="28"/>
        <v>1.1299999999999955</v>
      </c>
      <c r="F401" s="3">
        <v>1.8299999999269403</v>
      </c>
      <c r="G401" s="3">
        <v>11412.36</v>
      </c>
      <c r="H401" s="3">
        <f t="shared" si="25"/>
        <v>11414.189999999928</v>
      </c>
      <c r="I401" s="3"/>
      <c r="J401" s="3"/>
      <c r="K401" s="3"/>
    </row>
    <row r="402" spans="1:11">
      <c r="A402" s="3">
        <v>42872</v>
      </c>
      <c r="B402" s="3">
        <v>306.11</v>
      </c>
      <c r="C402" s="4">
        <f t="shared" si="26"/>
        <v>-8.9300000000000068</v>
      </c>
      <c r="D402" s="4">
        <f t="shared" si="27"/>
        <v>1.1299999999999955</v>
      </c>
      <c r="E402" s="3">
        <f t="shared" si="28"/>
        <v>-10.899999999999977</v>
      </c>
      <c r="F402" s="3">
        <v>1.8299999999269403</v>
      </c>
      <c r="G402" s="3">
        <v>11019.960000000001</v>
      </c>
      <c r="H402" s="3">
        <f t="shared" si="25"/>
        <v>11021.789999999928</v>
      </c>
      <c r="I402" s="3"/>
      <c r="J402" s="3"/>
      <c r="K402" s="3"/>
    </row>
    <row r="403" spans="1:11">
      <c r="A403" s="3">
        <v>42873</v>
      </c>
      <c r="B403" s="3">
        <v>313.06</v>
      </c>
      <c r="C403" s="4">
        <f t="shared" si="26"/>
        <v>1.1299999999999955</v>
      </c>
      <c r="D403" s="4">
        <f t="shared" si="27"/>
        <v>-10.899999999999977</v>
      </c>
      <c r="E403" s="3">
        <f t="shared" si="28"/>
        <v>6.9499999999999886</v>
      </c>
      <c r="F403" s="3">
        <v>1.8299999999269403</v>
      </c>
      <c r="G403" s="3">
        <v>11270.16</v>
      </c>
      <c r="H403" s="3">
        <f t="shared" si="25"/>
        <v>11271.989999999927</v>
      </c>
      <c r="I403" s="3"/>
      <c r="J403" s="3"/>
      <c r="K403" s="3"/>
    </row>
    <row r="404" spans="1:11">
      <c r="A404" s="3">
        <v>42874</v>
      </c>
      <c r="B404" s="3">
        <v>310.83</v>
      </c>
      <c r="C404" s="4">
        <f t="shared" si="26"/>
        <v>-10.899999999999977</v>
      </c>
      <c r="D404" s="4">
        <f t="shared" si="27"/>
        <v>6.9499999999999886</v>
      </c>
      <c r="E404" s="3">
        <f t="shared" si="28"/>
        <v>-2.2300000000000182</v>
      </c>
      <c r="F404" s="3">
        <v>1.8299999999269403</v>
      </c>
      <c r="G404" s="3">
        <v>11189.88</v>
      </c>
      <c r="H404" s="3">
        <f t="shared" si="25"/>
        <v>11191.709999999926</v>
      </c>
      <c r="I404" s="3"/>
      <c r="J404" s="3"/>
      <c r="K404" s="3"/>
    </row>
    <row r="405" spans="1:11">
      <c r="A405" s="3">
        <v>42877</v>
      </c>
      <c r="B405" s="3">
        <v>310.35000000000002</v>
      </c>
      <c r="C405" s="4">
        <f t="shared" si="26"/>
        <v>6.9499999999999886</v>
      </c>
      <c r="D405" s="4">
        <f t="shared" si="27"/>
        <v>-2.2300000000000182</v>
      </c>
      <c r="E405" s="3">
        <f t="shared" si="28"/>
        <v>-0.47999999999996135</v>
      </c>
      <c r="F405" s="3">
        <v>11174.429999999928</v>
      </c>
      <c r="G405" s="3">
        <v>0</v>
      </c>
      <c r="H405" s="3">
        <f t="shared" si="25"/>
        <v>11174.429999999928</v>
      </c>
      <c r="I405" s="3"/>
      <c r="J405" s="3"/>
      <c r="K405" s="3"/>
    </row>
    <row r="406" spans="1:11">
      <c r="A406" s="3">
        <v>42878</v>
      </c>
      <c r="B406" s="3">
        <v>303.86</v>
      </c>
      <c r="C406" s="4">
        <f t="shared" si="26"/>
        <v>-2.2300000000000182</v>
      </c>
      <c r="D406" s="4">
        <f t="shared" si="27"/>
        <v>-0.47999999999996135</v>
      </c>
      <c r="E406" s="3">
        <f t="shared" si="28"/>
        <v>-6.4900000000000091</v>
      </c>
      <c r="F406" s="3">
        <v>11174.429999999928</v>
      </c>
      <c r="G406" s="3">
        <v>0</v>
      </c>
      <c r="H406" s="3">
        <f t="shared" ref="H406:H469" si="29">G406+F406</f>
        <v>11174.429999999928</v>
      </c>
      <c r="I406" s="3"/>
      <c r="J406" s="3"/>
      <c r="K406" s="3"/>
    </row>
    <row r="407" spans="1:11">
      <c r="A407" s="3">
        <v>42879</v>
      </c>
      <c r="B407" s="3">
        <v>310.22000000000003</v>
      </c>
      <c r="C407" s="4">
        <f t="shared" si="26"/>
        <v>-0.47999999999996135</v>
      </c>
      <c r="D407" s="4">
        <f t="shared" si="27"/>
        <v>-6.4900000000000091</v>
      </c>
      <c r="E407" s="3">
        <f t="shared" si="28"/>
        <v>6.3600000000000136</v>
      </c>
      <c r="F407" s="3">
        <v>11174.429999999928</v>
      </c>
      <c r="G407" s="3">
        <v>0</v>
      </c>
      <c r="H407" s="3">
        <f t="shared" si="29"/>
        <v>11174.429999999928</v>
      </c>
      <c r="I407" s="3"/>
      <c r="J407" s="3"/>
      <c r="K407" s="3"/>
    </row>
    <row r="408" spans="1:11">
      <c r="A408" s="3">
        <v>42880</v>
      </c>
      <c r="B408" s="3">
        <v>316.83</v>
      </c>
      <c r="C408" s="4">
        <f t="shared" si="26"/>
        <v>-6.4900000000000091</v>
      </c>
      <c r="D408" s="4">
        <f t="shared" si="27"/>
        <v>6.3600000000000136</v>
      </c>
      <c r="E408" s="3">
        <f t="shared" si="28"/>
        <v>6.6099999999999568</v>
      </c>
      <c r="F408" s="3">
        <v>85.379999999929964</v>
      </c>
      <c r="G408" s="3">
        <v>11089.05</v>
      </c>
      <c r="H408" s="3">
        <f t="shared" si="29"/>
        <v>11174.429999999929</v>
      </c>
      <c r="I408" s="3"/>
      <c r="J408" s="3"/>
      <c r="K408" s="3"/>
    </row>
    <row r="409" spans="1:11">
      <c r="A409" s="3">
        <v>42881</v>
      </c>
      <c r="B409" s="3">
        <v>325.14</v>
      </c>
      <c r="C409" s="4">
        <f t="shared" si="26"/>
        <v>6.3600000000000136</v>
      </c>
      <c r="D409" s="4">
        <f t="shared" si="27"/>
        <v>6.6099999999999568</v>
      </c>
      <c r="E409" s="3">
        <f t="shared" si="28"/>
        <v>8.3100000000000023</v>
      </c>
      <c r="F409" s="3">
        <v>85.379999999929964</v>
      </c>
      <c r="G409" s="3">
        <v>11379.9</v>
      </c>
      <c r="H409" s="3">
        <f t="shared" si="29"/>
        <v>11465.27999999993</v>
      </c>
      <c r="I409" s="3"/>
      <c r="J409" s="3"/>
      <c r="K409" s="3"/>
    </row>
    <row r="410" spans="1:11">
      <c r="A410" s="3">
        <v>42885</v>
      </c>
      <c r="B410" s="3">
        <v>335.1</v>
      </c>
      <c r="C410" s="4">
        <f t="shared" si="26"/>
        <v>6.6099999999999568</v>
      </c>
      <c r="D410" s="4">
        <f t="shared" si="27"/>
        <v>8.3100000000000023</v>
      </c>
      <c r="E410" s="3">
        <f t="shared" si="28"/>
        <v>9.9600000000000364</v>
      </c>
      <c r="F410" s="3">
        <v>85.379999999929964</v>
      </c>
      <c r="G410" s="3">
        <v>11728.5</v>
      </c>
      <c r="H410" s="3">
        <f t="shared" si="29"/>
        <v>11813.87999999993</v>
      </c>
      <c r="I410" s="3"/>
      <c r="J410" s="3"/>
      <c r="K410" s="3"/>
    </row>
    <row r="411" spans="1:11">
      <c r="A411" s="3">
        <v>42886</v>
      </c>
      <c r="B411" s="3">
        <v>341.01</v>
      </c>
      <c r="C411" s="4">
        <f t="shared" si="26"/>
        <v>8.3100000000000023</v>
      </c>
      <c r="D411" s="4">
        <f t="shared" si="27"/>
        <v>9.9600000000000364</v>
      </c>
      <c r="E411" s="3">
        <f t="shared" si="28"/>
        <v>5.9099999999999682</v>
      </c>
      <c r="F411" s="3">
        <v>85.379999999929964</v>
      </c>
      <c r="G411" s="3">
        <v>11935.35</v>
      </c>
      <c r="H411" s="3">
        <f t="shared" si="29"/>
        <v>12020.72999999993</v>
      </c>
      <c r="I411" s="3"/>
      <c r="J411" s="3"/>
      <c r="K411" s="3"/>
    </row>
    <row r="412" spans="1:11">
      <c r="A412" s="3">
        <v>42887</v>
      </c>
      <c r="B412" s="3">
        <v>340.37</v>
      </c>
      <c r="C412" s="4">
        <f t="shared" si="26"/>
        <v>9.9600000000000364</v>
      </c>
      <c r="D412" s="4">
        <f t="shared" si="27"/>
        <v>5.9099999999999682</v>
      </c>
      <c r="E412" s="3">
        <f t="shared" si="28"/>
        <v>-0.63999999999998636</v>
      </c>
      <c r="F412" s="3">
        <v>85.379999999929964</v>
      </c>
      <c r="G412" s="3">
        <v>11912.95</v>
      </c>
      <c r="H412" s="3">
        <f t="shared" si="29"/>
        <v>11998.329999999931</v>
      </c>
      <c r="I412" s="3"/>
      <c r="J412" s="3"/>
      <c r="K412" s="3"/>
    </row>
    <row r="413" spans="1:11">
      <c r="A413" s="3">
        <v>42888</v>
      </c>
      <c r="B413" s="3">
        <v>339.85</v>
      </c>
      <c r="C413" s="4">
        <f t="shared" si="26"/>
        <v>5.9099999999999682</v>
      </c>
      <c r="D413" s="4">
        <f t="shared" si="27"/>
        <v>-0.63999999999998636</v>
      </c>
      <c r="E413" s="3">
        <f t="shared" si="28"/>
        <v>-0.51999999999998181</v>
      </c>
      <c r="F413" s="3">
        <v>11980.12999999993</v>
      </c>
      <c r="G413" s="3">
        <v>0</v>
      </c>
      <c r="H413" s="3">
        <f t="shared" si="29"/>
        <v>11980.12999999993</v>
      </c>
      <c r="I413" s="3"/>
      <c r="J413" s="3"/>
      <c r="K413" s="3"/>
    </row>
    <row r="414" spans="1:11">
      <c r="A414" s="3">
        <v>42891</v>
      </c>
      <c r="B414" s="3">
        <v>347.32</v>
      </c>
      <c r="C414" s="4">
        <f t="shared" si="26"/>
        <v>-0.63999999999998636</v>
      </c>
      <c r="D414" s="4">
        <f t="shared" si="27"/>
        <v>-0.51999999999998181</v>
      </c>
      <c r="E414" s="3">
        <f t="shared" si="28"/>
        <v>7.4699999999999704</v>
      </c>
      <c r="F414" s="3">
        <v>11980.12999999993</v>
      </c>
      <c r="G414" s="3">
        <v>0</v>
      </c>
      <c r="H414" s="3">
        <f t="shared" si="29"/>
        <v>11980.12999999993</v>
      </c>
      <c r="I414" s="3"/>
      <c r="J414" s="3"/>
      <c r="K414" s="3"/>
    </row>
    <row r="415" spans="1:11">
      <c r="A415" s="3">
        <v>42892</v>
      </c>
      <c r="B415" s="3">
        <v>352.85</v>
      </c>
      <c r="C415" s="4">
        <f t="shared" si="26"/>
        <v>-0.51999999999998181</v>
      </c>
      <c r="D415" s="4">
        <f t="shared" si="27"/>
        <v>7.4699999999999704</v>
      </c>
      <c r="E415" s="3">
        <f t="shared" si="28"/>
        <v>5.5300000000000296</v>
      </c>
      <c r="F415" s="3">
        <v>336.07999999992285</v>
      </c>
      <c r="G415" s="3">
        <v>11644.050000000001</v>
      </c>
      <c r="H415" s="3">
        <f t="shared" si="29"/>
        <v>11980.129999999925</v>
      </c>
      <c r="I415" s="3"/>
      <c r="J415" s="3"/>
      <c r="K415" s="3"/>
    </row>
    <row r="416" spans="1:11">
      <c r="A416" s="3">
        <v>42893</v>
      </c>
      <c r="B416" s="3">
        <v>359.65</v>
      </c>
      <c r="C416" s="4">
        <f t="shared" si="26"/>
        <v>7.4699999999999704</v>
      </c>
      <c r="D416" s="4">
        <f t="shared" si="27"/>
        <v>5.5300000000000296</v>
      </c>
      <c r="E416" s="3">
        <f t="shared" si="28"/>
        <v>6.7999999999999545</v>
      </c>
      <c r="F416" s="3">
        <v>336.07999999992285</v>
      </c>
      <c r="G416" s="3">
        <v>11868.449999999999</v>
      </c>
      <c r="H416" s="3">
        <f t="shared" si="29"/>
        <v>12204.529999999922</v>
      </c>
      <c r="I416" s="3"/>
      <c r="J416" s="3"/>
      <c r="K416" s="3"/>
    </row>
    <row r="417" spans="1:11">
      <c r="A417" s="3">
        <v>42894</v>
      </c>
      <c r="B417" s="3">
        <v>370</v>
      </c>
      <c r="C417" s="4">
        <f t="shared" si="26"/>
        <v>5.5300000000000296</v>
      </c>
      <c r="D417" s="4">
        <f t="shared" si="27"/>
        <v>6.7999999999999545</v>
      </c>
      <c r="E417" s="3">
        <f t="shared" si="28"/>
        <v>10.350000000000023</v>
      </c>
      <c r="F417" s="3">
        <v>336.07999999992285</v>
      </c>
      <c r="G417" s="3">
        <v>12210</v>
      </c>
      <c r="H417" s="3">
        <f t="shared" si="29"/>
        <v>12546.079999999924</v>
      </c>
      <c r="I417" s="3"/>
      <c r="J417" s="3"/>
      <c r="K417" s="3"/>
    </row>
    <row r="418" spans="1:11">
      <c r="A418" s="3">
        <v>42895</v>
      </c>
      <c r="B418" s="3">
        <v>357.32</v>
      </c>
      <c r="C418" s="4">
        <f t="shared" si="26"/>
        <v>6.7999999999999545</v>
      </c>
      <c r="D418" s="4">
        <f t="shared" si="27"/>
        <v>10.350000000000023</v>
      </c>
      <c r="E418" s="3">
        <f t="shared" si="28"/>
        <v>-12.680000000000007</v>
      </c>
      <c r="F418" s="3">
        <v>336.07999999992285</v>
      </c>
      <c r="G418" s="3">
        <v>11791.56</v>
      </c>
      <c r="H418" s="3">
        <f t="shared" si="29"/>
        <v>12127.639999999923</v>
      </c>
      <c r="I418" s="3"/>
      <c r="J418" s="3"/>
      <c r="K418" s="3"/>
    </row>
    <row r="419" spans="1:11">
      <c r="A419" s="3">
        <v>42898</v>
      </c>
      <c r="B419" s="3">
        <v>359.01</v>
      </c>
      <c r="C419" s="4">
        <f t="shared" si="26"/>
        <v>10.350000000000023</v>
      </c>
      <c r="D419" s="4">
        <f t="shared" si="27"/>
        <v>-12.680000000000007</v>
      </c>
      <c r="E419" s="3">
        <f t="shared" si="28"/>
        <v>1.6899999999999977</v>
      </c>
      <c r="F419" s="3">
        <v>336.07999999992285</v>
      </c>
      <c r="G419" s="3">
        <v>11847.33</v>
      </c>
      <c r="H419" s="3">
        <f t="shared" si="29"/>
        <v>12183.409999999923</v>
      </c>
      <c r="I419" s="3"/>
      <c r="J419" s="3"/>
      <c r="K419" s="3"/>
    </row>
    <row r="420" spans="1:11">
      <c r="A420" s="3">
        <v>42899</v>
      </c>
      <c r="B420" s="3">
        <v>375.95</v>
      </c>
      <c r="C420" s="4">
        <f t="shared" si="26"/>
        <v>-12.680000000000007</v>
      </c>
      <c r="D420" s="4">
        <f t="shared" si="27"/>
        <v>1.6899999999999977</v>
      </c>
      <c r="E420" s="3">
        <f t="shared" si="28"/>
        <v>16.939999999999998</v>
      </c>
      <c r="F420" s="3">
        <v>336.07999999992285</v>
      </c>
      <c r="G420" s="3">
        <v>12406.35</v>
      </c>
      <c r="H420" s="3">
        <f t="shared" si="29"/>
        <v>12742.429999999924</v>
      </c>
      <c r="I420" s="3"/>
      <c r="J420" s="3"/>
      <c r="K420" s="3"/>
    </row>
    <row r="421" spans="1:11">
      <c r="A421" s="3">
        <v>42900</v>
      </c>
      <c r="B421" s="3">
        <v>380.66</v>
      </c>
      <c r="C421" s="4">
        <f t="shared" si="26"/>
        <v>1.6899999999999977</v>
      </c>
      <c r="D421" s="4">
        <f t="shared" si="27"/>
        <v>16.939999999999998</v>
      </c>
      <c r="E421" s="3">
        <f t="shared" si="28"/>
        <v>4.7100000000000364</v>
      </c>
      <c r="F421" s="3">
        <v>336.07999999992285</v>
      </c>
      <c r="G421" s="3">
        <v>12561.78</v>
      </c>
      <c r="H421" s="3">
        <f t="shared" si="29"/>
        <v>12897.859999999924</v>
      </c>
      <c r="I421" s="3"/>
      <c r="J421" s="3"/>
      <c r="K421" s="3"/>
    </row>
    <row r="422" spans="1:11">
      <c r="A422" s="3">
        <v>42901</v>
      </c>
      <c r="B422" s="3">
        <v>375.34</v>
      </c>
      <c r="C422" s="4">
        <f t="shared" si="26"/>
        <v>16.939999999999998</v>
      </c>
      <c r="D422" s="4">
        <f t="shared" si="27"/>
        <v>4.7100000000000364</v>
      </c>
      <c r="E422" s="3">
        <f t="shared" si="28"/>
        <v>-5.32000000000005</v>
      </c>
      <c r="F422" s="3">
        <v>336.07999999992285</v>
      </c>
      <c r="G422" s="3">
        <v>12386.22</v>
      </c>
      <c r="H422" s="3">
        <f t="shared" si="29"/>
        <v>12722.299999999923</v>
      </c>
      <c r="I422" s="3"/>
      <c r="J422" s="3"/>
      <c r="K422" s="3"/>
    </row>
    <row r="423" spans="1:11">
      <c r="A423" s="3">
        <v>42902</v>
      </c>
      <c r="B423" s="3">
        <v>371.4</v>
      </c>
      <c r="C423" s="4">
        <f t="shared" si="26"/>
        <v>4.7100000000000364</v>
      </c>
      <c r="D423" s="4">
        <f t="shared" si="27"/>
        <v>-5.32000000000005</v>
      </c>
      <c r="E423" s="3">
        <f t="shared" si="28"/>
        <v>-3.9399999999999977</v>
      </c>
      <c r="F423" s="3">
        <v>12592.279999999922</v>
      </c>
      <c r="G423" s="3">
        <v>0</v>
      </c>
      <c r="H423" s="3">
        <f t="shared" si="29"/>
        <v>12592.279999999922</v>
      </c>
      <c r="I423" s="3"/>
      <c r="J423" s="3"/>
      <c r="K423" s="3"/>
    </row>
    <row r="424" spans="1:11">
      <c r="A424" s="3">
        <v>42905</v>
      </c>
      <c r="B424" s="3">
        <v>369.8</v>
      </c>
      <c r="C424" s="4">
        <f t="shared" si="26"/>
        <v>-5.32000000000005</v>
      </c>
      <c r="D424" s="4">
        <f t="shared" si="27"/>
        <v>-3.9399999999999977</v>
      </c>
      <c r="E424" s="3">
        <f t="shared" si="28"/>
        <v>-1.5999999999999659</v>
      </c>
      <c r="F424" s="3">
        <v>12592.279999999922</v>
      </c>
      <c r="G424" s="3">
        <v>0</v>
      </c>
      <c r="H424" s="3">
        <f t="shared" si="29"/>
        <v>12592.279999999922</v>
      </c>
      <c r="I424" s="3"/>
      <c r="J424" s="3"/>
      <c r="K424" s="3"/>
    </row>
    <row r="425" spans="1:11">
      <c r="A425" s="3">
        <v>42906</v>
      </c>
      <c r="B425" s="3">
        <v>372.24</v>
      </c>
      <c r="C425" s="4">
        <f t="shared" si="26"/>
        <v>-3.9399999999999977</v>
      </c>
      <c r="D425" s="4">
        <f t="shared" si="27"/>
        <v>-1.5999999999999659</v>
      </c>
      <c r="E425" s="3">
        <f t="shared" si="28"/>
        <v>2.4399999999999977</v>
      </c>
      <c r="F425" s="3">
        <v>12592.279999999922</v>
      </c>
      <c r="G425" s="3">
        <v>0</v>
      </c>
      <c r="H425" s="3">
        <f t="shared" si="29"/>
        <v>12592.279999999922</v>
      </c>
      <c r="I425" s="3"/>
      <c r="J425" s="3"/>
      <c r="K425" s="3"/>
    </row>
    <row r="426" spans="1:11">
      <c r="A426" s="3">
        <v>42907</v>
      </c>
      <c r="B426" s="3">
        <v>376.4</v>
      </c>
      <c r="C426" s="4">
        <f t="shared" si="26"/>
        <v>-1.5999999999999659</v>
      </c>
      <c r="D426" s="4">
        <f t="shared" si="27"/>
        <v>2.4399999999999977</v>
      </c>
      <c r="E426" s="3">
        <f t="shared" si="28"/>
        <v>4.1599999999999682</v>
      </c>
      <c r="F426" s="3">
        <v>171.07999999992978</v>
      </c>
      <c r="G426" s="3">
        <v>12421.199999999999</v>
      </c>
      <c r="H426" s="3">
        <f t="shared" si="29"/>
        <v>12592.279999999928</v>
      </c>
      <c r="I426" s="3"/>
      <c r="J426" s="3"/>
      <c r="K426" s="3"/>
    </row>
    <row r="427" spans="1:11">
      <c r="A427" s="3">
        <v>42908</v>
      </c>
      <c r="B427" s="3">
        <v>382.61</v>
      </c>
      <c r="C427" s="4">
        <f t="shared" si="26"/>
        <v>2.4399999999999977</v>
      </c>
      <c r="D427" s="4">
        <f t="shared" si="27"/>
        <v>4.1599999999999682</v>
      </c>
      <c r="E427" s="3">
        <f t="shared" si="28"/>
        <v>6.2100000000000364</v>
      </c>
      <c r="F427" s="3">
        <v>171.07999999992978</v>
      </c>
      <c r="G427" s="3">
        <v>12626.130000000001</v>
      </c>
      <c r="H427" s="3">
        <f t="shared" si="29"/>
        <v>12797.20999999993</v>
      </c>
      <c r="I427" s="3"/>
      <c r="J427" s="3"/>
      <c r="K427" s="3"/>
    </row>
    <row r="428" spans="1:11">
      <c r="A428" s="3">
        <v>42909</v>
      </c>
      <c r="B428" s="3">
        <v>383.45</v>
      </c>
      <c r="C428" s="4">
        <f t="shared" si="26"/>
        <v>4.1599999999999682</v>
      </c>
      <c r="D428" s="4">
        <f t="shared" si="27"/>
        <v>6.2100000000000364</v>
      </c>
      <c r="E428" s="3">
        <f t="shared" si="28"/>
        <v>0.83999999999997499</v>
      </c>
      <c r="F428" s="3">
        <v>171.07999999992978</v>
      </c>
      <c r="G428" s="3">
        <v>12653.85</v>
      </c>
      <c r="H428" s="3">
        <f t="shared" si="29"/>
        <v>12824.929999999929</v>
      </c>
      <c r="I428" s="3"/>
      <c r="J428" s="3"/>
      <c r="K428" s="3"/>
    </row>
    <row r="429" spans="1:11">
      <c r="A429" s="3">
        <v>42912</v>
      </c>
      <c r="B429" s="3">
        <v>377.49</v>
      </c>
      <c r="C429" s="4">
        <f t="shared" si="26"/>
        <v>6.2100000000000364</v>
      </c>
      <c r="D429" s="4">
        <f t="shared" si="27"/>
        <v>0.83999999999997499</v>
      </c>
      <c r="E429" s="3">
        <f t="shared" si="28"/>
        <v>-5.9599999999999795</v>
      </c>
      <c r="F429" s="3">
        <v>171.07999999992978</v>
      </c>
      <c r="G429" s="3">
        <v>12457.17</v>
      </c>
      <c r="H429" s="3">
        <f t="shared" si="29"/>
        <v>12628.249999999929</v>
      </c>
      <c r="I429" s="3"/>
      <c r="J429" s="3"/>
      <c r="K429" s="3"/>
    </row>
    <row r="430" spans="1:11">
      <c r="A430" s="3">
        <v>42913</v>
      </c>
      <c r="B430" s="3">
        <v>362.37</v>
      </c>
      <c r="C430" s="4">
        <f t="shared" si="26"/>
        <v>0.83999999999997499</v>
      </c>
      <c r="D430" s="4">
        <f t="shared" si="27"/>
        <v>-5.9599999999999795</v>
      </c>
      <c r="E430" s="3">
        <f t="shared" si="28"/>
        <v>-15.120000000000005</v>
      </c>
      <c r="F430" s="3">
        <v>12129.28999999993</v>
      </c>
      <c r="G430" s="3">
        <v>0</v>
      </c>
      <c r="H430" s="3">
        <f t="shared" si="29"/>
        <v>12129.28999999993</v>
      </c>
      <c r="I430" s="3"/>
      <c r="J430" s="3"/>
      <c r="K430" s="3"/>
    </row>
    <row r="431" spans="1:11">
      <c r="A431" s="3">
        <v>42914</v>
      </c>
      <c r="B431" s="3">
        <v>371.24</v>
      </c>
      <c r="C431" s="4">
        <f t="shared" si="26"/>
        <v>-5.9599999999999795</v>
      </c>
      <c r="D431" s="4">
        <f t="shared" si="27"/>
        <v>-15.120000000000005</v>
      </c>
      <c r="E431" s="3">
        <f t="shared" si="28"/>
        <v>8.8700000000000045</v>
      </c>
      <c r="F431" s="3">
        <v>12129.28999999993</v>
      </c>
      <c r="G431" s="3">
        <v>0</v>
      </c>
      <c r="H431" s="3">
        <f t="shared" si="29"/>
        <v>12129.28999999993</v>
      </c>
      <c r="I431" s="3"/>
      <c r="J431" s="3"/>
      <c r="K431" s="3"/>
    </row>
    <row r="432" spans="1:11">
      <c r="A432" s="3">
        <v>42915</v>
      </c>
      <c r="B432" s="3">
        <v>360.75</v>
      </c>
      <c r="C432" s="4">
        <f t="shared" si="26"/>
        <v>-15.120000000000005</v>
      </c>
      <c r="D432" s="4">
        <f t="shared" si="27"/>
        <v>8.8700000000000045</v>
      </c>
      <c r="E432" s="3">
        <f t="shared" si="28"/>
        <v>-10.490000000000009</v>
      </c>
      <c r="F432" s="3">
        <v>12129.28999999993</v>
      </c>
      <c r="G432" s="3">
        <v>0</v>
      </c>
      <c r="H432" s="3">
        <f t="shared" si="29"/>
        <v>12129.28999999993</v>
      </c>
      <c r="I432" s="3"/>
      <c r="J432" s="3"/>
      <c r="K432" s="3"/>
    </row>
    <row r="433" spans="1:11">
      <c r="A433" s="3">
        <v>42916</v>
      </c>
      <c r="B433" s="3">
        <v>361.61</v>
      </c>
      <c r="C433" s="4">
        <f t="shared" si="26"/>
        <v>8.8700000000000045</v>
      </c>
      <c r="D433" s="4">
        <f t="shared" si="27"/>
        <v>-10.490000000000009</v>
      </c>
      <c r="E433" s="3">
        <f t="shared" si="28"/>
        <v>0.86000000000001364</v>
      </c>
      <c r="F433" s="3">
        <v>12129.28999999993</v>
      </c>
      <c r="G433" s="3">
        <v>0</v>
      </c>
      <c r="H433" s="3">
        <f t="shared" si="29"/>
        <v>12129.28999999993</v>
      </c>
      <c r="I433" s="3"/>
      <c r="J433" s="3"/>
      <c r="K433" s="3"/>
    </row>
    <row r="434" spans="1:11">
      <c r="A434" s="3">
        <v>42919</v>
      </c>
      <c r="B434" s="3">
        <v>352.62</v>
      </c>
      <c r="C434" s="4">
        <f t="shared" si="26"/>
        <v>-10.490000000000009</v>
      </c>
      <c r="D434" s="4">
        <f t="shared" si="27"/>
        <v>0.86000000000001364</v>
      </c>
      <c r="E434" s="3">
        <f t="shared" si="28"/>
        <v>-8.9900000000000091</v>
      </c>
      <c r="F434" s="3">
        <v>12129.28999999993</v>
      </c>
      <c r="G434" s="3">
        <v>0</v>
      </c>
      <c r="H434" s="3">
        <f t="shared" si="29"/>
        <v>12129.28999999993</v>
      </c>
      <c r="I434" s="3"/>
      <c r="J434" s="3"/>
      <c r="K434" s="3"/>
    </row>
    <row r="435" spans="1:11">
      <c r="A435" s="3">
        <v>42921</v>
      </c>
      <c r="B435" s="3">
        <v>327.08999999999997</v>
      </c>
      <c r="C435" s="4">
        <f t="shared" si="26"/>
        <v>0.86000000000001364</v>
      </c>
      <c r="D435" s="4">
        <f t="shared" si="27"/>
        <v>-8.9900000000000091</v>
      </c>
      <c r="E435" s="3">
        <f t="shared" si="28"/>
        <v>-25.53000000000003</v>
      </c>
      <c r="F435" s="3">
        <v>12129.28999999993</v>
      </c>
      <c r="G435" s="3">
        <v>0</v>
      </c>
      <c r="H435" s="3">
        <f t="shared" si="29"/>
        <v>12129.28999999993</v>
      </c>
      <c r="I435" s="3"/>
      <c r="J435" s="3"/>
      <c r="K435" s="3"/>
    </row>
    <row r="436" spans="1:11">
      <c r="A436" s="3">
        <v>42922</v>
      </c>
      <c r="B436" s="3">
        <v>308.83</v>
      </c>
      <c r="C436" s="4">
        <f t="shared" si="26"/>
        <v>-8.9900000000000091</v>
      </c>
      <c r="D436" s="4">
        <f t="shared" si="27"/>
        <v>-25.53000000000003</v>
      </c>
      <c r="E436" s="3">
        <f t="shared" si="28"/>
        <v>-18.259999999999991</v>
      </c>
      <c r="F436" s="3">
        <v>12129.28999999993</v>
      </c>
      <c r="G436" s="3">
        <v>0</v>
      </c>
      <c r="H436" s="3">
        <f t="shared" si="29"/>
        <v>12129.28999999993</v>
      </c>
      <c r="I436" s="3"/>
      <c r="J436" s="3"/>
      <c r="K436" s="3"/>
    </row>
    <row r="437" spans="1:11">
      <c r="A437" s="3">
        <v>42923</v>
      </c>
      <c r="B437" s="3">
        <v>313.22000000000003</v>
      </c>
      <c r="C437" s="4">
        <f t="shared" si="26"/>
        <v>-25.53000000000003</v>
      </c>
      <c r="D437" s="4">
        <f t="shared" si="27"/>
        <v>-18.259999999999991</v>
      </c>
      <c r="E437" s="3">
        <f t="shared" si="28"/>
        <v>4.3900000000000432</v>
      </c>
      <c r="F437" s="3">
        <v>12129.28999999993</v>
      </c>
      <c r="G437" s="3">
        <v>0</v>
      </c>
      <c r="H437" s="3">
        <f t="shared" si="29"/>
        <v>12129.28999999993</v>
      </c>
      <c r="I437" s="3"/>
      <c r="J437" s="3"/>
      <c r="K437" s="3"/>
    </row>
    <row r="438" spans="1:11">
      <c r="A438" s="3">
        <v>42926</v>
      </c>
      <c r="B438" s="3">
        <v>316.05</v>
      </c>
      <c r="C438" s="4">
        <f t="shared" si="26"/>
        <v>-18.259999999999991</v>
      </c>
      <c r="D438" s="4">
        <f t="shared" si="27"/>
        <v>4.3900000000000432</v>
      </c>
      <c r="E438" s="3">
        <f t="shared" si="28"/>
        <v>2.8299999999999841</v>
      </c>
      <c r="F438" s="3">
        <v>119.38999999993541</v>
      </c>
      <c r="G438" s="3">
        <v>12009.9</v>
      </c>
      <c r="H438" s="3">
        <f t="shared" si="29"/>
        <v>12129.289999999935</v>
      </c>
      <c r="I438" s="3"/>
      <c r="J438" s="3"/>
      <c r="K438" s="3"/>
    </row>
    <row r="439" spans="1:11">
      <c r="A439" s="3">
        <v>42927</v>
      </c>
      <c r="B439" s="3">
        <v>327.22000000000003</v>
      </c>
      <c r="C439" s="4">
        <f t="shared" si="26"/>
        <v>4.3900000000000432</v>
      </c>
      <c r="D439" s="4">
        <f t="shared" si="27"/>
        <v>2.8299999999999841</v>
      </c>
      <c r="E439" s="3">
        <f t="shared" si="28"/>
        <v>11.170000000000016</v>
      </c>
      <c r="F439" s="3">
        <v>119.38999999993541</v>
      </c>
      <c r="G439" s="3">
        <v>12434.36</v>
      </c>
      <c r="H439" s="3">
        <f t="shared" si="29"/>
        <v>12553.749999999936</v>
      </c>
      <c r="I439" s="3"/>
      <c r="J439" s="3"/>
      <c r="K439" s="3"/>
    </row>
    <row r="440" spans="1:11">
      <c r="A440" s="3">
        <v>42928</v>
      </c>
      <c r="B440" s="3">
        <v>329.52</v>
      </c>
      <c r="C440" s="4">
        <f t="shared" si="26"/>
        <v>2.8299999999999841</v>
      </c>
      <c r="D440" s="4">
        <f t="shared" si="27"/>
        <v>11.170000000000016</v>
      </c>
      <c r="E440" s="3">
        <f t="shared" si="28"/>
        <v>2.2999999999999545</v>
      </c>
      <c r="F440" s="3">
        <v>119.38999999993541</v>
      </c>
      <c r="G440" s="3">
        <v>12521.759999999998</v>
      </c>
      <c r="H440" s="3">
        <f t="shared" si="29"/>
        <v>12641.149999999934</v>
      </c>
      <c r="I440" s="3"/>
      <c r="J440" s="3"/>
      <c r="K440" s="3"/>
    </row>
    <row r="441" spans="1:11">
      <c r="A441" s="3">
        <v>42929</v>
      </c>
      <c r="B441" s="3">
        <v>323.41000000000003</v>
      </c>
      <c r="C441" s="4">
        <f t="shared" si="26"/>
        <v>11.170000000000016</v>
      </c>
      <c r="D441" s="4">
        <f t="shared" si="27"/>
        <v>2.2999999999999545</v>
      </c>
      <c r="E441" s="3">
        <f t="shared" si="28"/>
        <v>-6.1099999999999568</v>
      </c>
      <c r="F441" s="3">
        <v>119.38999999993541</v>
      </c>
      <c r="G441" s="3">
        <v>12289.580000000002</v>
      </c>
      <c r="H441" s="3">
        <f t="shared" si="29"/>
        <v>12408.969999999937</v>
      </c>
      <c r="I441" s="3"/>
      <c r="J441" s="3"/>
      <c r="K441" s="3"/>
    </row>
    <row r="442" spans="1:11">
      <c r="A442" s="3">
        <v>42930</v>
      </c>
      <c r="B442" s="3">
        <v>327.78</v>
      </c>
      <c r="C442" s="4">
        <f t="shared" si="26"/>
        <v>2.2999999999999545</v>
      </c>
      <c r="D442" s="4">
        <f t="shared" si="27"/>
        <v>-6.1099999999999568</v>
      </c>
      <c r="E442" s="3">
        <f t="shared" si="28"/>
        <v>4.3699999999999477</v>
      </c>
      <c r="F442" s="3">
        <v>119.38999999993541</v>
      </c>
      <c r="G442" s="3">
        <v>12455.64</v>
      </c>
      <c r="H442" s="3">
        <f t="shared" si="29"/>
        <v>12575.029999999935</v>
      </c>
      <c r="I442" s="3"/>
      <c r="J442" s="3"/>
      <c r="K442" s="3"/>
    </row>
    <row r="443" spans="1:11">
      <c r="A443" s="3">
        <v>42933</v>
      </c>
      <c r="B443" s="3">
        <v>319.57</v>
      </c>
      <c r="C443" s="4">
        <f t="shared" si="26"/>
        <v>-6.1099999999999568</v>
      </c>
      <c r="D443" s="4">
        <f t="shared" si="27"/>
        <v>4.3699999999999477</v>
      </c>
      <c r="E443" s="3">
        <f t="shared" si="28"/>
        <v>-8.2099999999999795</v>
      </c>
      <c r="F443" s="3">
        <v>119.38999999993541</v>
      </c>
      <c r="G443" s="3">
        <v>12143.66</v>
      </c>
      <c r="H443" s="3">
        <f t="shared" si="29"/>
        <v>12263.049999999936</v>
      </c>
      <c r="I443" s="3"/>
      <c r="J443" s="3"/>
      <c r="K443" s="3"/>
    </row>
    <row r="444" spans="1:11">
      <c r="A444" s="3">
        <v>42934</v>
      </c>
      <c r="B444" s="3">
        <v>328.24</v>
      </c>
      <c r="C444" s="4">
        <f t="shared" si="26"/>
        <v>4.3699999999999477</v>
      </c>
      <c r="D444" s="4">
        <f t="shared" si="27"/>
        <v>-8.2099999999999795</v>
      </c>
      <c r="E444" s="3">
        <f t="shared" si="28"/>
        <v>8.6700000000000159</v>
      </c>
      <c r="F444" s="3">
        <v>119.38999999993541</v>
      </c>
      <c r="G444" s="3">
        <v>12473.12</v>
      </c>
      <c r="H444" s="3">
        <f t="shared" si="29"/>
        <v>12592.509999999937</v>
      </c>
      <c r="I444" s="3"/>
      <c r="J444" s="3"/>
      <c r="K444" s="3"/>
    </row>
    <row r="445" spans="1:11">
      <c r="A445" s="3">
        <v>42935</v>
      </c>
      <c r="B445" s="3">
        <v>325.26</v>
      </c>
      <c r="C445" s="4">
        <f t="shared" si="26"/>
        <v>-8.2099999999999795</v>
      </c>
      <c r="D445" s="4">
        <f t="shared" si="27"/>
        <v>8.6700000000000159</v>
      </c>
      <c r="E445" s="3">
        <f t="shared" si="28"/>
        <v>-2.9800000000000182</v>
      </c>
      <c r="F445" s="3">
        <v>119.38999999993541</v>
      </c>
      <c r="G445" s="3">
        <v>12359.88</v>
      </c>
      <c r="H445" s="3">
        <f t="shared" si="29"/>
        <v>12479.269999999935</v>
      </c>
      <c r="I445" s="3"/>
      <c r="J445" s="3"/>
      <c r="K445" s="3"/>
    </row>
    <row r="446" spans="1:11">
      <c r="A446" s="3">
        <v>42936</v>
      </c>
      <c r="B446" s="3">
        <v>329.92</v>
      </c>
      <c r="C446" s="4">
        <f t="shared" si="26"/>
        <v>8.6700000000000159</v>
      </c>
      <c r="D446" s="4">
        <f t="shared" si="27"/>
        <v>-2.9800000000000182</v>
      </c>
      <c r="E446" s="3">
        <f t="shared" si="28"/>
        <v>4.660000000000025</v>
      </c>
      <c r="F446" s="3">
        <v>119.38999999993541</v>
      </c>
      <c r="G446" s="3">
        <v>12536.960000000001</v>
      </c>
      <c r="H446" s="3">
        <f t="shared" si="29"/>
        <v>12656.349999999937</v>
      </c>
      <c r="I446" s="3"/>
      <c r="J446" s="3"/>
      <c r="K446" s="3"/>
    </row>
    <row r="447" spans="1:11">
      <c r="A447" s="3">
        <v>42937</v>
      </c>
      <c r="B447" s="3">
        <v>328.4</v>
      </c>
      <c r="C447" s="4">
        <f t="shared" si="26"/>
        <v>-2.9800000000000182</v>
      </c>
      <c r="D447" s="4">
        <f t="shared" si="27"/>
        <v>4.660000000000025</v>
      </c>
      <c r="E447" s="3">
        <f t="shared" si="28"/>
        <v>-1.5200000000000387</v>
      </c>
      <c r="F447" s="3">
        <v>119.38999999993541</v>
      </c>
      <c r="G447" s="3">
        <v>12479.199999999999</v>
      </c>
      <c r="H447" s="3">
        <f t="shared" si="29"/>
        <v>12598.589999999935</v>
      </c>
      <c r="I447" s="3"/>
      <c r="J447" s="3"/>
      <c r="K447" s="3"/>
    </row>
    <row r="448" spans="1:11">
      <c r="A448" s="3">
        <v>42940</v>
      </c>
      <c r="B448" s="3">
        <v>342.52</v>
      </c>
      <c r="C448" s="4">
        <f t="shared" si="26"/>
        <v>4.660000000000025</v>
      </c>
      <c r="D448" s="4">
        <f t="shared" si="27"/>
        <v>-1.5200000000000387</v>
      </c>
      <c r="E448" s="3">
        <f t="shared" si="28"/>
        <v>14.120000000000005</v>
      </c>
      <c r="F448" s="3">
        <v>119.38999999993541</v>
      </c>
      <c r="G448" s="3">
        <v>13015.759999999998</v>
      </c>
      <c r="H448" s="3">
        <f t="shared" si="29"/>
        <v>13135.149999999934</v>
      </c>
      <c r="I448" s="3"/>
      <c r="J448" s="3"/>
      <c r="K448" s="3"/>
    </row>
    <row r="449" spans="1:11">
      <c r="A449" s="3">
        <v>42941</v>
      </c>
      <c r="B449" s="3">
        <v>339.6</v>
      </c>
      <c r="C449" s="4">
        <f t="shared" si="26"/>
        <v>-1.5200000000000387</v>
      </c>
      <c r="D449" s="4">
        <f t="shared" si="27"/>
        <v>14.120000000000005</v>
      </c>
      <c r="E449" s="3">
        <f t="shared" si="28"/>
        <v>-2.9199999999999591</v>
      </c>
      <c r="F449" s="3">
        <v>119.38999999993541</v>
      </c>
      <c r="G449" s="3">
        <v>12904.800000000001</v>
      </c>
      <c r="H449" s="3">
        <f t="shared" si="29"/>
        <v>13024.189999999937</v>
      </c>
      <c r="I449" s="3"/>
      <c r="J449" s="3"/>
      <c r="K449" s="3"/>
    </row>
    <row r="450" spans="1:11">
      <c r="A450" s="3">
        <v>42942</v>
      </c>
      <c r="B450" s="3">
        <v>343.85</v>
      </c>
      <c r="C450" s="4">
        <f t="shared" si="26"/>
        <v>14.120000000000005</v>
      </c>
      <c r="D450" s="4">
        <f t="shared" si="27"/>
        <v>-2.9199999999999591</v>
      </c>
      <c r="E450" s="3">
        <f t="shared" si="28"/>
        <v>4.25</v>
      </c>
      <c r="F450" s="3">
        <v>119.38999999993541</v>
      </c>
      <c r="G450" s="3">
        <v>13066.300000000001</v>
      </c>
      <c r="H450" s="3">
        <f t="shared" si="29"/>
        <v>13185.689999999937</v>
      </c>
      <c r="I450" s="3"/>
      <c r="J450" s="3"/>
      <c r="K450" s="3"/>
    </row>
    <row r="451" spans="1:11">
      <c r="A451" s="3">
        <v>42943</v>
      </c>
      <c r="B451" s="3">
        <v>334.46</v>
      </c>
      <c r="C451" s="4">
        <f t="shared" si="26"/>
        <v>-2.9199999999999591</v>
      </c>
      <c r="D451" s="4">
        <f t="shared" si="27"/>
        <v>4.25</v>
      </c>
      <c r="E451" s="3">
        <f t="shared" si="28"/>
        <v>-9.3900000000000432</v>
      </c>
      <c r="F451" s="3">
        <v>119.38999999993541</v>
      </c>
      <c r="G451" s="3">
        <v>12709.48</v>
      </c>
      <c r="H451" s="3">
        <f t="shared" si="29"/>
        <v>12828.869999999935</v>
      </c>
      <c r="I451" s="3"/>
      <c r="J451" s="3"/>
      <c r="K451" s="3"/>
    </row>
    <row r="452" spans="1:11">
      <c r="A452" s="3">
        <v>42944</v>
      </c>
      <c r="B452" s="3">
        <v>335.07</v>
      </c>
      <c r="C452" s="4">
        <f t="shared" si="26"/>
        <v>4.25</v>
      </c>
      <c r="D452" s="4">
        <f t="shared" si="27"/>
        <v>-9.3900000000000432</v>
      </c>
      <c r="E452" s="3">
        <f t="shared" si="28"/>
        <v>0.61000000000001364</v>
      </c>
      <c r="F452" s="3">
        <v>119.38999999993541</v>
      </c>
      <c r="G452" s="3">
        <v>12732.66</v>
      </c>
      <c r="H452" s="3">
        <f t="shared" si="29"/>
        <v>12852.049999999936</v>
      </c>
      <c r="I452" s="3"/>
      <c r="J452" s="3"/>
      <c r="K452" s="3"/>
    </row>
    <row r="453" spans="1:11">
      <c r="A453" s="3">
        <v>42947</v>
      </c>
      <c r="B453" s="3">
        <v>323.47000000000003</v>
      </c>
      <c r="C453" s="4">
        <f t="shared" si="26"/>
        <v>-9.3900000000000432</v>
      </c>
      <c r="D453" s="4">
        <f t="shared" si="27"/>
        <v>0.61000000000001364</v>
      </c>
      <c r="E453" s="3">
        <f t="shared" si="28"/>
        <v>-11.599999999999966</v>
      </c>
      <c r="F453" s="3">
        <v>119.38999999993541</v>
      </c>
      <c r="G453" s="3">
        <v>12291.86</v>
      </c>
      <c r="H453" s="3">
        <f t="shared" si="29"/>
        <v>12411.249999999936</v>
      </c>
      <c r="I453" s="3"/>
      <c r="J453" s="3"/>
      <c r="K453" s="3"/>
    </row>
    <row r="454" spans="1:11">
      <c r="A454" s="3">
        <v>42948</v>
      </c>
      <c r="B454" s="3">
        <v>319.57</v>
      </c>
      <c r="C454" s="4">
        <f t="shared" si="26"/>
        <v>0.61000000000001364</v>
      </c>
      <c r="D454" s="4">
        <f t="shared" si="27"/>
        <v>-11.599999999999966</v>
      </c>
      <c r="E454" s="3">
        <f t="shared" si="28"/>
        <v>-3.9000000000000341</v>
      </c>
      <c r="F454" s="3">
        <v>12263.049999999936</v>
      </c>
      <c r="G454" s="3">
        <v>0</v>
      </c>
      <c r="H454" s="3">
        <f t="shared" si="29"/>
        <v>12263.049999999936</v>
      </c>
      <c r="I454" s="3"/>
      <c r="J454" s="3"/>
      <c r="K454" s="3"/>
    </row>
    <row r="455" spans="1:11">
      <c r="A455" s="3">
        <v>42949</v>
      </c>
      <c r="B455" s="3">
        <v>325.89</v>
      </c>
      <c r="C455" s="4">
        <f t="shared" si="26"/>
        <v>-11.599999999999966</v>
      </c>
      <c r="D455" s="4">
        <f t="shared" si="27"/>
        <v>-3.9000000000000341</v>
      </c>
      <c r="E455" s="3">
        <f t="shared" si="28"/>
        <v>6.3199999999999932</v>
      </c>
      <c r="F455" s="3">
        <v>12263.049999999936</v>
      </c>
      <c r="G455" s="3">
        <v>0</v>
      </c>
      <c r="H455" s="3">
        <f t="shared" si="29"/>
        <v>12263.049999999936</v>
      </c>
      <c r="I455" s="3"/>
      <c r="J455" s="3"/>
      <c r="K455" s="3"/>
    </row>
    <row r="456" spans="1:11">
      <c r="A456" s="3">
        <v>42950</v>
      </c>
      <c r="B456" s="3">
        <v>347.09</v>
      </c>
      <c r="C456" s="4">
        <f t="shared" si="26"/>
        <v>-3.9000000000000341</v>
      </c>
      <c r="D456" s="4">
        <f t="shared" si="27"/>
        <v>6.3199999999999932</v>
      </c>
      <c r="E456" s="3">
        <f t="shared" si="28"/>
        <v>21.199999999999989</v>
      </c>
      <c r="F456" s="3">
        <v>114.89999999993177</v>
      </c>
      <c r="G456" s="3">
        <v>12148.15</v>
      </c>
      <c r="H456" s="3">
        <f t="shared" si="29"/>
        <v>12263.049999999932</v>
      </c>
      <c r="I456" s="3"/>
      <c r="J456" s="3"/>
      <c r="K456" s="3"/>
    </row>
    <row r="457" spans="1:11">
      <c r="A457" s="3">
        <v>42951</v>
      </c>
      <c r="B457" s="3">
        <v>356.91</v>
      </c>
      <c r="C457" s="4">
        <f t="shared" si="26"/>
        <v>6.3199999999999932</v>
      </c>
      <c r="D457" s="4">
        <f t="shared" si="27"/>
        <v>21.199999999999989</v>
      </c>
      <c r="E457" s="3">
        <f t="shared" si="28"/>
        <v>9.82000000000005</v>
      </c>
      <c r="F457" s="3">
        <v>114.89999999993177</v>
      </c>
      <c r="G457" s="3">
        <v>12491.85</v>
      </c>
      <c r="H457" s="3">
        <f t="shared" si="29"/>
        <v>12606.749999999933</v>
      </c>
      <c r="I457" s="3"/>
      <c r="J457" s="3"/>
      <c r="K457" s="3"/>
    </row>
    <row r="458" spans="1:11">
      <c r="A458" s="3">
        <v>42954</v>
      </c>
      <c r="B458" s="3">
        <v>355.17</v>
      </c>
      <c r="C458" s="4">
        <f t="shared" si="26"/>
        <v>21.199999999999989</v>
      </c>
      <c r="D458" s="4">
        <f t="shared" si="27"/>
        <v>9.82000000000005</v>
      </c>
      <c r="E458" s="3">
        <f t="shared" si="28"/>
        <v>-1.7400000000000091</v>
      </c>
      <c r="F458" s="3">
        <v>114.89999999993177</v>
      </c>
      <c r="G458" s="3">
        <v>12430.95</v>
      </c>
      <c r="H458" s="3">
        <f t="shared" si="29"/>
        <v>12545.849999999933</v>
      </c>
      <c r="I458" s="3"/>
      <c r="J458" s="3"/>
      <c r="K458" s="3"/>
    </row>
    <row r="459" spans="1:11">
      <c r="A459" s="3">
        <v>42955</v>
      </c>
      <c r="B459" s="3">
        <v>365.22</v>
      </c>
      <c r="C459" s="4">
        <f t="shared" si="26"/>
        <v>9.82000000000005</v>
      </c>
      <c r="D459" s="4">
        <f t="shared" si="27"/>
        <v>-1.7400000000000091</v>
      </c>
      <c r="E459" s="3">
        <f t="shared" si="28"/>
        <v>10.050000000000011</v>
      </c>
      <c r="F459" s="3">
        <v>114.89999999993177</v>
      </c>
      <c r="G459" s="3">
        <v>12782.7</v>
      </c>
      <c r="H459" s="3">
        <f t="shared" si="29"/>
        <v>12897.599999999933</v>
      </c>
      <c r="I459" s="3"/>
      <c r="J459" s="3"/>
      <c r="K459" s="3"/>
    </row>
    <row r="460" spans="1:11">
      <c r="A460" s="3">
        <v>42956</v>
      </c>
      <c r="B460" s="3">
        <v>363.53</v>
      </c>
      <c r="C460" s="4">
        <f t="shared" si="26"/>
        <v>-1.7400000000000091</v>
      </c>
      <c r="D460" s="4">
        <f t="shared" si="27"/>
        <v>10.050000000000011</v>
      </c>
      <c r="E460" s="3">
        <f t="shared" si="28"/>
        <v>-1.6900000000000546</v>
      </c>
      <c r="F460" s="3">
        <v>114.89999999993177</v>
      </c>
      <c r="G460" s="3">
        <v>12723.55</v>
      </c>
      <c r="H460" s="3">
        <f t="shared" si="29"/>
        <v>12838.449999999932</v>
      </c>
      <c r="I460" s="3"/>
      <c r="J460" s="3"/>
      <c r="K460" s="3"/>
    </row>
    <row r="461" spans="1:11">
      <c r="A461" s="3">
        <v>42957</v>
      </c>
      <c r="B461" s="3">
        <v>355.4</v>
      </c>
      <c r="C461" s="4">
        <f t="shared" ref="C461:C524" si="30">B459-B458</f>
        <v>10.050000000000011</v>
      </c>
      <c r="D461" s="4">
        <f t="shared" ref="D461:D524" si="31">B460-B459</f>
        <v>-1.6900000000000546</v>
      </c>
      <c r="E461" s="3">
        <f t="shared" ref="E461:E524" si="32">B461-B460</f>
        <v>-8.1299999999999955</v>
      </c>
      <c r="F461" s="3">
        <v>12553.899999999932</v>
      </c>
      <c r="G461" s="3">
        <v>0</v>
      </c>
      <c r="H461" s="3">
        <f t="shared" si="29"/>
        <v>12553.899999999932</v>
      </c>
      <c r="I461" s="3"/>
      <c r="J461" s="3"/>
      <c r="K461" s="3"/>
    </row>
    <row r="462" spans="1:11">
      <c r="A462" s="3">
        <v>42958</v>
      </c>
      <c r="B462" s="3">
        <v>357.87</v>
      </c>
      <c r="C462" s="4">
        <f t="shared" si="30"/>
        <v>-1.6900000000000546</v>
      </c>
      <c r="D462" s="4">
        <f t="shared" si="31"/>
        <v>-8.1299999999999955</v>
      </c>
      <c r="E462" s="3">
        <f t="shared" si="32"/>
        <v>2.4700000000000273</v>
      </c>
      <c r="F462" s="3">
        <v>12553.899999999932</v>
      </c>
      <c r="G462" s="3">
        <v>0</v>
      </c>
      <c r="H462" s="3">
        <f t="shared" si="29"/>
        <v>12553.899999999932</v>
      </c>
      <c r="I462" s="3"/>
      <c r="J462" s="3"/>
      <c r="K462" s="3"/>
    </row>
    <row r="463" spans="1:11">
      <c r="A463" s="3">
        <v>42961</v>
      </c>
      <c r="B463" s="3">
        <v>363.8</v>
      </c>
      <c r="C463" s="4">
        <f t="shared" si="30"/>
        <v>-8.1299999999999955</v>
      </c>
      <c r="D463" s="4">
        <f t="shared" si="31"/>
        <v>2.4700000000000273</v>
      </c>
      <c r="E463" s="3">
        <f t="shared" si="32"/>
        <v>5.9300000000000068</v>
      </c>
      <c r="F463" s="3">
        <v>184.69999999993746</v>
      </c>
      <c r="G463" s="3">
        <v>12369.2</v>
      </c>
      <c r="H463" s="3">
        <f t="shared" si="29"/>
        <v>12553.899999999938</v>
      </c>
      <c r="I463" s="3"/>
      <c r="J463" s="3"/>
      <c r="K463" s="3"/>
    </row>
    <row r="464" spans="1:11">
      <c r="A464" s="3">
        <v>42962</v>
      </c>
      <c r="B464" s="3">
        <v>362.33</v>
      </c>
      <c r="C464" s="4">
        <f t="shared" si="30"/>
        <v>2.4700000000000273</v>
      </c>
      <c r="D464" s="4">
        <f t="shared" si="31"/>
        <v>5.9300000000000068</v>
      </c>
      <c r="E464" s="3">
        <f t="shared" si="32"/>
        <v>-1.4700000000000273</v>
      </c>
      <c r="F464" s="3">
        <v>184.69999999993746</v>
      </c>
      <c r="G464" s="3">
        <v>12319.22</v>
      </c>
      <c r="H464" s="3">
        <f t="shared" si="29"/>
        <v>12503.919999999936</v>
      </c>
      <c r="I464" s="3"/>
      <c r="J464" s="3"/>
      <c r="K464" s="3"/>
    </row>
    <row r="465" spans="1:11">
      <c r="A465" s="3">
        <v>42963</v>
      </c>
      <c r="B465" s="3">
        <v>362.91</v>
      </c>
      <c r="C465" s="4">
        <f t="shared" si="30"/>
        <v>5.9300000000000068</v>
      </c>
      <c r="D465" s="4">
        <f t="shared" si="31"/>
        <v>-1.4700000000000273</v>
      </c>
      <c r="E465" s="3">
        <f t="shared" si="32"/>
        <v>0.58000000000004093</v>
      </c>
      <c r="F465" s="3">
        <v>184.69999999993746</v>
      </c>
      <c r="G465" s="3">
        <v>12338.94</v>
      </c>
      <c r="H465" s="3">
        <f t="shared" si="29"/>
        <v>12523.639999999938</v>
      </c>
      <c r="I465" s="3"/>
      <c r="J465" s="3"/>
      <c r="K465" s="3"/>
    </row>
    <row r="466" spans="1:11">
      <c r="A466" s="3">
        <v>42964</v>
      </c>
      <c r="B466" s="3">
        <v>351.92</v>
      </c>
      <c r="C466" s="4">
        <f t="shared" si="30"/>
        <v>-1.4700000000000273</v>
      </c>
      <c r="D466" s="4">
        <f t="shared" si="31"/>
        <v>0.58000000000004093</v>
      </c>
      <c r="E466" s="3">
        <f t="shared" si="32"/>
        <v>-10.990000000000009</v>
      </c>
      <c r="F466" s="3">
        <v>184.69999999993746</v>
      </c>
      <c r="G466" s="3">
        <v>11965.28</v>
      </c>
      <c r="H466" s="3">
        <f t="shared" si="29"/>
        <v>12149.979999999938</v>
      </c>
      <c r="I466" s="3"/>
      <c r="J466" s="3"/>
      <c r="K466" s="3"/>
    </row>
    <row r="467" spans="1:11">
      <c r="A467" s="3">
        <v>42965</v>
      </c>
      <c r="B467" s="3">
        <v>347.46</v>
      </c>
      <c r="C467" s="4">
        <f t="shared" si="30"/>
        <v>0.58000000000004093</v>
      </c>
      <c r="D467" s="4">
        <f t="shared" si="31"/>
        <v>-10.990000000000009</v>
      </c>
      <c r="E467" s="3">
        <f t="shared" si="32"/>
        <v>-4.4600000000000364</v>
      </c>
      <c r="F467" s="3">
        <v>11998.339999999936</v>
      </c>
      <c r="G467" s="3">
        <v>0</v>
      </c>
      <c r="H467" s="3">
        <f t="shared" si="29"/>
        <v>11998.339999999936</v>
      </c>
      <c r="I467" s="3"/>
      <c r="J467" s="3"/>
      <c r="K467" s="3"/>
    </row>
    <row r="468" spans="1:11">
      <c r="A468" s="3">
        <v>42968</v>
      </c>
      <c r="B468" s="3">
        <v>337.86</v>
      </c>
      <c r="C468" s="4">
        <f t="shared" si="30"/>
        <v>-10.990000000000009</v>
      </c>
      <c r="D468" s="4">
        <f t="shared" si="31"/>
        <v>-4.4600000000000364</v>
      </c>
      <c r="E468" s="3">
        <f t="shared" si="32"/>
        <v>-9.5999999999999659</v>
      </c>
      <c r="F468" s="3">
        <v>11998.339999999936</v>
      </c>
      <c r="G468" s="3">
        <v>0</v>
      </c>
      <c r="H468" s="3">
        <f t="shared" si="29"/>
        <v>11998.339999999936</v>
      </c>
      <c r="I468" s="3"/>
      <c r="J468" s="3"/>
      <c r="K468" s="3"/>
    </row>
    <row r="469" spans="1:11">
      <c r="A469" s="3">
        <v>42969</v>
      </c>
      <c r="B469" s="3">
        <v>341.35</v>
      </c>
      <c r="C469" s="4">
        <f t="shared" si="30"/>
        <v>-4.4600000000000364</v>
      </c>
      <c r="D469" s="4">
        <f t="shared" si="31"/>
        <v>-9.5999999999999659</v>
      </c>
      <c r="E469" s="3">
        <f t="shared" si="32"/>
        <v>3.4900000000000091</v>
      </c>
      <c r="F469" s="3">
        <v>11998.339999999936</v>
      </c>
      <c r="G469" s="3">
        <v>0</v>
      </c>
      <c r="H469" s="3">
        <f t="shared" si="29"/>
        <v>11998.339999999936</v>
      </c>
      <c r="I469" s="3"/>
      <c r="J469" s="3"/>
      <c r="K469" s="3"/>
    </row>
    <row r="470" spans="1:11">
      <c r="A470" s="3">
        <v>42970</v>
      </c>
      <c r="B470" s="3">
        <v>352.77</v>
      </c>
      <c r="C470" s="4">
        <f t="shared" si="30"/>
        <v>-9.5999999999999659</v>
      </c>
      <c r="D470" s="4">
        <f t="shared" si="31"/>
        <v>3.4900000000000091</v>
      </c>
      <c r="E470" s="3">
        <f t="shared" si="32"/>
        <v>11.419999999999959</v>
      </c>
      <c r="F470" s="3">
        <v>4.1599999999270949</v>
      </c>
      <c r="G470" s="3">
        <v>11994.18</v>
      </c>
      <c r="H470" s="3">
        <f t="shared" ref="H470:H533" si="33">G470+F470</f>
        <v>11998.339999999927</v>
      </c>
      <c r="I470" s="3"/>
      <c r="J470" s="3"/>
      <c r="K470" s="3"/>
    </row>
    <row r="471" spans="1:11">
      <c r="A471" s="3">
        <v>42971</v>
      </c>
      <c r="B471" s="3">
        <v>352.93</v>
      </c>
      <c r="C471" s="4">
        <f t="shared" si="30"/>
        <v>3.4900000000000091</v>
      </c>
      <c r="D471" s="4">
        <f t="shared" si="31"/>
        <v>11.419999999999959</v>
      </c>
      <c r="E471" s="3">
        <f t="shared" si="32"/>
        <v>0.16000000000002501</v>
      </c>
      <c r="F471" s="3">
        <v>4.1599999999270949</v>
      </c>
      <c r="G471" s="3">
        <v>11999.62</v>
      </c>
      <c r="H471" s="3">
        <f t="shared" si="33"/>
        <v>12003.779999999928</v>
      </c>
      <c r="I471" s="3"/>
      <c r="J471" s="3"/>
      <c r="K471" s="3"/>
    </row>
    <row r="472" spans="1:11">
      <c r="A472" s="3">
        <v>42972</v>
      </c>
      <c r="B472" s="3">
        <v>348.05</v>
      </c>
      <c r="C472" s="4">
        <f t="shared" si="30"/>
        <v>11.419999999999959</v>
      </c>
      <c r="D472" s="4">
        <f t="shared" si="31"/>
        <v>0.16000000000002501</v>
      </c>
      <c r="E472" s="3">
        <f t="shared" si="32"/>
        <v>-4.8799999999999955</v>
      </c>
      <c r="F472" s="3">
        <v>4.1599999999270949</v>
      </c>
      <c r="G472" s="3">
        <v>11833.7</v>
      </c>
      <c r="H472" s="3">
        <f t="shared" si="33"/>
        <v>11837.859999999928</v>
      </c>
      <c r="I472" s="3"/>
      <c r="J472" s="3"/>
      <c r="K472" s="3"/>
    </row>
    <row r="473" spans="1:11">
      <c r="A473" s="3">
        <v>42975</v>
      </c>
      <c r="B473" s="3">
        <v>345.66</v>
      </c>
      <c r="C473" s="4">
        <f t="shared" si="30"/>
        <v>0.16000000000002501</v>
      </c>
      <c r="D473" s="4">
        <f t="shared" si="31"/>
        <v>-4.8799999999999955</v>
      </c>
      <c r="E473" s="3">
        <f t="shared" si="32"/>
        <v>-2.3899999999999864</v>
      </c>
      <c r="F473" s="3">
        <v>11756.599999999928</v>
      </c>
      <c r="G473" s="3">
        <v>0</v>
      </c>
      <c r="H473" s="3">
        <f t="shared" si="33"/>
        <v>11756.599999999928</v>
      </c>
      <c r="I473" s="3"/>
      <c r="J473" s="3"/>
      <c r="K473" s="3"/>
    </row>
    <row r="474" spans="1:11">
      <c r="A474" s="3">
        <v>42976</v>
      </c>
      <c r="B474" s="3">
        <v>347.36</v>
      </c>
      <c r="C474" s="4">
        <f t="shared" si="30"/>
        <v>-4.8799999999999955</v>
      </c>
      <c r="D474" s="4">
        <f t="shared" si="31"/>
        <v>-2.3899999999999864</v>
      </c>
      <c r="E474" s="3">
        <f t="shared" si="32"/>
        <v>1.6999999999999886</v>
      </c>
      <c r="F474" s="3">
        <v>11756.599999999928</v>
      </c>
      <c r="G474" s="3">
        <v>0</v>
      </c>
      <c r="H474" s="3">
        <f t="shared" si="33"/>
        <v>11756.599999999928</v>
      </c>
      <c r="I474" s="3"/>
      <c r="J474" s="3"/>
      <c r="K474" s="3"/>
    </row>
    <row r="475" spans="1:11">
      <c r="A475" s="3">
        <v>42977</v>
      </c>
      <c r="B475" s="3">
        <v>353.18</v>
      </c>
      <c r="C475" s="4">
        <f t="shared" si="30"/>
        <v>-2.3899999999999864</v>
      </c>
      <c r="D475" s="4">
        <f t="shared" si="31"/>
        <v>1.6999999999999886</v>
      </c>
      <c r="E475" s="3">
        <f t="shared" si="32"/>
        <v>5.8199999999999932</v>
      </c>
      <c r="F475" s="3">
        <v>101.65999999992221</v>
      </c>
      <c r="G475" s="3">
        <v>11654.94</v>
      </c>
      <c r="H475" s="3">
        <f t="shared" si="33"/>
        <v>11756.599999999922</v>
      </c>
      <c r="I475" s="3"/>
      <c r="J475" s="3"/>
      <c r="K475" s="3"/>
    </row>
    <row r="476" spans="1:11">
      <c r="A476" s="3">
        <v>42978</v>
      </c>
      <c r="B476" s="3">
        <v>355.9</v>
      </c>
      <c r="C476" s="4">
        <f t="shared" si="30"/>
        <v>1.6999999999999886</v>
      </c>
      <c r="D476" s="4">
        <f t="shared" si="31"/>
        <v>5.8199999999999932</v>
      </c>
      <c r="E476" s="3">
        <f t="shared" si="32"/>
        <v>2.7199999999999704</v>
      </c>
      <c r="F476" s="3">
        <v>101.65999999992221</v>
      </c>
      <c r="G476" s="3">
        <v>11744.699999999999</v>
      </c>
      <c r="H476" s="3">
        <f t="shared" si="33"/>
        <v>11846.359999999921</v>
      </c>
      <c r="I476" s="3"/>
      <c r="J476" s="3"/>
      <c r="K476" s="3"/>
    </row>
    <row r="477" spans="1:11">
      <c r="A477" s="3">
        <v>42979</v>
      </c>
      <c r="B477" s="3">
        <v>355.4</v>
      </c>
      <c r="C477" s="4">
        <f t="shared" si="30"/>
        <v>5.8199999999999932</v>
      </c>
      <c r="D477" s="4">
        <f t="shared" si="31"/>
        <v>2.7199999999999704</v>
      </c>
      <c r="E477" s="3">
        <f t="shared" si="32"/>
        <v>-0.5</v>
      </c>
      <c r="F477" s="3">
        <v>101.65999999992221</v>
      </c>
      <c r="G477" s="3">
        <v>11728.199999999999</v>
      </c>
      <c r="H477" s="3">
        <f t="shared" si="33"/>
        <v>11829.859999999921</v>
      </c>
      <c r="I477" s="3"/>
      <c r="J477" s="3"/>
      <c r="K477" s="3"/>
    </row>
    <row r="478" spans="1:11">
      <c r="A478" s="3">
        <v>42983</v>
      </c>
      <c r="B478" s="3">
        <v>349.59</v>
      </c>
      <c r="C478" s="4">
        <f t="shared" si="30"/>
        <v>2.7199999999999704</v>
      </c>
      <c r="D478" s="4">
        <f t="shared" si="31"/>
        <v>-0.5</v>
      </c>
      <c r="E478" s="3">
        <f t="shared" si="32"/>
        <v>-5.8100000000000023</v>
      </c>
      <c r="F478" s="3">
        <v>11638.129999999921</v>
      </c>
      <c r="G478" s="3">
        <v>0</v>
      </c>
      <c r="H478" s="3">
        <f t="shared" si="33"/>
        <v>11638.129999999921</v>
      </c>
      <c r="I478" s="3"/>
      <c r="J478" s="3"/>
      <c r="K478" s="3"/>
    </row>
    <row r="479" spans="1:11">
      <c r="A479" s="3">
        <v>42984</v>
      </c>
      <c r="B479" s="3">
        <v>344.53</v>
      </c>
      <c r="C479" s="4">
        <f t="shared" si="30"/>
        <v>-0.5</v>
      </c>
      <c r="D479" s="4">
        <f t="shared" si="31"/>
        <v>-5.8100000000000023</v>
      </c>
      <c r="E479" s="3">
        <f t="shared" si="32"/>
        <v>-5.0600000000000023</v>
      </c>
      <c r="F479" s="3">
        <v>11638.129999999921</v>
      </c>
      <c r="G479" s="3">
        <v>0</v>
      </c>
      <c r="H479" s="3">
        <f t="shared" si="33"/>
        <v>11638.129999999921</v>
      </c>
      <c r="I479" s="3"/>
      <c r="J479" s="3"/>
      <c r="K479" s="3"/>
    </row>
    <row r="480" spans="1:11">
      <c r="A480" s="3">
        <v>42985</v>
      </c>
      <c r="B480" s="3">
        <v>350.61</v>
      </c>
      <c r="C480" s="4">
        <f t="shared" si="30"/>
        <v>-5.8100000000000023</v>
      </c>
      <c r="D480" s="4">
        <f t="shared" si="31"/>
        <v>-5.0600000000000023</v>
      </c>
      <c r="E480" s="3">
        <f t="shared" si="32"/>
        <v>6.0800000000000409</v>
      </c>
      <c r="F480" s="3">
        <v>11638.129999999921</v>
      </c>
      <c r="G480" s="3">
        <v>0</v>
      </c>
      <c r="H480" s="3">
        <f t="shared" si="33"/>
        <v>11638.129999999921</v>
      </c>
      <c r="I480" s="3"/>
      <c r="J480" s="3"/>
      <c r="K480" s="3"/>
    </row>
    <row r="481" spans="1:11">
      <c r="A481" s="3">
        <v>42986</v>
      </c>
      <c r="B481" s="3">
        <v>343.4</v>
      </c>
      <c r="C481" s="4">
        <f t="shared" si="30"/>
        <v>-5.0600000000000023</v>
      </c>
      <c r="D481" s="4">
        <f t="shared" si="31"/>
        <v>6.0800000000000409</v>
      </c>
      <c r="E481" s="3">
        <f t="shared" si="32"/>
        <v>-7.2100000000000364</v>
      </c>
      <c r="F481" s="3">
        <v>11638.129999999921</v>
      </c>
      <c r="G481" s="3">
        <v>0</v>
      </c>
      <c r="H481" s="3">
        <f t="shared" si="33"/>
        <v>11638.129999999921</v>
      </c>
      <c r="I481" s="3"/>
      <c r="J481" s="3"/>
      <c r="K481" s="3"/>
    </row>
    <row r="482" spans="1:11">
      <c r="A482" s="3">
        <v>42989</v>
      </c>
      <c r="B482" s="3">
        <v>363.69</v>
      </c>
      <c r="C482" s="4">
        <f t="shared" si="30"/>
        <v>6.0800000000000409</v>
      </c>
      <c r="D482" s="4">
        <f t="shared" si="31"/>
        <v>-7.2100000000000364</v>
      </c>
      <c r="E482" s="3">
        <f t="shared" si="32"/>
        <v>20.29000000000002</v>
      </c>
      <c r="F482" s="3">
        <v>11638.129999999921</v>
      </c>
      <c r="G482" s="3">
        <v>0</v>
      </c>
      <c r="H482" s="3">
        <f t="shared" si="33"/>
        <v>11638.129999999921</v>
      </c>
      <c r="I482" s="3"/>
      <c r="J482" s="3"/>
      <c r="K482" s="3"/>
    </row>
    <row r="483" spans="1:11">
      <c r="A483" s="3">
        <v>42990</v>
      </c>
      <c r="B483" s="3">
        <v>362.75</v>
      </c>
      <c r="C483" s="4">
        <f t="shared" si="30"/>
        <v>-7.2100000000000364</v>
      </c>
      <c r="D483" s="4">
        <f t="shared" si="31"/>
        <v>20.29000000000002</v>
      </c>
      <c r="E483" s="3">
        <f t="shared" si="32"/>
        <v>-0.93999999999999773</v>
      </c>
      <c r="F483" s="3">
        <v>11638.129999999921</v>
      </c>
      <c r="G483" s="3">
        <v>0</v>
      </c>
      <c r="H483" s="3">
        <f t="shared" si="33"/>
        <v>11638.129999999921</v>
      </c>
      <c r="I483" s="3"/>
      <c r="J483" s="3"/>
      <c r="K483" s="3"/>
    </row>
    <row r="484" spans="1:11">
      <c r="A484" s="3">
        <v>42991</v>
      </c>
      <c r="B484" s="3">
        <v>366.23</v>
      </c>
      <c r="C484" s="4">
        <f t="shared" si="30"/>
        <v>20.29000000000002</v>
      </c>
      <c r="D484" s="4">
        <f t="shared" si="31"/>
        <v>-0.93999999999999773</v>
      </c>
      <c r="E484" s="3">
        <f t="shared" si="32"/>
        <v>3.4800000000000182</v>
      </c>
      <c r="F484" s="3">
        <v>11638.129999999921</v>
      </c>
      <c r="G484" s="3">
        <v>0</v>
      </c>
      <c r="H484" s="3">
        <f t="shared" si="33"/>
        <v>11638.129999999921</v>
      </c>
      <c r="I484" s="3"/>
      <c r="J484" s="3"/>
      <c r="K484" s="3"/>
    </row>
    <row r="485" spans="1:11">
      <c r="A485" s="3">
        <v>42992</v>
      </c>
      <c r="B485" s="3">
        <v>377.64</v>
      </c>
      <c r="C485" s="4">
        <f t="shared" si="30"/>
        <v>-0.93999999999999773</v>
      </c>
      <c r="D485" s="4">
        <f t="shared" si="31"/>
        <v>3.4800000000000182</v>
      </c>
      <c r="E485" s="3">
        <f t="shared" si="32"/>
        <v>11.409999999999968</v>
      </c>
      <c r="F485" s="3">
        <v>308.92999999992412</v>
      </c>
      <c r="G485" s="3">
        <v>11329.199999999999</v>
      </c>
      <c r="H485" s="3">
        <f t="shared" si="33"/>
        <v>11638.129999999923</v>
      </c>
      <c r="I485" s="3"/>
      <c r="J485" s="3"/>
      <c r="K485" s="3"/>
    </row>
    <row r="486" spans="1:11">
      <c r="A486" s="3">
        <v>42993</v>
      </c>
      <c r="B486" s="3">
        <v>379.81</v>
      </c>
      <c r="C486" s="4">
        <f t="shared" si="30"/>
        <v>3.4800000000000182</v>
      </c>
      <c r="D486" s="4">
        <f t="shared" si="31"/>
        <v>11.409999999999968</v>
      </c>
      <c r="E486" s="3">
        <f t="shared" si="32"/>
        <v>2.1700000000000159</v>
      </c>
      <c r="F486" s="3">
        <v>308.92999999992412</v>
      </c>
      <c r="G486" s="3">
        <v>11394.3</v>
      </c>
      <c r="H486" s="3">
        <f t="shared" si="33"/>
        <v>11703.229999999923</v>
      </c>
      <c r="I486" s="3"/>
      <c r="J486" s="3"/>
      <c r="K486" s="3"/>
    </row>
    <row r="487" spans="1:11">
      <c r="A487" s="3">
        <v>42996</v>
      </c>
      <c r="B487" s="3">
        <v>385</v>
      </c>
      <c r="C487" s="4">
        <f t="shared" si="30"/>
        <v>11.409999999999968</v>
      </c>
      <c r="D487" s="4">
        <f t="shared" si="31"/>
        <v>2.1700000000000159</v>
      </c>
      <c r="E487" s="3">
        <f t="shared" si="32"/>
        <v>5.1899999999999977</v>
      </c>
      <c r="F487" s="3">
        <v>308.92999999992412</v>
      </c>
      <c r="G487" s="3">
        <v>11550</v>
      </c>
      <c r="H487" s="3">
        <f t="shared" si="33"/>
        <v>11858.929999999924</v>
      </c>
      <c r="I487" s="3"/>
      <c r="J487" s="3"/>
      <c r="K487" s="3"/>
    </row>
    <row r="488" spans="1:11">
      <c r="A488" s="3">
        <v>42997</v>
      </c>
      <c r="B488" s="3">
        <v>375.1</v>
      </c>
      <c r="C488" s="4">
        <f t="shared" si="30"/>
        <v>2.1700000000000159</v>
      </c>
      <c r="D488" s="4">
        <f t="shared" si="31"/>
        <v>5.1899999999999977</v>
      </c>
      <c r="E488" s="3">
        <f t="shared" si="32"/>
        <v>-9.8999999999999773</v>
      </c>
      <c r="F488" s="3">
        <v>308.92999999992412</v>
      </c>
      <c r="G488" s="3">
        <v>11253</v>
      </c>
      <c r="H488" s="3">
        <f t="shared" si="33"/>
        <v>11561.929999999924</v>
      </c>
      <c r="I488" s="3"/>
      <c r="J488" s="3"/>
      <c r="K488" s="3"/>
    </row>
    <row r="489" spans="1:11">
      <c r="A489" s="3">
        <v>42998</v>
      </c>
      <c r="B489" s="3">
        <v>373.91</v>
      </c>
      <c r="C489" s="4">
        <f t="shared" si="30"/>
        <v>5.1899999999999977</v>
      </c>
      <c r="D489" s="4">
        <f t="shared" si="31"/>
        <v>-9.8999999999999773</v>
      </c>
      <c r="E489" s="3">
        <f t="shared" si="32"/>
        <v>-1.1899999999999977</v>
      </c>
      <c r="F489" s="3">
        <v>11526.229999999925</v>
      </c>
      <c r="G489" s="3">
        <v>0</v>
      </c>
      <c r="H489" s="3">
        <f t="shared" si="33"/>
        <v>11526.229999999925</v>
      </c>
      <c r="I489" s="3"/>
      <c r="J489" s="3"/>
      <c r="K489" s="3"/>
    </row>
    <row r="490" spans="1:11">
      <c r="A490" s="3">
        <v>42999</v>
      </c>
      <c r="B490" s="3">
        <v>366.48</v>
      </c>
      <c r="C490" s="4">
        <f t="shared" si="30"/>
        <v>-9.8999999999999773</v>
      </c>
      <c r="D490" s="4">
        <f t="shared" si="31"/>
        <v>-1.1899999999999977</v>
      </c>
      <c r="E490" s="3">
        <f t="shared" si="32"/>
        <v>-7.4300000000000068</v>
      </c>
      <c r="F490" s="3">
        <v>11526.229999999925</v>
      </c>
      <c r="G490" s="3">
        <v>0</v>
      </c>
      <c r="H490" s="3">
        <f t="shared" si="33"/>
        <v>11526.229999999925</v>
      </c>
      <c r="I490" s="3"/>
      <c r="J490" s="3"/>
      <c r="K490" s="3"/>
    </row>
    <row r="491" spans="1:11">
      <c r="A491" s="3">
        <v>43000</v>
      </c>
      <c r="B491" s="3">
        <v>351.09</v>
      </c>
      <c r="C491" s="4">
        <f t="shared" si="30"/>
        <v>-1.1899999999999977</v>
      </c>
      <c r="D491" s="4">
        <f t="shared" si="31"/>
        <v>-7.4300000000000068</v>
      </c>
      <c r="E491" s="3">
        <f t="shared" si="32"/>
        <v>-15.390000000000043</v>
      </c>
      <c r="F491" s="3">
        <v>11526.229999999925</v>
      </c>
      <c r="G491" s="3">
        <v>0</v>
      </c>
      <c r="H491" s="3">
        <f t="shared" si="33"/>
        <v>11526.229999999925</v>
      </c>
      <c r="I491" s="3"/>
      <c r="J491" s="3"/>
      <c r="K491" s="3"/>
    </row>
    <row r="492" spans="1:11">
      <c r="A492" s="3">
        <v>43003</v>
      </c>
      <c r="B492" s="3">
        <v>344.99</v>
      </c>
      <c r="C492" s="4">
        <f t="shared" si="30"/>
        <v>-7.4300000000000068</v>
      </c>
      <c r="D492" s="4">
        <f t="shared" si="31"/>
        <v>-15.390000000000043</v>
      </c>
      <c r="E492" s="3">
        <f t="shared" si="32"/>
        <v>-6.0999999999999659</v>
      </c>
      <c r="F492" s="3">
        <v>11526.229999999925</v>
      </c>
      <c r="G492" s="3">
        <v>0</v>
      </c>
      <c r="H492" s="3">
        <f t="shared" si="33"/>
        <v>11526.229999999925</v>
      </c>
      <c r="I492" s="3"/>
      <c r="J492" s="3"/>
      <c r="K492" s="3"/>
    </row>
    <row r="493" spans="1:11">
      <c r="A493" s="3">
        <v>43004</v>
      </c>
      <c r="B493" s="3">
        <v>345.25</v>
      </c>
      <c r="C493" s="4">
        <f t="shared" si="30"/>
        <v>-15.390000000000043</v>
      </c>
      <c r="D493" s="4">
        <f t="shared" si="31"/>
        <v>-6.0999999999999659</v>
      </c>
      <c r="E493" s="3">
        <f t="shared" si="32"/>
        <v>0.25999999999999091</v>
      </c>
      <c r="F493" s="3">
        <v>11526.229999999925</v>
      </c>
      <c r="G493" s="3">
        <v>0</v>
      </c>
      <c r="H493" s="3">
        <f t="shared" si="33"/>
        <v>11526.229999999925</v>
      </c>
      <c r="I493" s="3"/>
      <c r="J493" s="3"/>
      <c r="K493" s="3"/>
    </row>
    <row r="494" spans="1:11">
      <c r="A494" s="3">
        <v>43005</v>
      </c>
      <c r="B494" s="3">
        <v>340.97</v>
      </c>
      <c r="C494" s="4">
        <f t="shared" si="30"/>
        <v>-6.0999999999999659</v>
      </c>
      <c r="D494" s="4">
        <f t="shared" si="31"/>
        <v>0.25999999999999091</v>
      </c>
      <c r="E494" s="3">
        <f t="shared" si="32"/>
        <v>-4.2799999999999727</v>
      </c>
      <c r="F494" s="3">
        <v>11526.229999999925</v>
      </c>
      <c r="G494" s="3">
        <v>0</v>
      </c>
      <c r="H494" s="3">
        <f t="shared" si="33"/>
        <v>11526.229999999925</v>
      </c>
      <c r="I494" s="3"/>
      <c r="J494" s="3"/>
      <c r="K494" s="3"/>
    </row>
    <row r="495" spans="1:11">
      <c r="A495" s="3">
        <v>43006</v>
      </c>
      <c r="B495" s="3">
        <v>339.6</v>
      </c>
      <c r="C495" s="4">
        <f t="shared" si="30"/>
        <v>0.25999999999999091</v>
      </c>
      <c r="D495" s="4">
        <f t="shared" si="31"/>
        <v>-4.2799999999999727</v>
      </c>
      <c r="E495" s="3">
        <f t="shared" si="32"/>
        <v>-1.3700000000000045</v>
      </c>
      <c r="F495" s="3">
        <v>11526.229999999925</v>
      </c>
      <c r="G495" s="3">
        <v>0</v>
      </c>
      <c r="H495" s="3">
        <f t="shared" si="33"/>
        <v>11526.229999999925</v>
      </c>
      <c r="I495" s="3"/>
      <c r="J495" s="3"/>
      <c r="K495" s="3"/>
    </row>
    <row r="496" spans="1:11">
      <c r="A496" s="3">
        <v>43007</v>
      </c>
      <c r="B496" s="3">
        <v>341.1</v>
      </c>
      <c r="C496" s="4">
        <f t="shared" si="30"/>
        <v>-4.2799999999999727</v>
      </c>
      <c r="D496" s="4">
        <f t="shared" si="31"/>
        <v>-1.3700000000000045</v>
      </c>
      <c r="E496" s="3">
        <f t="shared" si="32"/>
        <v>1.5</v>
      </c>
      <c r="F496" s="3">
        <v>11526.229999999925</v>
      </c>
      <c r="G496" s="3">
        <v>0</v>
      </c>
      <c r="H496" s="3">
        <f t="shared" si="33"/>
        <v>11526.229999999925</v>
      </c>
      <c r="I496" s="3"/>
      <c r="J496" s="3"/>
      <c r="K496" s="3"/>
    </row>
    <row r="497" spans="1:11">
      <c r="A497" s="3">
        <v>43010</v>
      </c>
      <c r="B497" s="3">
        <v>341.53</v>
      </c>
      <c r="C497" s="4">
        <f t="shared" si="30"/>
        <v>-1.3700000000000045</v>
      </c>
      <c r="D497" s="4">
        <f t="shared" si="31"/>
        <v>1.5</v>
      </c>
      <c r="E497" s="3">
        <f t="shared" si="32"/>
        <v>0.42999999999994998</v>
      </c>
      <c r="F497" s="3">
        <v>255.73999999992384</v>
      </c>
      <c r="G497" s="3">
        <v>11270.49</v>
      </c>
      <c r="H497" s="3">
        <f t="shared" si="33"/>
        <v>11526.229999999923</v>
      </c>
      <c r="I497" s="3"/>
      <c r="J497" s="3"/>
      <c r="K497" s="3"/>
    </row>
    <row r="498" spans="1:11">
      <c r="A498" s="3">
        <v>43011</v>
      </c>
      <c r="B498" s="3">
        <v>348.14</v>
      </c>
      <c r="C498" s="4">
        <f t="shared" si="30"/>
        <v>1.5</v>
      </c>
      <c r="D498" s="4">
        <f t="shared" si="31"/>
        <v>0.42999999999994998</v>
      </c>
      <c r="E498" s="3">
        <f t="shared" si="32"/>
        <v>6.6100000000000136</v>
      </c>
      <c r="F498" s="3">
        <v>255.73999999992384</v>
      </c>
      <c r="G498" s="3">
        <v>11488.619999999999</v>
      </c>
      <c r="H498" s="3">
        <f t="shared" si="33"/>
        <v>11744.359999999922</v>
      </c>
      <c r="I498" s="3"/>
      <c r="J498" s="3"/>
      <c r="K498" s="3"/>
    </row>
    <row r="499" spans="1:11">
      <c r="A499" s="3">
        <v>43012</v>
      </c>
      <c r="B499" s="3">
        <v>355.01</v>
      </c>
      <c r="C499" s="4">
        <f t="shared" si="30"/>
        <v>0.42999999999994998</v>
      </c>
      <c r="D499" s="4">
        <f t="shared" si="31"/>
        <v>6.6100000000000136</v>
      </c>
      <c r="E499" s="3">
        <f t="shared" si="32"/>
        <v>6.8700000000000045</v>
      </c>
      <c r="F499" s="3">
        <v>255.73999999992384</v>
      </c>
      <c r="G499" s="3">
        <v>11715.33</v>
      </c>
      <c r="H499" s="3">
        <f t="shared" si="33"/>
        <v>11971.069999999923</v>
      </c>
      <c r="I499" s="3"/>
      <c r="J499" s="3"/>
      <c r="K499" s="3"/>
    </row>
    <row r="500" spans="1:11">
      <c r="A500" s="3">
        <v>43013</v>
      </c>
      <c r="B500" s="3">
        <v>355.33</v>
      </c>
      <c r="C500" s="4">
        <f t="shared" si="30"/>
        <v>6.6100000000000136</v>
      </c>
      <c r="D500" s="4">
        <f t="shared" si="31"/>
        <v>6.8700000000000045</v>
      </c>
      <c r="E500" s="3">
        <f t="shared" si="32"/>
        <v>0.31999999999999318</v>
      </c>
      <c r="F500" s="3">
        <v>255.73999999992384</v>
      </c>
      <c r="G500" s="3">
        <v>11725.89</v>
      </c>
      <c r="H500" s="3">
        <f t="shared" si="33"/>
        <v>11981.629999999923</v>
      </c>
      <c r="I500" s="3"/>
      <c r="J500" s="3"/>
      <c r="K500" s="3"/>
    </row>
    <row r="501" spans="1:11">
      <c r="A501" s="3">
        <v>43014</v>
      </c>
      <c r="B501" s="3">
        <v>356.88</v>
      </c>
      <c r="C501" s="4">
        <f t="shared" si="30"/>
        <v>6.8700000000000045</v>
      </c>
      <c r="D501" s="4">
        <f t="shared" si="31"/>
        <v>0.31999999999999318</v>
      </c>
      <c r="E501" s="3">
        <f t="shared" si="32"/>
        <v>1.5500000000000114</v>
      </c>
      <c r="F501" s="3">
        <v>255.73999999992384</v>
      </c>
      <c r="G501" s="3">
        <v>11777.039999999999</v>
      </c>
      <c r="H501" s="3">
        <f t="shared" si="33"/>
        <v>12032.779999999922</v>
      </c>
      <c r="I501" s="3"/>
      <c r="J501" s="3"/>
      <c r="K501" s="3"/>
    </row>
    <row r="502" spans="1:11">
      <c r="A502" s="3">
        <v>43017</v>
      </c>
      <c r="B502" s="3">
        <v>342.94</v>
      </c>
      <c r="C502" s="4">
        <f t="shared" si="30"/>
        <v>0.31999999999999318</v>
      </c>
      <c r="D502" s="4">
        <f t="shared" si="31"/>
        <v>1.5500000000000114</v>
      </c>
      <c r="E502" s="3">
        <f t="shared" si="32"/>
        <v>-13.939999999999998</v>
      </c>
      <c r="F502" s="3">
        <v>255.73999999992384</v>
      </c>
      <c r="G502" s="3">
        <v>11317.02</v>
      </c>
      <c r="H502" s="3">
        <f t="shared" si="33"/>
        <v>11572.759999999924</v>
      </c>
      <c r="I502" s="3"/>
      <c r="J502" s="3"/>
      <c r="K502" s="3"/>
    </row>
    <row r="503" spans="1:11">
      <c r="A503" s="3">
        <v>43018</v>
      </c>
      <c r="B503" s="3">
        <v>355.59</v>
      </c>
      <c r="C503" s="4">
        <f t="shared" si="30"/>
        <v>1.5500000000000114</v>
      </c>
      <c r="D503" s="4">
        <f t="shared" si="31"/>
        <v>-13.939999999999998</v>
      </c>
      <c r="E503" s="3">
        <f t="shared" si="32"/>
        <v>12.649999999999977</v>
      </c>
      <c r="F503" s="3">
        <v>255.73999999992384</v>
      </c>
      <c r="G503" s="3">
        <v>11734.47</v>
      </c>
      <c r="H503" s="3">
        <f t="shared" si="33"/>
        <v>11990.209999999923</v>
      </c>
      <c r="I503" s="3"/>
      <c r="J503" s="3"/>
      <c r="K503" s="3"/>
    </row>
    <row r="504" spans="1:11">
      <c r="A504" s="3">
        <v>43019</v>
      </c>
      <c r="B504" s="3">
        <v>354.6</v>
      </c>
      <c r="C504" s="4">
        <f t="shared" si="30"/>
        <v>-13.939999999999998</v>
      </c>
      <c r="D504" s="4">
        <f t="shared" si="31"/>
        <v>12.649999999999977</v>
      </c>
      <c r="E504" s="3">
        <f t="shared" si="32"/>
        <v>-0.98999999999995225</v>
      </c>
      <c r="F504" s="3">
        <v>255.73999999992384</v>
      </c>
      <c r="G504" s="3">
        <v>11701.800000000001</v>
      </c>
      <c r="H504" s="3">
        <f t="shared" si="33"/>
        <v>11957.539999999924</v>
      </c>
      <c r="I504" s="3"/>
      <c r="J504" s="3"/>
      <c r="K504" s="3"/>
    </row>
    <row r="505" spans="1:11">
      <c r="A505" s="3">
        <v>43020</v>
      </c>
      <c r="B505" s="3">
        <v>355.68</v>
      </c>
      <c r="C505" s="4">
        <f t="shared" si="30"/>
        <v>12.649999999999977</v>
      </c>
      <c r="D505" s="4">
        <f t="shared" si="31"/>
        <v>-0.98999999999995225</v>
      </c>
      <c r="E505" s="3">
        <f t="shared" si="32"/>
        <v>1.0799999999999841</v>
      </c>
      <c r="F505" s="3">
        <v>255.73999999992384</v>
      </c>
      <c r="G505" s="3">
        <v>11737.44</v>
      </c>
      <c r="H505" s="3">
        <f t="shared" si="33"/>
        <v>11993.179999999924</v>
      </c>
      <c r="I505" s="3"/>
      <c r="J505" s="3"/>
      <c r="K505" s="3"/>
    </row>
    <row r="506" spans="1:11">
      <c r="A506" s="3">
        <v>43021</v>
      </c>
      <c r="B506" s="3">
        <v>355.57</v>
      </c>
      <c r="C506" s="4">
        <f t="shared" si="30"/>
        <v>-0.98999999999995225</v>
      </c>
      <c r="D506" s="4">
        <f t="shared" si="31"/>
        <v>1.0799999999999841</v>
      </c>
      <c r="E506" s="3">
        <f t="shared" si="32"/>
        <v>-0.11000000000001364</v>
      </c>
      <c r="F506" s="3">
        <v>255.73999999992384</v>
      </c>
      <c r="G506" s="3">
        <v>11733.81</v>
      </c>
      <c r="H506" s="3">
        <f t="shared" si="33"/>
        <v>11989.549999999923</v>
      </c>
      <c r="I506" s="3"/>
      <c r="J506" s="3"/>
      <c r="K506" s="3"/>
    </row>
    <row r="507" spans="1:11">
      <c r="A507" s="3">
        <v>43024</v>
      </c>
      <c r="B507" s="3">
        <v>350.6</v>
      </c>
      <c r="C507" s="4">
        <f t="shared" si="30"/>
        <v>1.0799999999999841</v>
      </c>
      <c r="D507" s="4">
        <f t="shared" si="31"/>
        <v>-0.11000000000001364</v>
      </c>
      <c r="E507" s="3">
        <f t="shared" si="32"/>
        <v>-4.9699999999999704</v>
      </c>
      <c r="F507" s="3">
        <v>11825.539999999924</v>
      </c>
      <c r="G507" s="3">
        <v>0</v>
      </c>
      <c r="H507" s="3">
        <f t="shared" si="33"/>
        <v>11825.539999999924</v>
      </c>
      <c r="I507" s="3"/>
      <c r="J507" s="3"/>
      <c r="K507" s="3"/>
    </row>
    <row r="508" spans="1:11">
      <c r="A508" s="3">
        <v>43025</v>
      </c>
      <c r="B508" s="3">
        <v>355.75</v>
      </c>
      <c r="C508" s="4">
        <f t="shared" si="30"/>
        <v>-0.11000000000001364</v>
      </c>
      <c r="D508" s="4">
        <f t="shared" si="31"/>
        <v>-4.9699999999999704</v>
      </c>
      <c r="E508" s="3">
        <f t="shared" si="32"/>
        <v>5.1499999999999773</v>
      </c>
      <c r="F508" s="3">
        <v>11825.539999999924</v>
      </c>
      <c r="G508" s="3">
        <v>0</v>
      </c>
      <c r="H508" s="3">
        <f t="shared" si="33"/>
        <v>11825.539999999924</v>
      </c>
      <c r="I508" s="3"/>
      <c r="J508" s="3"/>
      <c r="K508" s="3"/>
    </row>
    <row r="509" spans="1:11">
      <c r="A509" s="3">
        <v>43026</v>
      </c>
      <c r="B509" s="3">
        <v>359.65</v>
      </c>
      <c r="C509" s="4">
        <f t="shared" si="30"/>
        <v>-4.9699999999999704</v>
      </c>
      <c r="D509" s="4">
        <f t="shared" si="31"/>
        <v>5.1499999999999773</v>
      </c>
      <c r="E509" s="3">
        <f t="shared" si="32"/>
        <v>3.8999999999999773</v>
      </c>
      <c r="F509" s="3">
        <v>316.73999999993134</v>
      </c>
      <c r="G509" s="3">
        <v>11508.8</v>
      </c>
      <c r="H509" s="3">
        <f t="shared" si="33"/>
        <v>11825.53999999993</v>
      </c>
      <c r="I509" s="3"/>
      <c r="J509" s="3"/>
      <c r="K509" s="3"/>
    </row>
    <row r="510" spans="1:11">
      <c r="A510" s="3">
        <v>43027</v>
      </c>
      <c r="B510" s="3">
        <v>351.81</v>
      </c>
      <c r="C510" s="4">
        <f t="shared" si="30"/>
        <v>5.1499999999999773</v>
      </c>
      <c r="D510" s="4">
        <f t="shared" si="31"/>
        <v>3.8999999999999773</v>
      </c>
      <c r="E510" s="3">
        <f t="shared" si="32"/>
        <v>-7.839999999999975</v>
      </c>
      <c r="F510" s="3">
        <v>316.73999999993134</v>
      </c>
      <c r="G510" s="3">
        <v>11257.92</v>
      </c>
      <c r="H510" s="3">
        <f t="shared" si="33"/>
        <v>11574.659999999931</v>
      </c>
      <c r="I510" s="3"/>
      <c r="J510" s="3"/>
      <c r="K510" s="3"/>
    </row>
    <row r="511" spans="1:11">
      <c r="A511" s="3">
        <v>43028</v>
      </c>
      <c r="B511" s="3">
        <v>345.1</v>
      </c>
      <c r="C511" s="4">
        <f t="shared" si="30"/>
        <v>3.8999999999999773</v>
      </c>
      <c r="D511" s="4">
        <f t="shared" si="31"/>
        <v>-7.839999999999975</v>
      </c>
      <c r="E511" s="3">
        <f t="shared" si="32"/>
        <v>-6.7099999999999795</v>
      </c>
      <c r="F511" s="3">
        <v>11359.939999999931</v>
      </c>
      <c r="G511" s="3">
        <v>0</v>
      </c>
      <c r="H511" s="3">
        <f t="shared" si="33"/>
        <v>11359.939999999931</v>
      </c>
      <c r="I511" s="3"/>
      <c r="J511" s="3"/>
      <c r="K511" s="3"/>
    </row>
    <row r="512" spans="1:11">
      <c r="A512" s="3">
        <v>43031</v>
      </c>
      <c r="B512" s="3">
        <v>337.02</v>
      </c>
      <c r="C512" s="4">
        <f t="shared" si="30"/>
        <v>-7.839999999999975</v>
      </c>
      <c r="D512" s="4">
        <f t="shared" si="31"/>
        <v>-6.7099999999999795</v>
      </c>
      <c r="E512" s="3">
        <f t="shared" si="32"/>
        <v>-8.0800000000000409</v>
      </c>
      <c r="F512" s="3">
        <v>11359.939999999931</v>
      </c>
      <c r="G512" s="3">
        <v>0</v>
      </c>
      <c r="H512" s="3">
        <f t="shared" si="33"/>
        <v>11359.939999999931</v>
      </c>
      <c r="I512" s="3"/>
      <c r="J512" s="3"/>
      <c r="K512" s="3"/>
    </row>
    <row r="513" spans="1:11">
      <c r="A513" s="3">
        <v>43032</v>
      </c>
      <c r="B513" s="3">
        <v>337.34</v>
      </c>
      <c r="C513" s="4">
        <f t="shared" si="30"/>
        <v>-6.7099999999999795</v>
      </c>
      <c r="D513" s="4">
        <f t="shared" si="31"/>
        <v>-8.0800000000000409</v>
      </c>
      <c r="E513" s="3">
        <f t="shared" si="32"/>
        <v>0.31999999999999318</v>
      </c>
      <c r="F513" s="3">
        <v>11359.939999999931</v>
      </c>
      <c r="G513" s="3">
        <v>0</v>
      </c>
      <c r="H513" s="3">
        <f t="shared" si="33"/>
        <v>11359.939999999931</v>
      </c>
      <c r="I513" s="3"/>
      <c r="J513" s="3"/>
      <c r="K513" s="3"/>
    </row>
    <row r="514" spans="1:11">
      <c r="A514" s="3">
        <v>43033</v>
      </c>
      <c r="B514" s="3">
        <v>325.83999999999997</v>
      </c>
      <c r="C514" s="4">
        <f t="shared" si="30"/>
        <v>-8.0800000000000409</v>
      </c>
      <c r="D514" s="4">
        <f t="shared" si="31"/>
        <v>0.31999999999999318</v>
      </c>
      <c r="E514" s="3">
        <f t="shared" si="32"/>
        <v>-11.5</v>
      </c>
      <c r="F514" s="3">
        <v>11359.939999999931</v>
      </c>
      <c r="G514" s="3">
        <v>0</v>
      </c>
      <c r="H514" s="3">
        <f t="shared" si="33"/>
        <v>11359.939999999931</v>
      </c>
      <c r="I514" s="3"/>
      <c r="J514" s="3"/>
      <c r="K514" s="3"/>
    </row>
    <row r="515" spans="1:11">
      <c r="A515" s="3">
        <v>43034</v>
      </c>
      <c r="B515" s="3">
        <v>326.17</v>
      </c>
      <c r="C515" s="4">
        <f t="shared" si="30"/>
        <v>0.31999999999999318</v>
      </c>
      <c r="D515" s="4">
        <f t="shared" si="31"/>
        <v>-11.5</v>
      </c>
      <c r="E515" s="3">
        <f t="shared" si="32"/>
        <v>0.33000000000004093</v>
      </c>
      <c r="F515" s="3">
        <v>11359.939999999931</v>
      </c>
      <c r="G515" s="3">
        <v>0</v>
      </c>
      <c r="H515" s="3">
        <f t="shared" si="33"/>
        <v>11359.939999999931</v>
      </c>
      <c r="I515" s="3"/>
      <c r="J515" s="3"/>
      <c r="K515" s="3"/>
    </row>
    <row r="516" spans="1:11">
      <c r="A516" s="3">
        <v>43035</v>
      </c>
      <c r="B516" s="3">
        <v>320.87</v>
      </c>
      <c r="C516" s="4">
        <f t="shared" si="30"/>
        <v>-11.5</v>
      </c>
      <c r="D516" s="4">
        <f t="shared" si="31"/>
        <v>0.33000000000004093</v>
      </c>
      <c r="E516" s="3">
        <f t="shared" si="32"/>
        <v>-5.3000000000000114</v>
      </c>
      <c r="F516" s="3">
        <v>11359.939999999931</v>
      </c>
      <c r="G516" s="3">
        <v>0</v>
      </c>
      <c r="H516" s="3">
        <f t="shared" si="33"/>
        <v>11359.939999999931</v>
      </c>
      <c r="I516" s="3"/>
      <c r="J516" s="3"/>
      <c r="K516" s="3"/>
    </row>
    <row r="517" spans="1:11">
      <c r="A517" s="3">
        <v>43038</v>
      </c>
      <c r="B517" s="3">
        <v>320.08</v>
      </c>
      <c r="C517" s="4">
        <f t="shared" si="30"/>
        <v>0.33000000000004093</v>
      </c>
      <c r="D517" s="4">
        <f t="shared" si="31"/>
        <v>-5.3000000000000114</v>
      </c>
      <c r="E517" s="3">
        <f t="shared" si="32"/>
        <v>-0.79000000000002046</v>
      </c>
      <c r="F517" s="3">
        <v>11359.939999999931</v>
      </c>
      <c r="G517" s="3">
        <v>0</v>
      </c>
      <c r="H517" s="3">
        <f t="shared" si="33"/>
        <v>11359.939999999931</v>
      </c>
      <c r="I517" s="3"/>
      <c r="J517" s="3"/>
      <c r="K517" s="3"/>
    </row>
    <row r="518" spans="1:11">
      <c r="A518" s="3">
        <v>43039</v>
      </c>
      <c r="B518" s="3">
        <v>331.53</v>
      </c>
      <c r="C518" s="4">
        <f t="shared" si="30"/>
        <v>-5.3000000000000114</v>
      </c>
      <c r="D518" s="4">
        <f t="shared" si="31"/>
        <v>-0.79000000000002046</v>
      </c>
      <c r="E518" s="3">
        <f t="shared" si="32"/>
        <v>11.449999999999989</v>
      </c>
      <c r="F518" s="3">
        <v>11359.939999999931</v>
      </c>
      <c r="G518" s="3">
        <v>0</v>
      </c>
      <c r="H518" s="3">
        <f t="shared" si="33"/>
        <v>11359.939999999931</v>
      </c>
      <c r="I518" s="3"/>
      <c r="J518" s="3"/>
      <c r="K518" s="3"/>
    </row>
    <row r="519" spans="1:11">
      <c r="A519" s="3">
        <v>43040</v>
      </c>
      <c r="B519" s="3">
        <v>321.08</v>
      </c>
      <c r="C519" s="4">
        <f t="shared" si="30"/>
        <v>-0.79000000000002046</v>
      </c>
      <c r="D519" s="4">
        <f t="shared" si="31"/>
        <v>11.449999999999989</v>
      </c>
      <c r="E519" s="3">
        <f t="shared" si="32"/>
        <v>-10.449999999999989</v>
      </c>
      <c r="F519" s="3">
        <v>11359.939999999931</v>
      </c>
      <c r="G519" s="3">
        <v>0</v>
      </c>
      <c r="H519" s="3">
        <f t="shared" si="33"/>
        <v>11359.939999999931</v>
      </c>
      <c r="I519" s="3"/>
      <c r="J519" s="3"/>
      <c r="K519" s="3"/>
    </row>
    <row r="520" spans="1:11">
      <c r="A520" s="3">
        <v>43041</v>
      </c>
      <c r="B520" s="3">
        <v>299.26</v>
      </c>
      <c r="C520" s="4">
        <f t="shared" si="30"/>
        <v>11.449999999999989</v>
      </c>
      <c r="D520" s="4">
        <f t="shared" si="31"/>
        <v>-10.449999999999989</v>
      </c>
      <c r="E520" s="3">
        <f t="shared" si="32"/>
        <v>-21.819999999999993</v>
      </c>
      <c r="F520" s="3">
        <v>11359.939999999931</v>
      </c>
      <c r="G520" s="3">
        <v>0</v>
      </c>
      <c r="H520" s="3">
        <f t="shared" si="33"/>
        <v>11359.939999999931</v>
      </c>
      <c r="I520" s="3"/>
      <c r="J520" s="3"/>
      <c r="K520" s="3"/>
    </row>
    <row r="521" spans="1:11">
      <c r="A521" s="3">
        <v>43042</v>
      </c>
      <c r="B521" s="3">
        <v>306.08999999999997</v>
      </c>
      <c r="C521" s="4">
        <f t="shared" si="30"/>
        <v>-10.449999999999989</v>
      </c>
      <c r="D521" s="4">
        <f t="shared" si="31"/>
        <v>-21.819999999999993</v>
      </c>
      <c r="E521" s="3">
        <f t="shared" si="32"/>
        <v>6.8299999999999841</v>
      </c>
      <c r="F521" s="3">
        <v>11359.939999999931</v>
      </c>
      <c r="G521" s="3">
        <v>0</v>
      </c>
      <c r="H521" s="3">
        <f t="shared" si="33"/>
        <v>11359.939999999931</v>
      </c>
      <c r="I521" s="3"/>
      <c r="J521" s="3"/>
      <c r="K521" s="3"/>
    </row>
    <row r="522" spans="1:11">
      <c r="A522" s="3">
        <v>43045</v>
      </c>
      <c r="B522" s="3">
        <v>302.77999999999997</v>
      </c>
      <c r="C522" s="4">
        <f t="shared" si="30"/>
        <v>-21.819999999999993</v>
      </c>
      <c r="D522" s="4">
        <f t="shared" si="31"/>
        <v>6.8299999999999841</v>
      </c>
      <c r="E522" s="3">
        <f t="shared" si="32"/>
        <v>-3.3100000000000023</v>
      </c>
      <c r="F522" s="3">
        <v>11359.939999999931</v>
      </c>
      <c r="G522" s="3">
        <v>0</v>
      </c>
      <c r="H522" s="3">
        <f t="shared" si="33"/>
        <v>11359.939999999931</v>
      </c>
      <c r="I522" s="3"/>
      <c r="J522" s="3"/>
      <c r="K522" s="3"/>
    </row>
    <row r="523" spans="1:11">
      <c r="A523" s="3">
        <v>43046</v>
      </c>
      <c r="B523" s="3">
        <v>306.05</v>
      </c>
      <c r="C523" s="4">
        <f t="shared" si="30"/>
        <v>6.8299999999999841</v>
      </c>
      <c r="D523" s="4">
        <f t="shared" si="31"/>
        <v>-3.3100000000000023</v>
      </c>
      <c r="E523" s="3">
        <f t="shared" si="32"/>
        <v>3.2700000000000387</v>
      </c>
      <c r="F523" s="3">
        <v>11359.939999999931</v>
      </c>
      <c r="G523" s="3">
        <v>0</v>
      </c>
      <c r="H523" s="3">
        <f t="shared" si="33"/>
        <v>11359.939999999931</v>
      </c>
      <c r="I523" s="3"/>
      <c r="J523" s="3"/>
      <c r="K523" s="3"/>
    </row>
    <row r="524" spans="1:11">
      <c r="A524" s="3">
        <v>43047</v>
      </c>
      <c r="B524" s="3">
        <v>304.39</v>
      </c>
      <c r="C524" s="4">
        <f t="shared" si="30"/>
        <v>-3.3100000000000023</v>
      </c>
      <c r="D524" s="4">
        <f t="shared" si="31"/>
        <v>3.2700000000000387</v>
      </c>
      <c r="E524" s="3">
        <f t="shared" si="32"/>
        <v>-1.660000000000025</v>
      </c>
      <c r="F524" s="3">
        <v>11359.939999999931</v>
      </c>
      <c r="G524" s="3">
        <v>0</v>
      </c>
      <c r="H524" s="3">
        <f t="shared" si="33"/>
        <v>11359.939999999931</v>
      </c>
      <c r="I524" s="3"/>
      <c r="J524" s="3"/>
      <c r="K524" s="3"/>
    </row>
    <row r="525" spans="1:11">
      <c r="A525" s="3">
        <v>43048</v>
      </c>
      <c r="B525" s="3">
        <v>302.99</v>
      </c>
      <c r="C525" s="4">
        <f t="shared" ref="C525:C588" si="34">B523-B522</f>
        <v>3.2700000000000387</v>
      </c>
      <c r="D525" s="4">
        <f t="shared" ref="D525:D588" si="35">B524-B523</f>
        <v>-1.660000000000025</v>
      </c>
      <c r="E525" s="3">
        <f t="shared" ref="E525:E588" si="36">B525-B524</f>
        <v>-1.3999999999999773</v>
      </c>
      <c r="F525" s="3">
        <v>11359.939999999931</v>
      </c>
      <c r="G525" s="3">
        <v>0</v>
      </c>
      <c r="H525" s="3">
        <f t="shared" si="33"/>
        <v>11359.939999999931</v>
      </c>
      <c r="I525" s="3"/>
      <c r="J525" s="3"/>
      <c r="K525" s="3"/>
    </row>
    <row r="526" spans="1:11">
      <c r="A526" s="3">
        <v>43049</v>
      </c>
      <c r="B526" s="3">
        <v>302.99</v>
      </c>
      <c r="C526" s="4">
        <f t="shared" si="34"/>
        <v>-1.660000000000025</v>
      </c>
      <c r="D526" s="4">
        <f t="shared" si="35"/>
        <v>-1.3999999999999773</v>
      </c>
      <c r="E526" s="3">
        <f t="shared" si="36"/>
        <v>0</v>
      </c>
      <c r="F526" s="3">
        <v>11359.939999999931</v>
      </c>
      <c r="G526" s="3">
        <v>0</v>
      </c>
      <c r="H526" s="3">
        <f t="shared" si="33"/>
        <v>11359.939999999931</v>
      </c>
      <c r="I526" s="3"/>
      <c r="J526" s="3"/>
      <c r="K526" s="3"/>
    </row>
    <row r="527" spans="1:11">
      <c r="A527" s="3">
        <v>43052</v>
      </c>
      <c r="B527" s="3">
        <v>315.39999999999998</v>
      </c>
      <c r="C527" s="4">
        <f t="shared" si="34"/>
        <v>-1.3999999999999773</v>
      </c>
      <c r="D527" s="4">
        <f t="shared" si="35"/>
        <v>0</v>
      </c>
      <c r="E527" s="3">
        <f t="shared" si="36"/>
        <v>12.409999999999968</v>
      </c>
      <c r="F527" s="3">
        <v>11359.939999999931</v>
      </c>
      <c r="G527" s="3">
        <v>0</v>
      </c>
      <c r="H527" s="3">
        <f t="shared" si="33"/>
        <v>11359.939999999931</v>
      </c>
      <c r="I527" s="3"/>
      <c r="J527" s="3"/>
      <c r="K527" s="3"/>
    </row>
    <row r="528" spans="1:11">
      <c r="A528" s="3">
        <v>43053</v>
      </c>
      <c r="B528" s="3">
        <v>308.7</v>
      </c>
      <c r="C528" s="4">
        <f t="shared" si="34"/>
        <v>0</v>
      </c>
      <c r="D528" s="4">
        <f t="shared" si="35"/>
        <v>12.409999999999968</v>
      </c>
      <c r="E528" s="3">
        <f t="shared" si="36"/>
        <v>-6.6999999999999886</v>
      </c>
      <c r="F528" s="3">
        <v>11359.939999999931</v>
      </c>
      <c r="G528" s="3">
        <v>0</v>
      </c>
      <c r="H528" s="3">
        <f t="shared" si="33"/>
        <v>11359.939999999931</v>
      </c>
      <c r="I528" s="3"/>
      <c r="J528" s="3"/>
      <c r="K528" s="3"/>
    </row>
    <row r="529" spans="1:11">
      <c r="A529" s="3">
        <v>43054</v>
      </c>
      <c r="B529" s="3">
        <v>311.3</v>
      </c>
      <c r="C529" s="4">
        <f t="shared" si="34"/>
        <v>12.409999999999968</v>
      </c>
      <c r="D529" s="4">
        <f t="shared" si="35"/>
        <v>-6.6999999999999886</v>
      </c>
      <c r="E529" s="3">
        <f t="shared" si="36"/>
        <v>2.6000000000000227</v>
      </c>
      <c r="F529" s="3">
        <v>11359.939999999931</v>
      </c>
      <c r="G529" s="3">
        <v>0</v>
      </c>
      <c r="H529" s="3">
        <f t="shared" si="33"/>
        <v>11359.939999999931</v>
      </c>
      <c r="I529" s="3"/>
      <c r="J529" s="3"/>
      <c r="K529" s="3"/>
    </row>
    <row r="530" spans="1:11">
      <c r="A530" s="3">
        <v>43055</v>
      </c>
      <c r="B530" s="3">
        <v>312.5</v>
      </c>
      <c r="C530" s="4">
        <f t="shared" si="34"/>
        <v>-6.6999999999999886</v>
      </c>
      <c r="D530" s="4">
        <f t="shared" si="35"/>
        <v>2.6000000000000227</v>
      </c>
      <c r="E530" s="3">
        <f t="shared" si="36"/>
        <v>1.1999999999999886</v>
      </c>
      <c r="F530" s="3">
        <v>109.93999999993139</v>
      </c>
      <c r="G530" s="3">
        <v>11250</v>
      </c>
      <c r="H530" s="3">
        <f t="shared" si="33"/>
        <v>11359.939999999931</v>
      </c>
      <c r="I530" s="3"/>
      <c r="J530" s="3"/>
      <c r="K530" s="3"/>
    </row>
    <row r="531" spans="1:11">
      <c r="A531" s="3">
        <v>43056</v>
      </c>
      <c r="B531" s="3">
        <v>315.05</v>
      </c>
      <c r="C531" s="4">
        <f t="shared" si="34"/>
        <v>2.6000000000000227</v>
      </c>
      <c r="D531" s="4">
        <f t="shared" si="35"/>
        <v>1.1999999999999886</v>
      </c>
      <c r="E531" s="3">
        <f t="shared" si="36"/>
        <v>2.5500000000000114</v>
      </c>
      <c r="F531" s="3">
        <v>109.93999999993139</v>
      </c>
      <c r="G531" s="3">
        <v>11341.800000000001</v>
      </c>
      <c r="H531" s="3">
        <f t="shared" si="33"/>
        <v>11451.739999999932</v>
      </c>
      <c r="I531" s="3"/>
      <c r="J531" s="3"/>
      <c r="K531" s="3"/>
    </row>
    <row r="532" spans="1:11">
      <c r="A532" s="3">
        <v>43059</v>
      </c>
      <c r="B532" s="3">
        <v>308.74</v>
      </c>
      <c r="C532" s="4">
        <f t="shared" si="34"/>
        <v>1.1999999999999886</v>
      </c>
      <c r="D532" s="4">
        <f t="shared" si="35"/>
        <v>2.5500000000000114</v>
      </c>
      <c r="E532" s="3">
        <f t="shared" si="36"/>
        <v>-6.3100000000000023</v>
      </c>
      <c r="F532" s="3">
        <v>109.93999999993139</v>
      </c>
      <c r="G532" s="3">
        <v>11114.64</v>
      </c>
      <c r="H532" s="3">
        <f t="shared" si="33"/>
        <v>11224.579999999931</v>
      </c>
      <c r="I532" s="3"/>
      <c r="J532" s="3"/>
      <c r="K532" s="3"/>
    </row>
    <row r="533" spans="1:11">
      <c r="A533" s="3">
        <v>43060</v>
      </c>
      <c r="B533" s="3">
        <v>317.81</v>
      </c>
      <c r="C533" s="4">
        <f t="shared" si="34"/>
        <v>2.5500000000000114</v>
      </c>
      <c r="D533" s="4">
        <f t="shared" si="35"/>
        <v>-6.3100000000000023</v>
      </c>
      <c r="E533" s="3">
        <f t="shared" si="36"/>
        <v>9.0699999999999932</v>
      </c>
      <c r="F533" s="3">
        <v>109.93999999993139</v>
      </c>
      <c r="G533" s="3">
        <v>11441.16</v>
      </c>
      <c r="H533" s="3">
        <f t="shared" si="33"/>
        <v>11551.099999999931</v>
      </c>
      <c r="I533" s="3"/>
      <c r="J533" s="3"/>
      <c r="K533" s="3"/>
    </row>
    <row r="534" spans="1:11">
      <c r="A534" s="3">
        <v>43061</v>
      </c>
      <c r="B534" s="3">
        <v>312.60000000000002</v>
      </c>
      <c r="C534" s="4">
        <f t="shared" si="34"/>
        <v>-6.3100000000000023</v>
      </c>
      <c r="D534" s="4">
        <f t="shared" si="35"/>
        <v>9.0699999999999932</v>
      </c>
      <c r="E534" s="3">
        <f t="shared" si="36"/>
        <v>-5.2099999999999795</v>
      </c>
      <c r="F534" s="3">
        <v>109.93999999993139</v>
      </c>
      <c r="G534" s="3">
        <v>11253.6</v>
      </c>
      <c r="H534" s="3">
        <f t="shared" ref="H534:H597" si="37">G534+F534</f>
        <v>11363.539999999932</v>
      </c>
      <c r="I534" s="3"/>
      <c r="J534" s="3"/>
      <c r="K534" s="3"/>
    </row>
    <row r="535" spans="1:11">
      <c r="A535" s="3">
        <v>43063</v>
      </c>
      <c r="B535" s="3">
        <v>315.55</v>
      </c>
      <c r="C535" s="4">
        <f t="shared" si="34"/>
        <v>9.0699999999999932</v>
      </c>
      <c r="D535" s="4">
        <f t="shared" si="35"/>
        <v>-5.2099999999999795</v>
      </c>
      <c r="E535" s="3">
        <f t="shared" si="36"/>
        <v>2.9499999999999886</v>
      </c>
      <c r="F535" s="3">
        <v>109.93999999993139</v>
      </c>
      <c r="G535" s="3">
        <v>11359.800000000001</v>
      </c>
      <c r="H535" s="3">
        <f t="shared" si="37"/>
        <v>11469.739999999932</v>
      </c>
      <c r="I535" s="3"/>
      <c r="J535" s="3"/>
      <c r="K535" s="3"/>
    </row>
    <row r="536" spans="1:11">
      <c r="A536" s="3">
        <v>43066</v>
      </c>
      <c r="B536" s="3">
        <v>316.81</v>
      </c>
      <c r="C536" s="4">
        <f t="shared" si="34"/>
        <v>-5.2099999999999795</v>
      </c>
      <c r="D536" s="4">
        <f t="shared" si="35"/>
        <v>2.9499999999999886</v>
      </c>
      <c r="E536" s="3">
        <f t="shared" si="36"/>
        <v>1.2599999999999909</v>
      </c>
      <c r="F536" s="3">
        <v>109.93999999993139</v>
      </c>
      <c r="G536" s="3">
        <v>11405.16</v>
      </c>
      <c r="H536" s="3">
        <f t="shared" si="37"/>
        <v>11515.099999999931</v>
      </c>
      <c r="I536" s="3"/>
      <c r="J536" s="3"/>
      <c r="K536" s="3"/>
    </row>
    <row r="537" spans="1:11">
      <c r="A537" s="3">
        <v>43067</v>
      </c>
      <c r="B537" s="3">
        <v>317.55</v>
      </c>
      <c r="C537" s="4">
        <f t="shared" si="34"/>
        <v>2.9499999999999886</v>
      </c>
      <c r="D537" s="4">
        <f t="shared" si="35"/>
        <v>1.2599999999999909</v>
      </c>
      <c r="E537" s="3">
        <f t="shared" si="36"/>
        <v>0.74000000000000909</v>
      </c>
      <c r="F537" s="3">
        <v>109.93999999993139</v>
      </c>
      <c r="G537" s="3">
        <v>11431.800000000001</v>
      </c>
      <c r="H537" s="3">
        <f t="shared" si="37"/>
        <v>11541.739999999932</v>
      </c>
      <c r="I537" s="3"/>
      <c r="J537" s="3"/>
      <c r="K537" s="3"/>
    </row>
    <row r="538" spans="1:11">
      <c r="A538" s="3">
        <v>43068</v>
      </c>
      <c r="B538" s="3">
        <v>307.54000000000002</v>
      </c>
      <c r="C538" s="4">
        <f t="shared" si="34"/>
        <v>1.2599999999999909</v>
      </c>
      <c r="D538" s="4">
        <f t="shared" si="35"/>
        <v>0.74000000000000909</v>
      </c>
      <c r="E538" s="3">
        <f t="shared" si="36"/>
        <v>-10.009999999999991</v>
      </c>
      <c r="F538" s="3">
        <v>109.93999999993139</v>
      </c>
      <c r="G538" s="3">
        <v>11071.44</v>
      </c>
      <c r="H538" s="3">
        <f t="shared" si="37"/>
        <v>11181.379999999932</v>
      </c>
      <c r="I538" s="3"/>
      <c r="J538" s="3"/>
      <c r="K538" s="3"/>
    </row>
    <row r="539" spans="1:11">
      <c r="A539" s="3">
        <v>43069</v>
      </c>
      <c r="B539" s="3">
        <v>308.85000000000002</v>
      </c>
      <c r="C539" s="4">
        <f t="shared" si="34"/>
        <v>0.74000000000000909</v>
      </c>
      <c r="D539" s="4">
        <f t="shared" si="35"/>
        <v>-10.009999999999991</v>
      </c>
      <c r="E539" s="3">
        <f t="shared" si="36"/>
        <v>1.3100000000000023</v>
      </c>
      <c r="F539" s="3">
        <v>109.93999999993139</v>
      </c>
      <c r="G539" s="3">
        <v>11118.6</v>
      </c>
      <c r="H539" s="3">
        <f t="shared" si="37"/>
        <v>11228.539999999932</v>
      </c>
      <c r="I539" s="3"/>
      <c r="J539" s="3"/>
      <c r="K539" s="3"/>
    </row>
    <row r="540" spans="1:11">
      <c r="A540" s="3">
        <v>43070</v>
      </c>
      <c r="B540" s="3">
        <v>306.52999999999997</v>
      </c>
      <c r="C540" s="4">
        <f t="shared" si="34"/>
        <v>-10.009999999999991</v>
      </c>
      <c r="D540" s="4">
        <f t="shared" si="35"/>
        <v>1.3100000000000023</v>
      </c>
      <c r="E540" s="3">
        <f t="shared" si="36"/>
        <v>-2.32000000000005</v>
      </c>
      <c r="F540" s="3">
        <v>109.93999999993139</v>
      </c>
      <c r="G540" s="3">
        <v>11035.079999999998</v>
      </c>
      <c r="H540" s="3">
        <f t="shared" si="37"/>
        <v>11145.019999999929</v>
      </c>
      <c r="I540" s="3"/>
      <c r="J540" s="3"/>
      <c r="K540" s="3"/>
    </row>
    <row r="541" spans="1:11">
      <c r="A541" s="3">
        <v>43073</v>
      </c>
      <c r="B541" s="3">
        <v>305.2</v>
      </c>
      <c r="C541" s="4">
        <f t="shared" si="34"/>
        <v>1.3100000000000023</v>
      </c>
      <c r="D541" s="4">
        <f t="shared" si="35"/>
        <v>-2.32000000000005</v>
      </c>
      <c r="E541" s="3">
        <f t="shared" si="36"/>
        <v>-1.3299999999999841</v>
      </c>
      <c r="F541" s="3">
        <v>11097.13999999993</v>
      </c>
      <c r="G541" s="3">
        <v>0</v>
      </c>
      <c r="H541" s="3">
        <f t="shared" si="37"/>
        <v>11097.13999999993</v>
      </c>
      <c r="I541" s="3"/>
      <c r="J541" s="3"/>
      <c r="K541" s="3"/>
    </row>
    <row r="542" spans="1:11">
      <c r="A542" s="3">
        <v>43074</v>
      </c>
      <c r="B542" s="3">
        <v>303.7</v>
      </c>
      <c r="C542" s="4">
        <f t="shared" si="34"/>
        <v>-2.32000000000005</v>
      </c>
      <c r="D542" s="4">
        <f t="shared" si="35"/>
        <v>-1.3299999999999841</v>
      </c>
      <c r="E542" s="3">
        <f t="shared" si="36"/>
        <v>-1.5</v>
      </c>
      <c r="F542" s="3">
        <v>11097.13999999993</v>
      </c>
      <c r="G542" s="3">
        <v>0</v>
      </c>
      <c r="H542" s="3">
        <f t="shared" si="37"/>
        <v>11097.13999999993</v>
      </c>
      <c r="I542" s="3"/>
      <c r="J542" s="3"/>
      <c r="K542" s="3"/>
    </row>
    <row r="543" spans="1:11">
      <c r="A543" s="3">
        <v>43075</v>
      </c>
      <c r="B543" s="3">
        <v>313.26</v>
      </c>
      <c r="C543" s="4">
        <f t="shared" si="34"/>
        <v>-1.3299999999999841</v>
      </c>
      <c r="D543" s="4">
        <f t="shared" si="35"/>
        <v>-1.5</v>
      </c>
      <c r="E543" s="3">
        <f t="shared" si="36"/>
        <v>9.5600000000000023</v>
      </c>
      <c r="F543" s="3">
        <v>11097.13999999993</v>
      </c>
      <c r="G543" s="3">
        <v>0</v>
      </c>
      <c r="H543" s="3">
        <f t="shared" si="37"/>
        <v>11097.13999999993</v>
      </c>
      <c r="I543" s="3"/>
      <c r="J543" s="3"/>
      <c r="K543" s="3"/>
    </row>
    <row r="544" spans="1:11">
      <c r="A544" s="3">
        <v>43076</v>
      </c>
      <c r="B544" s="3">
        <v>311.24</v>
      </c>
      <c r="C544" s="4">
        <f t="shared" si="34"/>
        <v>-1.5</v>
      </c>
      <c r="D544" s="4">
        <f t="shared" si="35"/>
        <v>9.5600000000000023</v>
      </c>
      <c r="E544" s="3">
        <f t="shared" si="36"/>
        <v>-2.0199999999999818</v>
      </c>
      <c r="F544" s="3">
        <v>11097.13999999993</v>
      </c>
      <c r="G544" s="3">
        <v>0</v>
      </c>
      <c r="H544" s="3">
        <f t="shared" si="37"/>
        <v>11097.13999999993</v>
      </c>
      <c r="I544" s="3"/>
      <c r="J544" s="3"/>
      <c r="K544" s="3"/>
    </row>
    <row r="545" spans="1:11">
      <c r="A545" s="3">
        <v>43077</v>
      </c>
      <c r="B545" s="3">
        <v>315.13</v>
      </c>
      <c r="C545" s="4">
        <f t="shared" si="34"/>
        <v>9.5600000000000023</v>
      </c>
      <c r="D545" s="4">
        <f t="shared" si="35"/>
        <v>-2.0199999999999818</v>
      </c>
      <c r="E545" s="3">
        <f t="shared" si="36"/>
        <v>3.8899999999999864</v>
      </c>
      <c r="F545" s="3">
        <v>11097.13999999993</v>
      </c>
      <c r="G545" s="3">
        <v>0</v>
      </c>
      <c r="H545" s="3">
        <f t="shared" si="37"/>
        <v>11097.13999999993</v>
      </c>
      <c r="I545" s="3"/>
      <c r="J545" s="3"/>
      <c r="K545" s="3"/>
    </row>
    <row r="546" spans="1:11">
      <c r="A546" s="3">
        <v>43080</v>
      </c>
      <c r="B546" s="3">
        <v>328.91</v>
      </c>
      <c r="C546" s="4">
        <f t="shared" si="34"/>
        <v>-2.0199999999999818</v>
      </c>
      <c r="D546" s="4">
        <f t="shared" si="35"/>
        <v>3.8899999999999864</v>
      </c>
      <c r="E546" s="3">
        <f t="shared" si="36"/>
        <v>13.78000000000003</v>
      </c>
      <c r="F546" s="3">
        <v>243.10999999993379</v>
      </c>
      <c r="G546" s="3">
        <v>10854.03</v>
      </c>
      <c r="H546" s="3">
        <f t="shared" si="37"/>
        <v>11097.139999999934</v>
      </c>
      <c r="I546" s="3"/>
      <c r="J546" s="3"/>
      <c r="K546" s="3"/>
    </row>
    <row r="547" spans="1:11">
      <c r="A547" s="3">
        <v>43081</v>
      </c>
      <c r="B547" s="3">
        <v>341.03</v>
      </c>
      <c r="C547" s="4">
        <f t="shared" si="34"/>
        <v>3.8899999999999864</v>
      </c>
      <c r="D547" s="4">
        <f t="shared" si="35"/>
        <v>13.78000000000003</v>
      </c>
      <c r="E547" s="3">
        <f t="shared" si="36"/>
        <v>12.119999999999948</v>
      </c>
      <c r="F547" s="3">
        <v>243.10999999993379</v>
      </c>
      <c r="G547" s="3">
        <v>11253.99</v>
      </c>
      <c r="H547" s="3">
        <f t="shared" si="37"/>
        <v>11497.099999999933</v>
      </c>
      <c r="I547" s="3"/>
      <c r="J547" s="3"/>
      <c r="K547" s="3"/>
    </row>
    <row r="548" spans="1:11">
      <c r="A548" s="3">
        <v>43082</v>
      </c>
      <c r="B548" s="3">
        <v>339.03</v>
      </c>
      <c r="C548" s="4">
        <f t="shared" si="34"/>
        <v>13.78000000000003</v>
      </c>
      <c r="D548" s="4">
        <f t="shared" si="35"/>
        <v>12.119999999999948</v>
      </c>
      <c r="E548" s="3">
        <f t="shared" si="36"/>
        <v>-2</v>
      </c>
      <c r="F548" s="3">
        <v>243.10999999993379</v>
      </c>
      <c r="G548" s="3">
        <v>11187.99</v>
      </c>
      <c r="H548" s="3">
        <f t="shared" si="37"/>
        <v>11431.099999999933</v>
      </c>
      <c r="I548" s="3"/>
      <c r="J548" s="3"/>
      <c r="K548" s="3"/>
    </row>
    <row r="549" spans="1:11">
      <c r="A549" s="3">
        <v>43083</v>
      </c>
      <c r="B549" s="3">
        <v>337.89</v>
      </c>
      <c r="C549" s="4">
        <f t="shared" si="34"/>
        <v>12.119999999999948</v>
      </c>
      <c r="D549" s="4">
        <f t="shared" si="35"/>
        <v>-2</v>
      </c>
      <c r="E549" s="3">
        <f t="shared" si="36"/>
        <v>-1.1399999999999864</v>
      </c>
      <c r="F549" s="3">
        <v>11393.479999999932</v>
      </c>
      <c r="G549" s="3">
        <v>0</v>
      </c>
      <c r="H549" s="3">
        <f t="shared" si="37"/>
        <v>11393.479999999932</v>
      </c>
      <c r="I549" s="3"/>
      <c r="J549" s="3"/>
      <c r="K549" s="3"/>
    </row>
    <row r="550" spans="1:11">
      <c r="A550" s="3">
        <v>43084</v>
      </c>
      <c r="B550" s="3">
        <v>343.45</v>
      </c>
      <c r="C550" s="4">
        <f t="shared" si="34"/>
        <v>-2</v>
      </c>
      <c r="D550" s="4">
        <f t="shared" si="35"/>
        <v>-1.1399999999999864</v>
      </c>
      <c r="E550" s="3">
        <f t="shared" si="36"/>
        <v>5.5600000000000023</v>
      </c>
      <c r="F550" s="3">
        <v>11393.479999999932</v>
      </c>
      <c r="G550" s="3">
        <v>0</v>
      </c>
      <c r="H550" s="3">
        <f t="shared" si="37"/>
        <v>11393.479999999932</v>
      </c>
      <c r="I550" s="3"/>
      <c r="J550" s="3"/>
      <c r="K550" s="3"/>
    </row>
    <row r="551" spans="1:11">
      <c r="A551" s="3">
        <v>43087</v>
      </c>
      <c r="B551" s="3">
        <v>338.87</v>
      </c>
      <c r="C551" s="4">
        <f t="shared" si="34"/>
        <v>-1.1399999999999864</v>
      </c>
      <c r="D551" s="4">
        <f t="shared" si="35"/>
        <v>5.5600000000000023</v>
      </c>
      <c r="E551" s="3">
        <f t="shared" si="36"/>
        <v>-4.5799999999999841</v>
      </c>
      <c r="F551" s="3">
        <v>11393.479999999932</v>
      </c>
      <c r="G551" s="3">
        <v>0</v>
      </c>
      <c r="H551" s="3">
        <f t="shared" si="37"/>
        <v>11393.479999999932</v>
      </c>
      <c r="I551" s="3"/>
      <c r="J551" s="3"/>
      <c r="K551" s="3"/>
    </row>
    <row r="552" spans="1:11">
      <c r="A552" s="3">
        <v>43088</v>
      </c>
      <c r="B552" s="3">
        <v>331.1</v>
      </c>
      <c r="C552" s="4">
        <f t="shared" si="34"/>
        <v>5.5600000000000023</v>
      </c>
      <c r="D552" s="4">
        <f t="shared" si="35"/>
        <v>-4.5799999999999841</v>
      </c>
      <c r="E552" s="3">
        <f t="shared" si="36"/>
        <v>-7.7699999999999818</v>
      </c>
      <c r="F552" s="3">
        <v>11393.479999999932</v>
      </c>
      <c r="G552" s="3">
        <v>0</v>
      </c>
      <c r="H552" s="3">
        <f t="shared" si="37"/>
        <v>11393.479999999932</v>
      </c>
      <c r="I552" s="3"/>
      <c r="J552" s="3"/>
      <c r="K552" s="3"/>
    </row>
    <row r="553" spans="1:11">
      <c r="A553" s="3">
        <v>43089</v>
      </c>
      <c r="B553" s="3">
        <v>328.98</v>
      </c>
      <c r="C553" s="4">
        <f t="shared" si="34"/>
        <v>-4.5799999999999841</v>
      </c>
      <c r="D553" s="4">
        <f t="shared" si="35"/>
        <v>-7.7699999999999818</v>
      </c>
      <c r="E553" s="3">
        <f t="shared" si="36"/>
        <v>-2.1200000000000045</v>
      </c>
      <c r="F553" s="3">
        <v>11393.479999999932</v>
      </c>
      <c r="G553" s="3">
        <v>0</v>
      </c>
      <c r="H553" s="3">
        <f t="shared" si="37"/>
        <v>11393.479999999932</v>
      </c>
      <c r="I553" s="3"/>
      <c r="J553" s="3"/>
      <c r="K553" s="3"/>
    </row>
    <row r="554" spans="1:11">
      <c r="A554" s="3">
        <v>43090</v>
      </c>
      <c r="B554" s="3">
        <v>331.66</v>
      </c>
      <c r="C554" s="4">
        <f t="shared" si="34"/>
        <v>-7.7699999999999818</v>
      </c>
      <c r="D554" s="4">
        <f t="shared" si="35"/>
        <v>-2.1200000000000045</v>
      </c>
      <c r="E554" s="3">
        <f t="shared" si="36"/>
        <v>2.6800000000000068</v>
      </c>
      <c r="F554" s="3">
        <v>11393.479999999932</v>
      </c>
      <c r="G554" s="3">
        <v>0</v>
      </c>
      <c r="H554" s="3">
        <f t="shared" si="37"/>
        <v>11393.479999999932</v>
      </c>
      <c r="I554" s="3"/>
      <c r="J554" s="3"/>
      <c r="K554" s="3"/>
    </row>
    <row r="555" spans="1:11">
      <c r="A555" s="3">
        <v>43091</v>
      </c>
      <c r="B555" s="3">
        <v>325.2</v>
      </c>
      <c r="C555" s="4">
        <f t="shared" si="34"/>
        <v>-2.1200000000000045</v>
      </c>
      <c r="D555" s="4">
        <f t="shared" si="35"/>
        <v>2.6800000000000068</v>
      </c>
      <c r="E555" s="3">
        <f t="shared" si="36"/>
        <v>-6.4600000000000364</v>
      </c>
      <c r="F555" s="3">
        <v>11393.479999999932</v>
      </c>
      <c r="G555" s="3">
        <v>0</v>
      </c>
      <c r="H555" s="3">
        <f t="shared" si="37"/>
        <v>11393.479999999932</v>
      </c>
      <c r="I555" s="3"/>
      <c r="J555" s="3"/>
      <c r="K555" s="3"/>
    </row>
    <row r="556" spans="1:11">
      <c r="A556" s="3">
        <v>43095</v>
      </c>
      <c r="B556" s="3">
        <v>317.29000000000002</v>
      </c>
      <c r="C556" s="4">
        <f t="shared" si="34"/>
        <v>2.6800000000000068</v>
      </c>
      <c r="D556" s="4">
        <f t="shared" si="35"/>
        <v>-6.4600000000000364</v>
      </c>
      <c r="E556" s="3">
        <f t="shared" si="36"/>
        <v>-7.9099999999999682</v>
      </c>
      <c r="F556" s="3">
        <v>11393.479999999932</v>
      </c>
      <c r="G556" s="3">
        <v>0</v>
      </c>
      <c r="H556" s="3">
        <f t="shared" si="37"/>
        <v>11393.479999999932</v>
      </c>
      <c r="I556" s="3"/>
      <c r="J556" s="3"/>
      <c r="K556" s="3"/>
    </row>
    <row r="557" spans="1:11">
      <c r="A557" s="3">
        <v>43096</v>
      </c>
      <c r="B557" s="3">
        <v>311.64</v>
      </c>
      <c r="C557" s="4">
        <f t="shared" si="34"/>
        <v>-6.4600000000000364</v>
      </c>
      <c r="D557" s="4">
        <f t="shared" si="35"/>
        <v>-7.9099999999999682</v>
      </c>
      <c r="E557" s="3">
        <f t="shared" si="36"/>
        <v>-5.6500000000000341</v>
      </c>
      <c r="F557" s="3">
        <v>11393.479999999932</v>
      </c>
      <c r="G557" s="3">
        <v>0</v>
      </c>
      <c r="H557" s="3">
        <f t="shared" si="37"/>
        <v>11393.479999999932</v>
      </c>
      <c r="I557" s="3"/>
      <c r="J557" s="3"/>
      <c r="K557" s="3"/>
    </row>
    <row r="558" spans="1:11">
      <c r="A558" s="3">
        <v>43097</v>
      </c>
      <c r="B558" s="3">
        <v>315.36</v>
      </c>
      <c r="C558" s="4">
        <f t="shared" si="34"/>
        <v>-7.9099999999999682</v>
      </c>
      <c r="D558" s="4">
        <f t="shared" si="35"/>
        <v>-5.6500000000000341</v>
      </c>
      <c r="E558" s="3">
        <f t="shared" si="36"/>
        <v>3.7200000000000273</v>
      </c>
      <c r="F558" s="3">
        <v>11393.479999999932</v>
      </c>
      <c r="G558" s="3">
        <v>0</v>
      </c>
      <c r="H558" s="3">
        <f t="shared" si="37"/>
        <v>11393.479999999932</v>
      </c>
      <c r="I558" s="3"/>
      <c r="J558" s="3"/>
      <c r="K558" s="3"/>
    </row>
    <row r="559" spans="1:11">
      <c r="A559" s="3">
        <v>43098</v>
      </c>
      <c r="B559" s="3">
        <v>311.35000000000002</v>
      </c>
      <c r="C559" s="4">
        <f t="shared" si="34"/>
        <v>-5.6500000000000341</v>
      </c>
      <c r="D559" s="4">
        <f t="shared" si="35"/>
        <v>3.7200000000000273</v>
      </c>
      <c r="E559" s="3">
        <f t="shared" si="36"/>
        <v>-4.0099999999999909</v>
      </c>
      <c r="F559" s="3">
        <v>11393.479999999932</v>
      </c>
      <c r="G559" s="3">
        <v>0</v>
      </c>
      <c r="H559" s="3">
        <f t="shared" si="37"/>
        <v>11393.479999999932</v>
      </c>
      <c r="I559" s="3"/>
      <c r="J559" s="3"/>
      <c r="K559" s="3"/>
    </row>
    <row r="560" spans="1:11">
      <c r="A560" s="3">
        <v>43102</v>
      </c>
      <c r="B560" s="3">
        <v>320.52999999999997</v>
      </c>
      <c r="C560" s="4">
        <f t="shared" si="34"/>
        <v>3.7200000000000273</v>
      </c>
      <c r="D560" s="4">
        <f t="shared" si="35"/>
        <v>-4.0099999999999909</v>
      </c>
      <c r="E560" s="3">
        <f t="shared" si="36"/>
        <v>9.17999999999995</v>
      </c>
      <c r="F560" s="3">
        <v>11393.479999999932</v>
      </c>
      <c r="G560" s="3">
        <v>0</v>
      </c>
      <c r="H560" s="3">
        <f t="shared" si="37"/>
        <v>11393.479999999932</v>
      </c>
      <c r="I560" s="3"/>
      <c r="J560" s="3"/>
      <c r="K560" s="3"/>
    </row>
    <row r="561" spans="1:11">
      <c r="A561" s="3">
        <v>43103</v>
      </c>
      <c r="B561" s="3">
        <v>317.25</v>
      </c>
      <c r="C561" s="4">
        <f t="shared" si="34"/>
        <v>-4.0099999999999909</v>
      </c>
      <c r="D561" s="4">
        <f t="shared" si="35"/>
        <v>9.17999999999995</v>
      </c>
      <c r="E561" s="3">
        <f t="shared" si="36"/>
        <v>-3.2799999999999727</v>
      </c>
      <c r="F561" s="3">
        <v>11393.479999999932</v>
      </c>
      <c r="G561" s="3">
        <v>0</v>
      </c>
      <c r="H561" s="3">
        <f t="shared" si="37"/>
        <v>11393.479999999932</v>
      </c>
      <c r="I561" s="3"/>
      <c r="J561" s="3"/>
      <c r="K561" s="3"/>
    </row>
    <row r="562" spans="1:11">
      <c r="A562" s="3">
        <v>43104</v>
      </c>
      <c r="B562" s="3">
        <v>314.62</v>
      </c>
      <c r="C562" s="4">
        <f t="shared" si="34"/>
        <v>9.17999999999995</v>
      </c>
      <c r="D562" s="4">
        <f t="shared" si="35"/>
        <v>-3.2799999999999727</v>
      </c>
      <c r="E562" s="3">
        <f t="shared" si="36"/>
        <v>-2.6299999999999955</v>
      </c>
      <c r="F562" s="3">
        <v>11393.479999999932</v>
      </c>
      <c r="G562" s="3">
        <v>0</v>
      </c>
      <c r="H562" s="3">
        <f t="shared" si="37"/>
        <v>11393.479999999932</v>
      </c>
      <c r="I562" s="3"/>
      <c r="J562" s="3"/>
      <c r="K562" s="3"/>
    </row>
    <row r="563" spans="1:11">
      <c r="A563" s="3">
        <v>43105</v>
      </c>
      <c r="B563" s="3">
        <v>316.58</v>
      </c>
      <c r="C563" s="4">
        <f t="shared" si="34"/>
        <v>-3.2799999999999727</v>
      </c>
      <c r="D563" s="4">
        <f t="shared" si="35"/>
        <v>-2.6299999999999955</v>
      </c>
      <c r="E563" s="3">
        <f t="shared" si="36"/>
        <v>1.9599999999999795</v>
      </c>
      <c r="F563" s="3">
        <v>11393.479999999932</v>
      </c>
      <c r="G563" s="3">
        <v>0</v>
      </c>
      <c r="H563" s="3">
        <f t="shared" si="37"/>
        <v>11393.479999999932</v>
      </c>
      <c r="I563" s="3"/>
      <c r="J563" s="3"/>
      <c r="K563" s="3"/>
    </row>
    <row r="564" spans="1:11">
      <c r="A564" s="3">
        <v>43108</v>
      </c>
      <c r="B564" s="3">
        <v>336.41</v>
      </c>
      <c r="C564" s="4">
        <f t="shared" si="34"/>
        <v>-2.6299999999999955</v>
      </c>
      <c r="D564" s="4">
        <f t="shared" si="35"/>
        <v>1.9599999999999795</v>
      </c>
      <c r="E564" s="3">
        <f t="shared" si="36"/>
        <v>19.830000000000041</v>
      </c>
      <c r="F564" s="3">
        <v>291.94999999993576</v>
      </c>
      <c r="G564" s="3">
        <v>11101.53</v>
      </c>
      <c r="H564" s="3">
        <f t="shared" si="37"/>
        <v>11393.479999999936</v>
      </c>
      <c r="I564" s="3"/>
      <c r="J564" s="3"/>
      <c r="K564" s="3"/>
    </row>
    <row r="565" spans="1:11">
      <c r="A565" s="3">
        <v>43109</v>
      </c>
      <c r="B565" s="3">
        <v>333.69</v>
      </c>
      <c r="C565" s="4">
        <f t="shared" si="34"/>
        <v>1.9599999999999795</v>
      </c>
      <c r="D565" s="4">
        <f t="shared" si="35"/>
        <v>19.830000000000041</v>
      </c>
      <c r="E565" s="3">
        <f t="shared" si="36"/>
        <v>-2.7200000000000273</v>
      </c>
      <c r="F565" s="3">
        <v>291.94999999993576</v>
      </c>
      <c r="G565" s="3">
        <v>11011.77</v>
      </c>
      <c r="H565" s="3">
        <f t="shared" si="37"/>
        <v>11303.719999999936</v>
      </c>
      <c r="I565" s="3"/>
      <c r="J565" s="3"/>
      <c r="K565" s="3"/>
    </row>
    <row r="566" spans="1:11">
      <c r="A566" s="3">
        <v>43110</v>
      </c>
      <c r="B566" s="3">
        <v>334.8</v>
      </c>
      <c r="C566" s="4">
        <f t="shared" si="34"/>
        <v>19.830000000000041</v>
      </c>
      <c r="D566" s="4">
        <f t="shared" si="35"/>
        <v>-2.7200000000000273</v>
      </c>
      <c r="E566" s="3">
        <f t="shared" si="36"/>
        <v>1.1100000000000136</v>
      </c>
      <c r="F566" s="3">
        <v>291.94999999993576</v>
      </c>
      <c r="G566" s="3">
        <v>11048.4</v>
      </c>
      <c r="H566" s="3">
        <f t="shared" si="37"/>
        <v>11340.349999999935</v>
      </c>
      <c r="I566" s="3"/>
      <c r="J566" s="3"/>
      <c r="K566" s="3"/>
    </row>
    <row r="567" spans="1:11">
      <c r="A567" s="3">
        <v>43111</v>
      </c>
      <c r="B567" s="3">
        <v>337.95</v>
      </c>
      <c r="C567" s="4">
        <f t="shared" si="34"/>
        <v>-2.7200000000000273</v>
      </c>
      <c r="D567" s="4">
        <f t="shared" si="35"/>
        <v>1.1100000000000136</v>
      </c>
      <c r="E567" s="3">
        <f t="shared" si="36"/>
        <v>3.1499999999999773</v>
      </c>
      <c r="F567" s="3">
        <v>291.94999999993576</v>
      </c>
      <c r="G567" s="3">
        <v>11152.35</v>
      </c>
      <c r="H567" s="3">
        <f t="shared" si="37"/>
        <v>11444.299999999936</v>
      </c>
      <c r="I567" s="3"/>
      <c r="J567" s="3"/>
      <c r="K567" s="3"/>
    </row>
    <row r="568" spans="1:11">
      <c r="A568" s="3">
        <v>43112</v>
      </c>
      <c r="B568" s="3">
        <v>336.22</v>
      </c>
      <c r="C568" s="4">
        <f t="shared" si="34"/>
        <v>1.1100000000000136</v>
      </c>
      <c r="D568" s="4">
        <f t="shared" si="35"/>
        <v>3.1499999999999773</v>
      </c>
      <c r="E568" s="3">
        <f t="shared" si="36"/>
        <v>-1.7299999999999613</v>
      </c>
      <c r="F568" s="3">
        <v>291.94999999993576</v>
      </c>
      <c r="G568" s="3">
        <v>11095.26</v>
      </c>
      <c r="H568" s="3">
        <f t="shared" si="37"/>
        <v>11387.209999999935</v>
      </c>
      <c r="I568" s="3"/>
      <c r="J568" s="3"/>
      <c r="K568" s="3"/>
    </row>
    <row r="569" spans="1:11">
      <c r="A569" s="3">
        <v>43116</v>
      </c>
      <c r="B569" s="3">
        <v>340.06</v>
      </c>
      <c r="C569" s="4">
        <f t="shared" si="34"/>
        <v>3.1499999999999773</v>
      </c>
      <c r="D569" s="4">
        <f t="shared" si="35"/>
        <v>-1.7299999999999613</v>
      </c>
      <c r="E569" s="3">
        <f t="shared" si="36"/>
        <v>3.839999999999975</v>
      </c>
      <c r="F569" s="3">
        <v>291.94999999993576</v>
      </c>
      <c r="G569" s="3">
        <v>11221.98</v>
      </c>
      <c r="H569" s="3">
        <f t="shared" si="37"/>
        <v>11513.929999999935</v>
      </c>
      <c r="I569" s="3"/>
      <c r="J569" s="3"/>
      <c r="K569" s="3"/>
    </row>
    <row r="570" spans="1:11">
      <c r="A570" s="3">
        <v>43117</v>
      </c>
      <c r="B570" s="3">
        <v>347.16</v>
      </c>
      <c r="C570" s="4">
        <f t="shared" si="34"/>
        <v>-1.7299999999999613</v>
      </c>
      <c r="D570" s="4">
        <f t="shared" si="35"/>
        <v>3.839999999999975</v>
      </c>
      <c r="E570" s="3">
        <f t="shared" si="36"/>
        <v>7.1000000000000227</v>
      </c>
      <c r="F570" s="3">
        <v>291.94999999993576</v>
      </c>
      <c r="G570" s="3">
        <v>11456.28</v>
      </c>
      <c r="H570" s="3">
        <f t="shared" si="37"/>
        <v>11748.229999999936</v>
      </c>
      <c r="I570" s="3"/>
      <c r="J570" s="3"/>
      <c r="K570" s="3"/>
    </row>
    <row r="571" spans="1:11">
      <c r="A571" s="3">
        <v>43118</v>
      </c>
      <c r="B571" s="3">
        <v>344.57</v>
      </c>
      <c r="C571" s="4">
        <f t="shared" si="34"/>
        <v>3.839999999999975</v>
      </c>
      <c r="D571" s="4">
        <f t="shared" si="35"/>
        <v>7.1000000000000227</v>
      </c>
      <c r="E571" s="3">
        <f t="shared" si="36"/>
        <v>-2.5900000000000318</v>
      </c>
      <c r="F571" s="3">
        <v>291.94999999993576</v>
      </c>
      <c r="G571" s="3">
        <v>11370.81</v>
      </c>
      <c r="H571" s="3">
        <f t="shared" si="37"/>
        <v>11662.759999999935</v>
      </c>
      <c r="I571" s="3"/>
      <c r="J571" s="3"/>
      <c r="K571" s="3"/>
    </row>
    <row r="572" spans="1:11">
      <c r="A572" s="3">
        <v>43119</v>
      </c>
      <c r="B572" s="3">
        <v>350.02</v>
      </c>
      <c r="C572" s="4">
        <f t="shared" si="34"/>
        <v>7.1000000000000227</v>
      </c>
      <c r="D572" s="4">
        <f t="shared" si="35"/>
        <v>-2.5900000000000318</v>
      </c>
      <c r="E572" s="3">
        <f t="shared" si="36"/>
        <v>5.4499999999999886</v>
      </c>
      <c r="F572" s="3">
        <v>291.94999999993576</v>
      </c>
      <c r="G572" s="3">
        <v>11550.66</v>
      </c>
      <c r="H572" s="3">
        <f t="shared" si="37"/>
        <v>11842.609999999935</v>
      </c>
      <c r="I572" s="3"/>
      <c r="J572" s="3"/>
      <c r="K572" s="3"/>
    </row>
    <row r="573" spans="1:11">
      <c r="A573" s="3">
        <v>43122</v>
      </c>
      <c r="B573" s="3">
        <v>351.56</v>
      </c>
      <c r="C573" s="4">
        <f t="shared" si="34"/>
        <v>-2.5900000000000318</v>
      </c>
      <c r="D573" s="4">
        <f t="shared" si="35"/>
        <v>5.4499999999999886</v>
      </c>
      <c r="E573" s="3">
        <f t="shared" si="36"/>
        <v>1.5400000000000205</v>
      </c>
      <c r="F573" s="3">
        <v>291.94999999993576</v>
      </c>
      <c r="G573" s="3">
        <v>11601.48</v>
      </c>
      <c r="H573" s="3">
        <f t="shared" si="37"/>
        <v>11893.429999999935</v>
      </c>
      <c r="I573" s="3"/>
      <c r="J573" s="3"/>
      <c r="K573" s="3"/>
    </row>
    <row r="574" spans="1:11">
      <c r="A574" s="3">
        <v>43123</v>
      </c>
      <c r="B574" s="3">
        <v>352.79</v>
      </c>
      <c r="C574" s="4">
        <f t="shared" si="34"/>
        <v>5.4499999999999886</v>
      </c>
      <c r="D574" s="4">
        <f t="shared" si="35"/>
        <v>1.5400000000000205</v>
      </c>
      <c r="E574" s="3">
        <f t="shared" si="36"/>
        <v>1.2300000000000182</v>
      </c>
      <c r="F574" s="3">
        <v>291.94999999993576</v>
      </c>
      <c r="G574" s="3">
        <v>11642.070000000002</v>
      </c>
      <c r="H574" s="3">
        <f t="shared" si="37"/>
        <v>11934.019999999937</v>
      </c>
      <c r="I574" s="3"/>
      <c r="J574" s="3"/>
      <c r="K574" s="3"/>
    </row>
    <row r="575" spans="1:11">
      <c r="A575" s="3">
        <v>43124</v>
      </c>
      <c r="B575" s="3">
        <v>345.89</v>
      </c>
      <c r="C575" s="4">
        <f t="shared" si="34"/>
        <v>1.5400000000000205</v>
      </c>
      <c r="D575" s="4">
        <f t="shared" si="35"/>
        <v>1.2300000000000182</v>
      </c>
      <c r="E575" s="3">
        <f t="shared" si="36"/>
        <v>-6.9000000000000341</v>
      </c>
      <c r="F575" s="3">
        <v>291.94999999993576</v>
      </c>
      <c r="G575" s="3">
        <v>11414.369999999999</v>
      </c>
      <c r="H575" s="3">
        <f t="shared" si="37"/>
        <v>11706.319999999934</v>
      </c>
      <c r="I575" s="3"/>
      <c r="J575" s="3"/>
      <c r="K575" s="3"/>
    </row>
    <row r="576" spans="1:11">
      <c r="A576" s="3">
        <v>43125</v>
      </c>
      <c r="B576" s="3">
        <v>337.64</v>
      </c>
      <c r="C576" s="4">
        <f t="shared" si="34"/>
        <v>1.2300000000000182</v>
      </c>
      <c r="D576" s="4">
        <f t="shared" si="35"/>
        <v>-6.9000000000000341</v>
      </c>
      <c r="E576" s="3">
        <f t="shared" si="36"/>
        <v>-8.25</v>
      </c>
      <c r="F576" s="3">
        <v>11434.069999999934</v>
      </c>
      <c r="G576" s="3">
        <v>0</v>
      </c>
      <c r="H576" s="3">
        <f t="shared" si="37"/>
        <v>11434.069999999934</v>
      </c>
      <c r="I576" s="3"/>
      <c r="J576" s="3"/>
      <c r="K576" s="3"/>
    </row>
    <row r="577" spans="1:11">
      <c r="A577" s="3">
        <v>43126</v>
      </c>
      <c r="B577" s="3">
        <v>342.85</v>
      </c>
      <c r="C577" s="4">
        <f t="shared" si="34"/>
        <v>-6.9000000000000341</v>
      </c>
      <c r="D577" s="4">
        <f t="shared" si="35"/>
        <v>-8.25</v>
      </c>
      <c r="E577" s="3">
        <f t="shared" si="36"/>
        <v>5.2100000000000364</v>
      </c>
      <c r="F577" s="3">
        <v>11434.069999999934</v>
      </c>
      <c r="G577" s="3">
        <v>0</v>
      </c>
      <c r="H577" s="3">
        <f t="shared" si="37"/>
        <v>11434.069999999934</v>
      </c>
      <c r="I577" s="3"/>
      <c r="J577" s="3"/>
      <c r="K577" s="3"/>
    </row>
    <row r="578" spans="1:11">
      <c r="A578" s="3">
        <v>43129</v>
      </c>
      <c r="B578" s="3">
        <v>349.53</v>
      </c>
      <c r="C578" s="4">
        <f t="shared" si="34"/>
        <v>-8.25</v>
      </c>
      <c r="D578" s="4">
        <f t="shared" si="35"/>
        <v>5.2100000000000364</v>
      </c>
      <c r="E578" s="3">
        <f t="shared" si="36"/>
        <v>6.67999999999995</v>
      </c>
      <c r="F578" s="3">
        <v>249.10999999993282</v>
      </c>
      <c r="G578" s="3">
        <v>11184.96</v>
      </c>
      <c r="H578" s="3">
        <f t="shared" si="37"/>
        <v>11434.069999999932</v>
      </c>
      <c r="I578" s="3"/>
      <c r="J578" s="3"/>
      <c r="K578" s="3"/>
    </row>
    <row r="579" spans="1:11">
      <c r="A579" s="3">
        <v>43130</v>
      </c>
      <c r="B579" s="3">
        <v>345.82</v>
      </c>
      <c r="C579" s="4">
        <f t="shared" si="34"/>
        <v>5.2100000000000364</v>
      </c>
      <c r="D579" s="4">
        <f t="shared" si="35"/>
        <v>6.67999999999995</v>
      </c>
      <c r="E579" s="3">
        <f t="shared" si="36"/>
        <v>-3.7099999999999795</v>
      </c>
      <c r="F579" s="3">
        <v>249.10999999993282</v>
      </c>
      <c r="G579" s="3">
        <v>11066.24</v>
      </c>
      <c r="H579" s="3">
        <f t="shared" si="37"/>
        <v>11315.349999999933</v>
      </c>
      <c r="I579" s="3"/>
      <c r="J579" s="3"/>
      <c r="K579" s="3"/>
    </row>
    <row r="580" spans="1:11">
      <c r="A580" s="3">
        <v>43131</v>
      </c>
      <c r="B580" s="3">
        <v>354.31</v>
      </c>
      <c r="C580" s="4">
        <f t="shared" si="34"/>
        <v>6.67999999999995</v>
      </c>
      <c r="D580" s="4">
        <f t="shared" si="35"/>
        <v>-3.7099999999999795</v>
      </c>
      <c r="E580" s="3">
        <f t="shared" si="36"/>
        <v>8.4900000000000091</v>
      </c>
      <c r="F580" s="3">
        <v>249.10999999993282</v>
      </c>
      <c r="G580" s="3">
        <v>11337.92</v>
      </c>
      <c r="H580" s="3">
        <f t="shared" si="37"/>
        <v>11587.029999999933</v>
      </c>
      <c r="I580" s="3"/>
      <c r="J580" s="3"/>
      <c r="K580" s="3"/>
    </row>
    <row r="581" spans="1:11">
      <c r="A581" s="3">
        <v>43132</v>
      </c>
      <c r="B581" s="3">
        <v>349.25</v>
      </c>
      <c r="C581" s="4">
        <f t="shared" si="34"/>
        <v>-3.7099999999999795</v>
      </c>
      <c r="D581" s="4">
        <f t="shared" si="35"/>
        <v>8.4900000000000091</v>
      </c>
      <c r="E581" s="3">
        <f t="shared" si="36"/>
        <v>-5.0600000000000023</v>
      </c>
      <c r="F581" s="3">
        <v>249.10999999993282</v>
      </c>
      <c r="G581" s="3">
        <v>11176</v>
      </c>
      <c r="H581" s="3">
        <f t="shared" si="37"/>
        <v>11425.109999999933</v>
      </c>
      <c r="I581" s="3"/>
      <c r="J581" s="3"/>
      <c r="K581" s="3"/>
    </row>
    <row r="582" spans="1:11">
      <c r="A582" s="3">
        <v>43133</v>
      </c>
      <c r="B582" s="3">
        <v>343.75</v>
      </c>
      <c r="C582" s="4">
        <f t="shared" si="34"/>
        <v>8.4900000000000091</v>
      </c>
      <c r="D582" s="4">
        <f t="shared" si="35"/>
        <v>-5.0600000000000023</v>
      </c>
      <c r="E582" s="3">
        <f t="shared" si="36"/>
        <v>-5.5</v>
      </c>
      <c r="F582" s="3">
        <v>11249.109999999933</v>
      </c>
      <c r="G582" s="3">
        <v>0</v>
      </c>
      <c r="H582" s="3">
        <f t="shared" si="37"/>
        <v>11249.109999999933</v>
      </c>
      <c r="I582" s="3"/>
      <c r="J582" s="3"/>
      <c r="K582" s="3"/>
    </row>
    <row r="583" spans="1:11">
      <c r="A583" s="3">
        <v>43136</v>
      </c>
      <c r="B583" s="3">
        <v>333.13</v>
      </c>
      <c r="C583" s="4">
        <f t="shared" si="34"/>
        <v>-5.0600000000000023</v>
      </c>
      <c r="D583" s="4">
        <f t="shared" si="35"/>
        <v>-5.5</v>
      </c>
      <c r="E583" s="3">
        <f t="shared" si="36"/>
        <v>-10.620000000000005</v>
      </c>
      <c r="F583" s="3">
        <v>11249.109999999933</v>
      </c>
      <c r="G583" s="3">
        <v>0</v>
      </c>
      <c r="H583" s="3">
        <f t="shared" si="37"/>
        <v>11249.109999999933</v>
      </c>
      <c r="I583" s="3"/>
      <c r="J583" s="3"/>
      <c r="K583" s="3"/>
    </row>
    <row r="584" spans="1:11">
      <c r="A584" s="3">
        <v>43137</v>
      </c>
      <c r="B584" s="3">
        <v>333.97</v>
      </c>
      <c r="C584" s="4">
        <f t="shared" si="34"/>
        <v>-5.5</v>
      </c>
      <c r="D584" s="4">
        <f t="shared" si="35"/>
        <v>-10.620000000000005</v>
      </c>
      <c r="E584" s="3">
        <f t="shared" si="36"/>
        <v>0.84000000000003183</v>
      </c>
      <c r="F584" s="3">
        <v>11249.109999999933</v>
      </c>
      <c r="G584" s="3">
        <v>0</v>
      </c>
      <c r="H584" s="3">
        <f t="shared" si="37"/>
        <v>11249.109999999933</v>
      </c>
      <c r="I584" s="3"/>
      <c r="J584" s="3"/>
      <c r="K584" s="3"/>
    </row>
    <row r="585" spans="1:11">
      <c r="A585" s="3">
        <v>43138</v>
      </c>
      <c r="B585" s="3">
        <v>345</v>
      </c>
      <c r="C585" s="4">
        <f t="shared" si="34"/>
        <v>-10.620000000000005</v>
      </c>
      <c r="D585" s="4">
        <f t="shared" si="35"/>
        <v>0.84000000000003183</v>
      </c>
      <c r="E585" s="3">
        <f t="shared" si="36"/>
        <v>11.029999999999973</v>
      </c>
      <c r="F585" s="3">
        <v>209.10999999993328</v>
      </c>
      <c r="G585" s="3">
        <v>11040</v>
      </c>
      <c r="H585" s="3">
        <f t="shared" si="37"/>
        <v>11249.109999999933</v>
      </c>
      <c r="I585" s="3"/>
      <c r="J585" s="3"/>
      <c r="K585" s="3"/>
    </row>
    <row r="586" spans="1:11">
      <c r="A586" s="3">
        <v>43139</v>
      </c>
      <c r="B586" s="3">
        <v>315.23</v>
      </c>
      <c r="C586" s="4">
        <f t="shared" si="34"/>
        <v>0.84000000000003183</v>
      </c>
      <c r="D586" s="4">
        <f t="shared" si="35"/>
        <v>11.029999999999973</v>
      </c>
      <c r="E586" s="3">
        <f t="shared" si="36"/>
        <v>-29.769999999999982</v>
      </c>
      <c r="F586" s="3">
        <v>209.10999999993328</v>
      </c>
      <c r="G586" s="3">
        <v>10087.36</v>
      </c>
      <c r="H586" s="3">
        <f t="shared" si="37"/>
        <v>10296.469999999934</v>
      </c>
      <c r="I586" s="3"/>
      <c r="J586" s="3"/>
      <c r="K586" s="3"/>
    </row>
    <row r="587" spans="1:11">
      <c r="A587" s="3">
        <v>43140</v>
      </c>
      <c r="B587" s="3">
        <v>310.42</v>
      </c>
      <c r="C587" s="4">
        <f t="shared" si="34"/>
        <v>11.029999999999973</v>
      </c>
      <c r="D587" s="4">
        <f t="shared" si="35"/>
        <v>-29.769999999999982</v>
      </c>
      <c r="E587" s="3">
        <f t="shared" si="36"/>
        <v>-4.8100000000000023</v>
      </c>
      <c r="F587" s="3">
        <v>10142.549999999934</v>
      </c>
      <c r="G587" s="3">
        <v>0</v>
      </c>
      <c r="H587" s="3">
        <f t="shared" si="37"/>
        <v>10142.549999999934</v>
      </c>
      <c r="I587" s="3"/>
      <c r="J587" s="3"/>
      <c r="K587" s="3"/>
    </row>
    <row r="588" spans="1:11">
      <c r="A588" s="3">
        <v>43143</v>
      </c>
      <c r="B588" s="3">
        <v>315.73</v>
      </c>
      <c r="C588" s="4">
        <f t="shared" si="34"/>
        <v>-29.769999999999982</v>
      </c>
      <c r="D588" s="4">
        <f t="shared" si="35"/>
        <v>-4.8100000000000023</v>
      </c>
      <c r="E588" s="3">
        <f t="shared" si="36"/>
        <v>5.3100000000000023</v>
      </c>
      <c r="F588" s="3">
        <v>10142.549999999934</v>
      </c>
      <c r="G588" s="3">
        <v>0</v>
      </c>
      <c r="H588" s="3">
        <f t="shared" si="37"/>
        <v>10142.549999999934</v>
      </c>
      <c r="I588" s="3"/>
      <c r="J588" s="3"/>
      <c r="K588" s="3"/>
    </row>
    <row r="589" spans="1:11">
      <c r="A589" s="3">
        <v>43144</v>
      </c>
      <c r="B589" s="3">
        <v>323.66000000000003</v>
      </c>
      <c r="C589" s="4">
        <f t="shared" ref="C589:C652" si="38">B587-B586</f>
        <v>-4.8100000000000023</v>
      </c>
      <c r="D589" s="4">
        <f t="shared" ref="D589:D652" si="39">B588-B587</f>
        <v>5.3100000000000023</v>
      </c>
      <c r="E589" s="3">
        <f t="shared" ref="E589:E652" si="40">B589-B588</f>
        <v>7.9300000000000068</v>
      </c>
      <c r="F589" s="3">
        <v>109.08999999993705</v>
      </c>
      <c r="G589" s="3">
        <v>10033.460000000001</v>
      </c>
      <c r="H589" s="3">
        <f t="shared" si="37"/>
        <v>10142.549999999937</v>
      </c>
      <c r="I589" s="3"/>
      <c r="J589" s="3"/>
      <c r="K589" s="3"/>
    </row>
    <row r="590" spans="1:11">
      <c r="A590" s="3">
        <v>43145</v>
      </c>
      <c r="B590" s="3">
        <v>322.31</v>
      </c>
      <c r="C590" s="4">
        <f t="shared" si="38"/>
        <v>5.3100000000000023</v>
      </c>
      <c r="D590" s="4">
        <f t="shared" si="39"/>
        <v>7.9300000000000068</v>
      </c>
      <c r="E590" s="3">
        <f t="shared" si="40"/>
        <v>-1.3500000000000227</v>
      </c>
      <c r="F590" s="3">
        <v>109.08999999993705</v>
      </c>
      <c r="G590" s="3">
        <v>9991.61</v>
      </c>
      <c r="H590" s="3">
        <f t="shared" si="37"/>
        <v>10100.699999999937</v>
      </c>
      <c r="I590" s="3"/>
      <c r="J590" s="3"/>
      <c r="K590" s="3"/>
    </row>
    <row r="591" spans="1:11">
      <c r="A591" s="3">
        <v>43146</v>
      </c>
      <c r="B591" s="3">
        <v>334.065</v>
      </c>
      <c r="C591" s="4">
        <f t="shared" si="38"/>
        <v>7.9300000000000068</v>
      </c>
      <c r="D591" s="4">
        <f t="shared" si="39"/>
        <v>-1.3500000000000227</v>
      </c>
      <c r="E591" s="3">
        <f t="shared" si="40"/>
        <v>11.754999999999995</v>
      </c>
      <c r="F591" s="3">
        <v>109.08999999993705</v>
      </c>
      <c r="G591" s="3">
        <v>10356.014999999999</v>
      </c>
      <c r="H591" s="3">
        <f t="shared" si="37"/>
        <v>10465.104999999936</v>
      </c>
      <c r="I591" s="3"/>
      <c r="J591" s="3"/>
      <c r="K591" s="3"/>
    </row>
    <row r="592" spans="1:11">
      <c r="A592" s="3">
        <v>43147</v>
      </c>
      <c r="B592" s="3">
        <v>335.49</v>
      </c>
      <c r="C592" s="4">
        <f t="shared" si="38"/>
        <v>-1.3500000000000227</v>
      </c>
      <c r="D592" s="4">
        <f t="shared" si="39"/>
        <v>11.754999999999995</v>
      </c>
      <c r="E592" s="3">
        <f t="shared" si="40"/>
        <v>1.4250000000000114</v>
      </c>
      <c r="F592" s="3">
        <v>109.08999999993705</v>
      </c>
      <c r="G592" s="3">
        <v>10400.19</v>
      </c>
      <c r="H592" s="3">
        <f t="shared" si="37"/>
        <v>10509.279999999937</v>
      </c>
      <c r="I592" s="3"/>
      <c r="J592" s="3"/>
      <c r="K592" s="3"/>
    </row>
    <row r="593" spans="1:11">
      <c r="A593" s="3">
        <v>43151</v>
      </c>
      <c r="B593" s="3">
        <v>334.77</v>
      </c>
      <c r="C593" s="4">
        <f t="shared" si="38"/>
        <v>11.754999999999995</v>
      </c>
      <c r="D593" s="4">
        <f t="shared" si="39"/>
        <v>1.4250000000000114</v>
      </c>
      <c r="E593" s="3">
        <f t="shared" si="40"/>
        <v>-0.72000000000002728</v>
      </c>
      <c r="F593" s="3">
        <v>109.08999999993705</v>
      </c>
      <c r="G593" s="3">
        <v>10377.869999999999</v>
      </c>
      <c r="H593" s="3">
        <f t="shared" si="37"/>
        <v>10486.959999999935</v>
      </c>
      <c r="I593" s="3"/>
      <c r="J593" s="3"/>
      <c r="K593" s="3"/>
    </row>
    <row r="594" spans="1:11">
      <c r="A594" s="3">
        <v>43152</v>
      </c>
      <c r="B594" s="3">
        <v>333.3</v>
      </c>
      <c r="C594" s="4">
        <f t="shared" si="38"/>
        <v>1.4250000000000114</v>
      </c>
      <c r="D594" s="4">
        <f t="shared" si="39"/>
        <v>-0.72000000000002728</v>
      </c>
      <c r="E594" s="3">
        <f t="shared" si="40"/>
        <v>-1.4699999999999704</v>
      </c>
      <c r="F594" s="3">
        <v>10441.389999999938</v>
      </c>
      <c r="G594" s="3">
        <v>0</v>
      </c>
      <c r="H594" s="3">
        <f t="shared" si="37"/>
        <v>10441.389999999938</v>
      </c>
      <c r="I594" s="3"/>
      <c r="J594" s="3"/>
      <c r="K594" s="3"/>
    </row>
    <row r="595" spans="1:11">
      <c r="A595" s="3">
        <v>43153</v>
      </c>
      <c r="B595" s="3">
        <v>346.17</v>
      </c>
      <c r="C595" s="4">
        <f t="shared" si="38"/>
        <v>-0.72000000000002728</v>
      </c>
      <c r="D595" s="4">
        <f t="shared" si="39"/>
        <v>-1.4699999999999704</v>
      </c>
      <c r="E595" s="3">
        <f t="shared" si="40"/>
        <v>12.870000000000005</v>
      </c>
      <c r="F595" s="3">
        <v>10441.389999999938</v>
      </c>
      <c r="G595" s="3">
        <v>0</v>
      </c>
      <c r="H595" s="3">
        <f t="shared" si="37"/>
        <v>10441.389999999938</v>
      </c>
      <c r="I595" s="3"/>
      <c r="J595" s="3"/>
      <c r="K595" s="3"/>
    </row>
    <row r="596" spans="1:11">
      <c r="A596" s="3">
        <v>43154</v>
      </c>
      <c r="B596" s="3">
        <v>352.05</v>
      </c>
      <c r="C596" s="4">
        <f t="shared" si="38"/>
        <v>-1.4699999999999704</v>
      </c>
      <c r="D596" s="4">
        <f t="shared" si="39"/>
        <v>12.870000000000005</v>
      </c>
      <c r="E596" s="3">
        <f t="shared" si="40"/>
        <v>5.8799999999999955</v>
      </c>
      <c r="F596" s="3">
        <v>231.93999999993906</v>
      </c>
      <c r="G596" s="3">
        <v>10209.450000000001</v>
      </c>
      <c r="H596" s="3">
        <f t="shared" si="37"/>
        <v>10441.389999999939</v>
      </c>
      <c r="I596" s="3"/>
      <c r="J596" s="3"/>
      <c r="K596" s="3"/>
    </row>
    <row r="597" spans="1:11">
      <c r="A597" s="3">
        <v>43157</v>
      </c>
      <c r="B597" s="3">
        <v>357.42</v>
      </c>
      <c r="C597" s="4">
        <f t="shared" si="38"/>
        <v>12.870000000000005</v>
      </c>
      <c r="D597" s="4">
        <f t="shared" si="39"/>
        <v>5.8799999999999955</v>
      </c>
      <c r="E597" s="3">
        <f t="shared" si="40"/>
        <v>5.3700000000000045</v>
      </c>
      <c r="F597" s="3">
        <v>231.93999999993906</v>
      </c>
      <c r="G597" s="3">
        <v>10365.18</v>
      </c>
      <c r="H597" s="3">
        <f t="shared" si="37"/>
        <v>10597.119999999939</v>
      </c>
      <c r="I597" s="3"/>
      <c r="J597" s="3"/>
      <c r="K597" s="3"/>
    </row>
    <row r="598" spans="1:11">
      <c r="A598" s="3">
        <v>43158</v>
      </c>
      <c r="B598" s="3">
        <v>350.99</v>
      </c>
      <c r="C598" s="4">
        <f t="shared" si="38"/>
        <v>5.8799999999999955</v>
      </c>
      <c r="D598" s="4">
        <f t="shared" si="39"/>
        <v>5.3700000000000045</v>
      </c>
      <c r="E598" s="3">
        <f t="shared" si="40"/>
        <v>-6.4300000000000068</v>
      </c>
      <c r="F598" s="3">
        <v>231.93999999993906</v>
      </c>
      <c r="G598" s="3">
        <v>10178.710000000001</v>
      </c>
      <c r="H598" s="3">
        <f t="shared" ref="H598:H661" si="41">G598+F598</f>
        <v>10410.64999999994</v>
      </c>
      <c r="I598" s="3"/>
      <c r="J598" s="3"/>
      <c r="K598" s="3"/>
    </row>
    <row r="599" spans="1:11">
      <c r="A599" s="3">
        <v>43159</v>
      </c>
      <c r="B599" s="3">
        <v>343.06</v>
      </c>
      <c r="C599" s="4">
        <f t="shared" si="38"/>
        <v>5.3700000000000045</v>
      </c>
      <c r="D599" s="4">
        <f t="shared" si="39"/>
        <v>-6.4300000000000068</v>
      </c>
      <c r="E599" s="3">
        <f t="shared" si="40"/>
        <v>-7.9300000000000068</v>
      </c>
      <c r="F599" s="3">
        <v>10180.679999999938</v>
      </c>
      <c r="G599" s="3">
        <v>0</v>
      </c>
      <c r="H599" s="3">
        <f t="shared" si="41"/>
        <v>10180.679999999938</v>
      </c>
      <c r="I599" s="3"/>
      <c r="J599" s="3"/>
      <c r="K599" s="3"/>
    </row>
    <row r="600" spans="1:11">
      <c r="A600" s="3">
        <v>43160</v>
      </c>
      <c r="B600" s="3">
        <v>330.93</v>
      </c>
      <c r="C600" s="4">
        <f t="shared" si="38"/>
        <v>-6.4300000000000068</v>
      </c>
      <c r="D600" s="4">
        <f t="shared" si="39"/>
        <v>-7.9300000000000068</v>
      </c>
      <c r="E600" s="3">
        <f t="shared" si="40"/>
        <v>-12.129999999999995</v>
      </c>
      <c r="F600" s="3">
        <v>10180.679999999938</v>
      </c>
      <c r="G600" s="3">
        <v>0</v>
      </c>
      <c r="H600" s="3">
        <f t="shared" si="41"/>
        <v>10180.679999999938</v>
      </c>
      <c r="I600" s="3"/>
      <c r="J600" s="3"/>
      <c r="K600" s="3"/>
    </row>
    <row r="601" spans="1:11">
      <c r="A601" s="3">
        <v>43161</v>
      </c>
      <c r="B601" s="3">
        <v>335.12</v>
      </c>
      <c r="C601" s="4">
        <f t="shared" si="38"/>
        <v>-7.9300000000000068</v>
      </c>
      <c r="D601" s="4">
        <f t="shared" si="39"/>
        <v>-12.129999999999995</v>
      </c>
      <c r="E601" s="3">
        <f t="shared" si="40"/>
        <v>4.1899999999999977</v>
      </c>
      <c r="F601" s="3">
        <v>10180.679999999938</v>
      </c>
      <c r="G601" s="3">
        <v>0</v>
      </c>
      <c r="H601" s="3">
        <f t="shared" si="41"/>
        <v>10180.679999999938</v>
      </c>
      <c r="I601" s="3"/>
      <c r="J601" s="3"/>
      <c r="K601" s="3"/>
    </row>
    <row r="602" spans="1:11">
      <c r="A602" s="3">
        <v>43164</v>
      </c>
      <c r="B602" s="3">
        <v>333.35</v>
      </c>
      <c r="C602" s="4">
        <f t="shared" si="38"/>
        <v>-12.129999999999995</v>
      </c>
      <c r="D602" s="4">
        <f t="shared" si="39"/>
        <v>4.1899999999999977</v>
      </c>
      <c r="E602" s="3">
        <f t="shared" si="40"/>
        <v>-1.7699999999999818</v>
      </c>
      <c r="F602" s="3">
        <v>10180.679999999938</v>
      </c>
      <c r="G602" s="3">
        <v>0</v>
      </c>
      <c r="H602" s="3">
        <f t="shared" si="41"/>
        <v>10180.679999999938</v>
      </c>
      <c r="I602" s="3"/>
      <c r="J602" s="3"/>
      <c r="K602" s="3"/>
    </row>
    <row r="603" spans="1:11">
      <c r="A603" s="3">
        <v>43165</v>
      </c>
      <c r="B603" s="3">
        <v>328.2</v>
      </c>
      <c r="C603" s="4">
        <f t="shared" si="38"/>
        <v>4.1899999999999977</v>
      </c>
      <c r="D603" s="4">
        <f t="shared" si="39"/>
        <v>-1.7699999999999818</v>
      </c>
      <c r="E603" s="3">
        <f t="shared" si="40"/>
        <v>-5.1500000000000341</v>
      </c>
      <c r="F603" s="3">
        <v>10180.679999999938</v>
      </c>
      <c r="G603" s="3">
        <v>0</v>
      </c>
      <c r="H603" s="3">
        <f t="shared" si="41"/>
        <v>10180.679999999938</v>
      </c>
      <c r="I603" s="3"/>
      <c r="J603" s="3"/>
      <c r="K603" s="3"/>
    </row>
    <row r="604" spans="1:11">
      <c r="A604" s="3">
        <v>43166</v>
      </c>
      <c r="B604" s="3">
        <v>332.3</v>
      </c>
      <c r="C604" s="4">
        <f t="shared" si="38"/>
        <v>-1.7699999999999818</v>
      </c>
      <c r="D604" s="4">
        <f t="shared" si="39"/>
        <v>-5.1500000000000341</v>
      </c>
      <c r="E604" s="3">
        <f t="shared" si="40"/>
        <v>4.1000000000000227</v>
      </c>
      <c r="F604" s="3">
        <v>10180.679999999938</v>
      </c>
      <c r="G604" s="3">
        <v>0</v>
      </c>
      <c r="H604" s="3">
        <f t="shared" si="41"/>
        <v>10180.679999999938</v>
      </c>
      <c r="I604" s="3"/>
      <c r="J604" s="3"/>
      <c r="K604" s="3"/>
    </row>
    <row r="605" spans="1:11">
      <c r="A605" s="3">
        <v>43167</v>
      </c>
      <c r="B605" s="3">
        <v>329.1</v>
      </c>
      <c r="C605" s="4">
        <f t="shared" si="38"/>
        <v>-5.1500000000000341</v>
      </c>
      <c r="D605" s="4">
        <f t="shared" si="39"/>
        <v>4.1000000000000227</v>
      </c>
      <c r="E605" s="3">
        <f t="shared" si="40"/>
        <v>-3.1999999999999886</v>
      </c>
      <c r="F605" s="3">
        <v>10180.679999999938</v>
      </c>
      <c r="G605" s="3">
        <v>0</v>
      </c>
      <c r="H605" s="3">
        <f t="shared" si="41"/>
        <v>10180.679999999938</v>
      </c>
      <c r="I605" s="3"/>
      <c r="J605" s="3"/>
      <c r="K605" s="3"/>
    </row>
    <row r="606" spans="1:11">
      <c r="A606" s="3">
        <v>43168</v>
      </c>
      <c r="B606" s="3">
        <v>327.17</v>
      </c>
      <c r="C606" s="4">
        <f t="shared" si="38"/>
        <v>4.1000000000000227</v>
      </c>
      <c r="D606" s="4">
        <f t="shared" si="39"/>
        <v>-3.1999999999999886</v>
      </c>
      <c r="E606" s="3">
        <f t="shared" si="40"/>
        <v>-1.9300000000000068</v>
      </c>
      <c r="F606" s="3">
        <v>10180.679999999938</v>
      </c>
      <c r="G606" s="3">
        <v>0</v>
      </c>
      <c r="H606" s="3">
        <f t="shared" si="41"/>
        <v>10180.679999999938</v>
      </c>
      <c r="I606" s="3"/>
      <c r="J606" s="3"/>
      <c r="K606" s="3"/>
    </row>
    <row r="607" spans="1:11">
      <c r="A607" s="3">
        <v>43171</v>
      </c>
      <c r="B607" s="3">
        <v>345.51</v>
      </c>
      <c r="C607" s="4">
        <f t="shared" si="38"/>
        <v>-3.1999999999999886</v>
      </c>
      <c r="D607" s="4">
        <f t="shared" si="39"/>
        <v>-1.9300000000000068</v>
      </c>
      <c r="E607" s="3">
        <f t="shared" si="40"/>
        <v>18.339999999999975</v>
      </c>
      <c r="F607" s="3">
        <v>10180.679999999938</v>
      </c>
      <c r="G607" s="3">
        <v>0</v>
      </c>
      <c r="H607" s="3">
        <f t="shared" si="41"/>
        <v>10180.679999999938</v>
      </c>
      <c r="I607" s="3"/>
      <c r="J607" s="3"/>
      <c r="K607" s="3"/>
    </row>
    <row r="608" spans="1:11">
      <c r="A608" s="3">
        <v>43172</v>
      </c>
      <c r="B608" s="3">
        <v>341.84</v>
      </c>
      <c r="C608" s="4">
        <f t="shared" si="38"/>
        <v>-1.9300000000000068</v>
      </c>
      <c r="D608" s="4">
        <f t="shared" si="39"/>
        <v>18.339999999999975</v>
      </c>
      <c r="E608" s="3">
        <f t="shared" si="40"/>
        <v>-3.6700000000000159</v>
      </c>
      <c r="F608" s="3">
        <v>10180.679999999938</v>
      </c>
      <c r="G608" s="3">
        <v>0</v>
      </c>
      <c r="H608" s="3">
        <f t="shared" si="41"/>
        <v>10180.679999999938</v>
      </c>
      <c r="I608" s="3"/>
      <c r="J608" s="3"/>
      <c r="K608" s="3"/>
    </row>
    <row r="609" spans="1:11">
      <c r="A609" s="3">
        <v>43173</v>
      </c>
      <c r="B609" s="3">
        <v>326.63</v>
      </c>
      <c r="C609" s="4">
        <f t="shared" si="38"/>
        <v>18.339999999999975</v>
      </c>
      <c r="D609" s="4">
        <f t="shared" si="39"/>
        <v>-3.6700000000000159</v>
      </c>
      <c r="E609" s="3">
        <f t="shared" si="40"/>
        <v>-15.20999999999998</v>
      </c>
      <c r="F609" s="3">
        <v>10180.679999999938</v>
      </c>
      <c r="G609" s="3">
        <v>0</v>
      </c>
      <c r="H609" s="3">
        <f t="shared" si="41"/>
        <v>10180.679999999938</v>
      </c>
      <c r="I609" s="3"/>
      <c r="J609" s="3"/>
      <c r="K609" s="3"/>
    </row>
    <row r="610" spans="1:11">
      <c r="A610" s="3">
        <v>43174</v>
      </c>
      <c r="B610" s="3">
        <v>325.60000000000002</v>
      </c>
      <c r="C610" s="4">
        <f t="shared" si="38"/>
        <v>-3.6700000000000159</v>
      </c>
      <c r="D610" s="4">
        <f t="shared" si="39"/>
        <v>-15.20999999999998</v>
      </c>
      <c r="E610" s="3">
        <f t="shared" si="40"/>
        <v>-1.0299999999999727</v>
      </c>
      <c r="F610" s="3">
        <v>10180.679999999938</v>
      </c>
      <c r="G610" s="3">
        <v>0</v>
      </c>
      <c r="H610" s="3">
        <f t="shared" si="41"/>
        <v>10180.679999999938</v>
      </c>
      <c r="I610" s="3"/>
      <c r="J610" s="3"/>
      <c r="K610" s="3"/>
    </row>
    <row r="611" spans="1:11">
      <c r="A611" s="3">
        <v>43175</v>
      </c>
      <c r="B611" s="3">
        <v>321.35000000000002</v>
      </c>
      <c r="C611" s="4">
        <f t="shared" si="38"/>
        <v>-15.20999999999998</v>
      </c>
      <c r="D611" s="4">
        <f t="shared" si="39"/>
        <v>-1.0299999999999727</v>
      </c>
      <c r="E611" s="3">
        <f t="shared" si="40"/>
        <v>-4.25</v>
      </c>
      <c r="F611" s="3">
        <v>10180.679999999938</v>
      </c>
      <c r="G611" s="3">
        <v>0</v>
      </c>
      <c r="H611" s="3">
        <f t="shared" si="41"/>
        <v>10180.679999999938</v>
      </c>
      <c r="I611" s="3"/>
      <c r="J611" s="3"/>
      <c r="K611" s="3"/>
    </row>
    <row r="612" spans="1:11">
      <c r="A612" s="3">
        <v>43178</v>
      </c>
      <c r="B612" s="3">
        <v>313.56</v>
      </c>
      <c r="C612" s="4">
        <f t="shared" si="38"/>
        <v>-1.0299999999999727</v>
      </c>
      <c r="D612" s="4">
        <f t="shared" si="39"/>
        <v>-4.25</v>
      </c>
      <c r="E612" s="3">
        <f t="shared" si="40"/>
        <v>-7.7900000000000205</v>
      </c>
      <c r="F612" s="3">
        <v>10180.679999999938</v>
      </c>
      <c r="G612" s="3">
        <v>0</v>
      </c>
      <c r="H612" s="3">
        <f t="shared" si="41"/>
        <v>10180.679999999938</v>
      </c>
      <c r="I612" s="3"/>
      <c r="J612" s="3"/>
      <c r="K612" s="3"/>
    </row>
    <row r="613" spans="1:11">
      <c r="A613" s="3">
        <v>43179</v>
      </c>
      <c r="B613" s="3">
        <v>310.55</v>
      </c>
      <c r="C613" s="4">
        <f t="shared" si="38"/>
        <v>-4.25</v>
      </c>
      <c r="D613" s="4">
        <f t="shared" si="39"/>
        <v>-7.7900000000000205</v>
      </c>
      <c r="E613" s="3">
        <f t="shared" si="40"/>
        <v>-3.0099999999999909</v>
      </c>
      <c r="F613" s="3">
        <v>10180.679999999938</v>
      </c>
      <c r="G613" s="3">
        <v>0</v>
      </c>
      <c r="H613" s="3">
        <f t="shared" si="41"/>
        <v>10180.679999999938</v>
      </c>
      <c r="I613" s="3"/>
      <c r="J613" s="3"/>
      <c r="K613" s="3"/>
    </row>
    <row r="614" spans="1:11">
      <c r="A614" s="3">
        <v>43180</v>
      </c>
      <c r="B614" s="3">
        <v>316.52999999999997</v>
      </c>
      <c r="C614" s="4">
        <f t="shared" si="38"/>
        <v>-7.7900000000000205</v>
      </c>
      <c r="D614" s="4">
        <f t="shared" si="39"/>
        <v>-3.0099999999999909</v>
      </c>
      <c r="E614" s="3">
        <f t="shared" si="40"/>
        <v>5.9799999999999613</v>
      </c>
      <c r="F614" s="3">
        <v>10180.679999999938</v>
      </c>
      <c r="G614" s="3">
        <v>0</v>
      </c>
      <c r="H614" s="3">
        <f t="shared" si="41"/>
        <v>10180.679999999938</v>
      </c>
      <c r="I614" s="3"/>
      <c r="J614" s="3"/>
      <c r="K614" s="3"/>
    </row>
    <row r="615" spans="1:11">
      <c r="A615" s="3">
        <v>43181</v>
      </c>
      <c r="B615" s="3">
        <v>309.10000000000002</v>
      </c>
      <c r="C615" s="4">
        <f t="shared" si="38"/>
        <v>-3.0099999999999909</v>
      </c>
      <c r="D615" s="4">
        <f t="shared" si="39"/>
        <v>5.9799999999999613</v>
      </c>
      <c r="E615" s="3">
        <f t="shared" si="40"/>
        <v>-7.42999999999995</v>
      </c>
      <c r="F615" s="3">
        <v>10180.679999999938</v>
      </c>
      <c r="G615" s="3">
        <v>0</v>
      </c>
      <c r="H615" s="3">
        <f t="shared" si="41"/>
        <v>10180.679999999938</v>
      </c>
      <c r="I615" s="3"/>
      <c r="J615" s="3"/>
      <c r="K615" s="3"/>
    </row>
    <row r="616" spans="1:11">
      <c r="A616" s="3">
        <v>43182</v>
      </c>
      <c r="B616" s="3">
        <v>301.54000000000002</v>
      </c>
      <c r="C616" s="4">
        <f t="shared" si="38"/>
        <v>5.9799999999999613</v>
      </c>
      <c r="D616" s="4">
        <f t="shared" si="39"/>
        <v>-7.42999999999995</v>
      </c>
      <c r="E616" s="3">
        <f t="shared" si="40"/>
        <v>-7.5600000000000023</v>
      </c>
      <c r="F616" s="3">
        <v>10180.679999999938</v>
      </c>
      <c r="G616" s="3">
        <v>0</v>
      </c>
      <c r="H616" s="3">
        <f t="shared" si="41"/>
        <v>10180.679999999938</v>
      </c>
      <c r="I616" s="3"/>
      <c r="J616" s="3"/>
      <c r="K616" s="3"/>
    </row>
    <row r="617" spans="1:11">
      <c r="A617" s="3">
        <v>43185</v>
      </c>
      <c r="B617" s="3">
        <v>304.18</v>
      </c>
      <c r="C617" s="4">
        <f t="shared" si="38"/>
        <v>-7.42999999999995</v>
      </c>
      <c r="D617" s="4">
        <f t="shared" si="39"/>
        <v>-7.5600000000000023</v>
      </c>
      <c r="E617" s="3">
        <f t="shared" si="40"/>
        <v>2.6399999999999864</v>
      </c>
      <c r="F617" s="3">
        <v>10180.679999999938</v>
      </c>
      <c r="G617" s="3">
        <v>0</v>
      </c>
      <c r="H617" s="3">
        <f t="shared" si="41"/>
        <v>10180.679999999938</v>
      </c>
      <c r="I617" s="3"/>
      <c r="J617" s="3"/>
      <c r="K617" s="3"/>
    </row>
    <row r="618" spans="1:11">
      <c r="A618" s="3">
        <v>43186</v>
      </c>
      <c r="B618" s="3">
        <v>279.18</v>
      </c>
      <c r="C618" s="4">
        <f t="shared" si="38"/>
        <v>-7.5600000000000023</v>
      </c>
      <c r="D618" s="4">
        <f t="shared" si="39"/>
        <v>2.6399999999999864</v>
      </c>
      <c r="E618" s="3">
        <f t="shared" si="40"/>
        <v>-25</v>
      </c>
      <c r="F618" s="3">
        <v>10180.679999999938</v>
      </c>
      <c r="G618" s="3">
        <v>0</v>
      </c>
      <c r="H618" s="3">
        <f t="shared" si="41"/>
        <v>10180.679999999938</v>
      </c>
      <c r="I618" s="3"/>
      <c r="J618" s="3"/>
      <c r="K618" s="3"/>
    </row>
    <row r="619" spans="1:11">
      <c r="A619" s="3">
        <v>43187</v>
      </c>
      <c r="B619" s="3">
        <v>257.77999999999997</v>
      </c>
      <c r="C619" s="4">
        <f t="shared" si="38"/>
        <v>2.6399999999999864</v>
      </c>
      <c r="D619" s="4">
        <f t="shared" si="39"/>
        <v>-25</v>
      </c>
      <c r="E619" s="3">
        <f t="shared" si="40"/>
        <v>-21.400000000000034</v>
      </c>
      <c r="F619" s="3">
        <v>10180.679999999938</v>
      </c>
      <c r="G619" s="3">
        <v>0</v>
      </c>
      <c r="H619" s="3">
        <f t="shared" si="41"/>
        <v>10180.679999999938</v>
      </c>
      <c r="I619" s="3"/>
      <c r="J619" s="3"/>
      <c r="K619" s="3"/>
    </row>
    <row r="620" spans="1:11">
      <c r="A620" s="3">
        <v>43188</v>
      </c>
      <c r="B620" s="3">
        <v>266.13</v>
      </c>
      <c r="C620" s="4">
        <f t="shared" si="38"/>
        <v>-25</v>
      </c>
      <c r="D620" s="4">
        <f t="shared" si="39"/>
        <v>-21.400000000000034</v>
      </c>
      <c r="E620" s="3">
        <f t="shared" si="40"/>
        <v>8.3500000000000227</v>
      </c>
      <c r="F620" s="3">
        <v>10180.679999999938</v>
      </c>
      <c r="G620" s="3">
        <v>0</v>
      </c>
      <c r="H620" s="3">
        <f t="shared" si="41"/>
        <v>10180.679999999938</v>
      </c>
      <c r="I620" s="3"/>
      <c r="J620" s="3"/>
      <c r="K620" s="3"/>
    </row>
    <row r="621" spans="1:11">
      <c r="A621" s="3">
        <v>43192</v>
      </c>
      <c r="B621" s="3">
        <v>252.48</v>
      </c>
      <c r="C621" s="4">
        <f t="shared" si="38"/>
        <v>-21.400000000000034</v>
      </c>
      <c r="D621" s="4">
        <f t="shared" si="39"/>
        <v>8.3500000000000227</v>
      </c>
      <c r="E621" s="3">
        <f t="shared" si="40"/>
        <v>-13.650000000000006</v>
      </c>
      <c r="F621" s="3">
        <v>10180.679999999938</v>
      </c>
      <c r="G621" s="3">
        <v>0</v>
      </c>
      <c r="H621" s="3">
        <f t="shared" si="41"/>
        <v>10180.679999999938</v>
      </c>
      <c r="I621" s="3"/>
      <c r="J621" s="3"/>
      <c r="K621" s="3"/>
    </row>
    <row r="622" spans="1:11">
      <c r="A622" s="3">
        <v>43193</v>
      </c>
      <c r="B622" s="3">
        <v>267.52999999999997</v>
      </c>
      <c r="C622" s="4">
        <f t="shared" si="38"/>
        <v>8.3500000000000227</v>
      </c>
      <c r="D622" s="4">
        <f t="shared" si="39"/>
        <v>-13.650000000000006</v>
      </c>
      <c r="E622" s="3">
        <f t="shared" si="40"/>
        <v>15.049999999999983</v>
      </c>
      <c r="F622" s="3">
        <v>10180.679999999938</v>
      </c>
      <c r="G622" s="3">
        <v>0</v>
      </c>
      <c r="H622" s="3">
        <f t="shared" si="41"/>
        <v>10180.679999999938</v>
      </c>
      <c r="I622" s="3"/>
      <c r="J622" s="3"/>
      <c r="K622" s="3"/>
    </row>
    <row r="623" spans="1:11">
      <c r="A623" s="3">
        <v>43194</v>
      </c>
      <c r="B623" s="3">
        <v>286.94</v>
      </c>
      <c r="C623" s="4">
        <f t="shared" si="38"/>
        <v>-13.650000000000006</v>
      </c>
      <c r="D623" s="4">
        <f t="shared" si="39"/>
        <v>15.049999999999983</v>
      </c>
      <c r="E623" s="3">
        <f t="shared" si="40"/>
        <v>19.410000000000025</v>
      </c>
      <c r="F623" s="3">
        <v>137.77999999994074</v>
      </c>
      <c r="G623" s="3">
        <v>10042.9</v>
      </c>
      <c r="H623" s="3">
        <f t="shared" si="41"/>
        <v>10180.67999999994</v>
      </c>
      <c r="I623" s="3"/>
      <c r="J623" s="3"/>
      <c r="K623" s="3"/>
    </row>
    <row r="624" spans="1:11">
      <c r="A624" s="3">
        <v>43195</v>
      </c>
      <c r="B624" s="3">
        <v>305.72000000000003</v>
      </c>
      <c r="C624" s="4">
        <f t="shared" si="38"/>
        <v>15.049999999999983</v>
      </c>
      <c r="D624" s="4">
        <f t="shared" si="39"/>
        <v>19.410000000000025</v>
      </c>
      <c r="E624" s="3">
        <f t="shared" si="40"/>
        <v>18.78000000000003</v>
      </c>
      <c r="F624" s="3">
        <v>137.77999999994074</v>
      </c>
      <c r="G624" s="3">
        <v>10700.2</v>
      </c>
      <c r="H624" s="3">
        <f t="shared" si="41"/>
        <v>10837.979999999941</v>
      </c>
      <c r="I624" s="3"/>
      <c r="J624" s="3"/>
      <c r="K624" s="3"/>
    </row>
    <row r="625" spans="1:11">
      <c r="A625" s="3">
        <v>43196</v>
      </c>
      <c r="B625" s="3">
        <v>299.3</v>
      </c>
      <c r="C625" s="4">
        <f t="shared" si="38"/>
        <v>19.410000000000025</v>
      </c>
      <c r="D625" s="4">
        <f t="shared" si="39"/>
        <v>18.78000000000003</v>
      </c>
      <c r="E625" s="3">
        <f t="shared" si="40"/>
        <v>-6.4200000000000159</v>
      </c>
      <c r="F625" s="3">
        <v>137.77999999994074</v>
      </c>
      <c r="G625" s="3">
        <v>10475.5</v>
      </c>
      <c r="H625" s="3">
        <f t="shared" si="41"/>
        <v>10613.279999999941</v>
      </c>
      <c r="I625" s="3"/>
      <c r="J625" s="3"/>
      <c r="K625" s="3"/>
    </row>
    <row r="626" spans="1:11">
      <c r="A626" s="3">
        <v>43199</v>
      </c>
      <c r="B626" s="3">
        <v>289.66000000000003</v>
      </c>
      <c r="C626" s="4">
        <f t="shared" si="38"/>
        <v>18.78000000000003</v>
      </c>
      <c r="D626" s="4">
        <f t="shared" si="39"/>
        <v>-6.4200000000000159</v>
      </c>
      <c r="E626" s="3">
        <f t="shared" si="40"/>
        <v>-9.6399999999999864</v>
      </c>
      <c r="F626" s="3">
        <v>10275.879999999941</v>
      </c>
      <c r="G626" s="3">
        <v>0</v>
      </c>
      <c r="H626" s="3">
        <f t="shared" si="41"/>
        <v>10275.879999999941</v>
      </c>
      <c r="I626" s="3"/>
      <c r="J626" s="3"/>
      <c r="K626" s="3"/>
    </row>
    <row r="627" spans="1:11">
      <c r="A627" s="3">
        <v>43200</v>
      </c>
      <c r="B627" s="3">
        <v>304.7</v>
      </c>
      <c r="C627" s="4">
        <f t="shared" si="38"/>
        <v>-6.4200000000000159</v>
      </c>
      <c r="D627" s="4">
        <f t="shared" si="39"/>
        <v>-9.6399999999999864</v>
      </c>
      <c r="E627" s="3">
        <f t="shared" si="40"/>
        <v>15.039999999999964</v>
      </c>
      <c r="F627" s="3">
        <v>10275.879999999941</v>
      </c>
      <c r="G627" s="3">
        <v>0</v>
      </c>
      <c r="H627" s="3">
        <f t="shared" si="41"/>
        <v>10275.879999999941</v>
      </c>
      <c r="I627" s="3"/>
      <c r="J627" s="3"/>
      <c r="K627" s="3"/>
    </row>
    <row r="628" spans="1:11">
      <c r="A628" s="3">
        <v>43201</v>
      </c>
      <c r="B628" s="3">
        <v>300.93</v>
      </c>
      <c r="C628" s="4">
        <f t="shared" si="38"/>
        <v>-9.6399999999999864</v>
      </c>
      <c r="D628" s="4">
        <f t="shared" si="39"/>
        <v>15.039999999999964</v>
      </c>
      <c r="E628" s="3">
        <f t="shared" si="40"/>
        <v>-3.7699999999999818</v>
      </c>
      <c r="F628" s="3">
        <v>10275.879999999941</v>
      </c>
      <c r="G628" s="3">
        <v>0</v>
      </c>
      <c r="H628" s="3">
        <f t="shared" si="41"/>
        <v>10275.879999999941</v>
      </c>
      <c r="I628" s="3"/>
      <c r="J628" s="3"/>
      <c r="K628" s="3"/>
    </row>
    <row r="629" spans="1:11">
      <c r="A629" s="3">
        <v>43202</v>
      </c>
      <c r="B629" s="3">
        <v>294.08</v>
      </c>
      <c r="C629" s="4">
        <f t="shared" si="38"/>
        <v>15.039999999999964</v>
      </c>
      <c r="D629" s="4">
        <f t="shared" si="39"/>
        <v>-3.7699999999999818</v>
      </c>
      <c r="E629" s="3">
        <f t="shared" si="40"/>
        <v>-6.8500000000000227</v>
      </c>
      <c r="F629" s="3">
        <v>10275.879999999941</v>
      </c>
      <c r="G629" s="3">
        <v>0</v>
      </c>
      <c r="H629" s="3">
        <f t="shared" si="41"/>
        <v>10275.879999999941</v>
      </c>
      <c r="I629" s="3"/>
      <c r="J629" s="3"/>
      <c r="K629" s="3"/>
    </row>
    <row r="630" spans="1:11">
      <c r="A630" s="3">
        <v>43203</v>
      </c>
      <c r="B630" s="3">
        <v>300.33999999999997</v>
      </c>
      <c r="C630" s="4">
        <f t="shared" si="38"/>
        <v>-3.7699999999999818</v>
      </c>
      <c r="D630" s="4">
        <f t="shared" si="39"/>
        <v>-6.8500000000000227</v>
      </c>
      <c r="E630" s="3">
        <f t="shared" si="40"/>
        <v>6.2599999999999909</v>
      </c>
      <c r="F630" s="3">
        <v>10275.879999999941</v>
      </c>
      <c r="G630" s="3">
        <v>0</v>
      </c>
      <c r="H630" s="3">
        <f t="shared" si="41"/>
        <v>10275.879999999941</v>
      </c>
      <c r="I630" s="3"/>
      <c r="J630" s="3"/>
      <c r="K630" s="3"/>
    </row>
    <row r="631" spans="1:11">
      <c r="A631" s="3">
        <v>43206</v>
      </c>
      <c r="B631" s="3">
        <v>291.20999999999998</v>
      </c>
      <c r="C631" s="4">
        <f t="shared" si="38"/>
        <v>-6.8500000000000227</v>
      </c>
      <c r="D631" s="4">
        <f t="shared" si="39"/>
        <v>6.2599999999999909</v>
      </c>
      <c r="E631" s="3">
        <f t="shared" si="40"/>
        <v>-9.1299999999999955</v>
      </c>
      <c r="F631" s="3">
        <v>10275.879999999941</v>
      </c>
      <c r="G631" s="3">
        <v>0</v>
      </c>
      <c r="H631" s="3">
        <f t="shared" si="41"/>
        <v>10275.879999999941</v>
      </c>
      <c r="I631" s="3"/>
      <c r="J631" s="3"/>
      <c r="K631" s="3"/>
    </row>
    <row r="632" spans="1:11">
      <c r="A632" s="3">
        <v>43207</v>
      </c>
      <c r="B632" s="3">
        <v>287.69</v>
      </c>
      <c r="C632" s="4">
        <f t="shared" si="38"/>
        <v>6.2599999999999909</v>
      </c>
      <c r="D632" s="4">
        <f t="shared" si="39"/>
        <v>-9.1299999999999955</v>
      </c>
      <c r="E632" s="3">
        <f t="shared" si="40"/>
        <v>-3.5199999999999818</v>
      </c>
      <c r="F632" s="3">
        <v>10275.879999999941</v>
      </c>
      <c r="G632" s="3">
        <v>0</v>
      </c>
      <c r="H632" s="3">
        <f t="shared" si="41"/>
        <v>10275.879999999941</v>
      </c>
      <c r="I632" s="3"/>
      <c r="J632" s="3"/>
      <c r="K632" s="3"/>
    </row>
    <row r="633" spans="1:11">
      <c r="A633" s="3">
        <v>43208</v>
      </c>
      <c r="B633" s="3">
        <v>293.35000000000002</v>
      </c>
      <c r="C633" s="4">
        <f t="shared" si="38"/>
        <v>-9.1299999999999955</v>
      </c>
      <c r="D633" s="4">
        <f t="shared" si="39"/>
        <v>-3.5199999999999818</v>
      </c>
      <c r="E633" s="3">
        <f t="shared" si="40"/>
        <v>5.660000000000025</v>
      </c>
      <c r="F633" s="3">
        <v>10275.879999999941</v>
      </c>
      <c r="G633" s="3">
        <v>0</v>
      </c>
      <c r="H633" s="3">
        <f t="shared" si="41"/>
        <v>10275.879999999941</v>
      </c>
      <c r="I633" s="3"/>
      <c r="J633" s="3"/>
      <c r="K633" s="3"/>
    </row>
    <row r="634" spans="1:11">
      <c r="A634" s="3">
        <v>43209</v>
      </c>
      <c r="B634" s="3">
        <v>300.08</v>
      </c>
      <c r="C634" s="4">
        <f t="shared" si="38"/>
        <v>-3.5199999999999818</v>
      </c>
      <c r="D634" s="4">
        <f t="shared" si="39"/>
        <v>5.660000000000025</v>
      </c>
      <c r="E634" s="3">
        <f t="shared" si="40"/>
        <v>6.7299999999999613</v>
      </c>
      <c r="F634" s="3">
        <v>73.159999999943352</v>
      </c>
      <c r="G634" s="3">
        <v>10202.719999999999</v>
      </c>
      <c r="H634" s="3">
        <f t="shared" si="41"/>
        <v>10275.879999999943</v>
      </c>
      <c r="I634" s="3"/>
      <c r="J634" s="3"/>
      <c r="K634" s="3"/>
    </row>
    <row r="635" spans="1:11">
      <c r="A635" s="3">
        <v>43210</v>
      </c>
      <c r="B635" s="3">
        <v>290.24</v>
      </c>
      <c r="C635" s="4">
        <f t="shared" si="38"/>
        <v>5.660000000000025</v>
      </c>
      <c r="D635" s="4">
        <f t="shared" si="39"/>
        <v>6.7299999999999613</v>
      </c>
      <c r="E635" s="3">
        <f t="shared" si="40"/>
        <v>-9.839999999999975</v>
      </c>
      <c r="F635" s="3">
        <v>73.159999999943352</v>
      </c>
      <c r="G635" s="3">
        <v>9868.16</v>
      </c>
      <c r="H635" s="3">
        <f t="shared" si="41"/>
        <v>9941.3199999999433</v>
      </c>
      <c r="I635" s="3"/>
      <c r="J635" s="3"/>
      <c r="K635" s="3"/>
    </row>
    <row r="636" spans="1:11">
      <c r="A636" s="3">
        <v>43213</v>
      </c>
      <c r="B636" s="3">
        <v>283.37</v>
      </c>
      <c r="C636" s="4">
        <f t="shared" si="38"/>
        <v>6.7299999999999613</v>
      </c>
      <c r="D636" s="4">
        <f t="shared" si="39"/>
        <v>-9.839999999999975</v>
      </c>
      <c r="E636" s="3">
        <f t="shared" si="40"/>
        <v>-6.8700000000000045</v>
      </c>
      <c r="F636" s="3">
        <v>9707.7399999999434</v>
      </c>
      <c r="G636" s="3">
        <v>0</v>
      </c>
      <c r="H636" s="3">
        <f t="shared" si="41"/>
        <v>9707.7399999999434</v>
      </c>
      <c r="I636" s="3"/>
      <c r="J636" s="3"/>
      <c r="K636" s="3"/>
    </row>
    <row r="637" spans="1:11">
      <c r="A637" s="3">
        <v>43214</v>
      </c>
      <c r="B637" s="3">
        <v>283.45999999999998</v>
      </c>
      <c r="C637" s="4">
        <f t="shared" si="38"/>
        <v>-9.839999999999975</v>
      </c>
      <c r="D637" s="4">
        <f t="shared" si="39"/>
        <v>-6.8700000000000045</v>
      </c>
      <c r="E637" s="3">
        <f t="shared" si="40"/>
        <v>8.9999999999974989E-2</v>
      </c>
      <c r="F637" s="3">
        <v>9707.7399999999434</v>
      </c>
      <c r="G637" s="3">
        <v>0</v>
      </c>
      <c r="H637" s="3">
        <f t="shared" si="41"/>
        <v>9707.7399999999434</v>
      </c>
      <c r="I637" s="3"/>
      <c r="J637" s="3"/>
      <c r="K637" s="3"/>
    </row>
    <row r="638" spans="1:11">
      <c r="A638" s="3">
        <v>43215</v>
      </c>
      <c r="B638" s="3">
        <v>280.69</v>
      </c>
      <c r="C638" s="4">
        <f t="shared" si="38"/>
        <v>-6.8700000000000045</v>
      </c>
      <c r="D638" s="4">
        <f t="shared" si="39"/>
        <v>8.9999999999974989E-2</v>
      </c>
      <c r="E638" s="3">
        <f t="shared" si="40"/>
        <v>-2.7699999999999818</v>
      </c>
      <c r="F638" s="3">
        <v>9707.7399999999434</v>
      </c>
      <c r="G638" s="3">
        <v>0</v>
      </c>
      <c r="H638" s="3">
        <f t="shared" si="41"/>
        <v>9707.7399999999434</v>
      </c>
      <c r="I638" s="3"/>
      <c r="J638" s="3"/>
      <c r="K638" s="3"/>
    </row>
    <row r="639" spans="1:11">
      <c r="A639" s="3">
        <v>43216</v>
      </c>
      <c r="B639" s="3">
        <v>285.48</v>
      </c>
      <c r="C639" s="4">
        <f t="shared" si="38"/>
        <v>8.9999999999974989E-2</v>
      </c>
      <c r="D639" s="4">
        <f t="shared" si="39"/>
        <v>-2.7699999999999818</v>
      </c>
      <c r="E639" s="3">
        <f t="shared" si="40"/>
        <v>4.7900000000000205</v>
      </c>
      <c r="F639" s="3">
        <v>9707.7399999999434</v>
      </c>
      <c r="G639" s="3">
        <v>0</v>
      </c>
      <c r="H639" s="3">
        <f t="shared" si="41"/>
        <v>9707.7399999999434</v>
      </c>
      <c r="I639" s="3"/>
      <c r="J639" s="3"/>
      <c r="K639" s="3"/>
    </row>
    <row r="640" spans="1:11">
      <c r="A640" s="3">
        <v>43217</v>
      </c>
      <c r="B640" s="3">
        <v>294.07499999999999</v>
      </c>
      <c r="C640" s="4">
        <f t="shared" si="38"/>
        <v>-2.7699999999999818</v>
      </c>
      <c r="D640" s="4">
        <f t="shared" si="39"/>
        <v>4.7900000000000205</v>
      </c>
      <c r="E640" s="3">
        <f t="shared" si="40"/>
        <v>8.5949999999999704</v>
      </c>
      <c r="F640" s="3">
        <v>3.2649999999433703</v>
      </c>
      <c r="G640" s="3">
        <v>9704.4750000000004</v>
      </c>
      <c r="H640" s="3">
        <f t="shared" si="41"/>
        <v>9707.7399999999434</v>
      </c>
      <c r="I640" s="3"/>
      <c r="J640" s="3"/>
      <c r="K640" s="3"/>
    </row>
    <row r="641" spans="1:11">
      <c r="A641" s="3">
        <v>43220</v>
      </c>
      <c r="B641" s="3">
        <v>293.89999999999998</v>
      </c>
      <c r="C641" s="4">
        <f t="shared" si="38"/>
        <v>4.7900000000000205</v>
      </c>
      <c r="D641" s="4">
        <f t="shared" si="39"/>
        <v>8.5949999999999704</v>
      </c>
      <c r="E641" s="3">
        <f t="shared" si="40"/>
        <v>-0.17500000000001137</v>
      </c>
      <c r="F641" s="3">
        <v>3.2649999999433703</v>
      </c>
      <c r="G641" s="3">
        <v>9698.6999999999989</v>
      </c>
      <c r="H641" s="3">
        <f t="shared" si="41"/>
        <v>9701.9649999999419</v>
      </c>
      <c r="I641" s="3"/>
      <c r="J641" s="3"/>
      <c r="K641" s="3"/>
    </row>
    <row r="642" spans="1:11">
      <c r="A642" s="3">
        <v>43221</v>
      </c>
      <c r="B642" s="3">
        <v>299.92</v>
      </c>
      <c r="C642" s="4">
        <f t="shared" si="38"/>
        <v>8.5949999999999704</v>
      </c>
      <c r="D642" s="4">
        <f t="shared" si="39"/>
        <v>-0.17500000000001137</v>
      </c>
      <c r="E642" s="3">
        <f t="shared" si="40"/>
        <v>6.0200000000000387</v>
      </c>
      <c r="F642" s="3">
        <v>3.2649999999433703</v>
      </c>
      <c r="G642" s="3">
        <v>9897.36</v>
      </c>
      <c r="H642" s="3">
        <f t="shared" si="41"/>
        <v>9900.6249999999436</v>
      </c>
      <c r="I642" s="3"/>
      <c r="J642" s="3"/>
      <c r="K642" s="3"/>
    </row>
    <row r="643" spans="1:11">
      <c r="A643" s="3">
        <v>43222</v>
      </c>
      <c r="B643" s="3">
        <v>301.14999999999998</v>
      </c>
      <c r="C643" s="4">
        <f t="shared" si="38"/>
        <v>-0.17500000000001137</v>
      </c>
      <c r="D643" s="4">
        <f t="shared" si="39"/>
        <v>6.0200000000000387</v>
      </c>
      <c r="E643" s="3">
        <f t="shared" si="40"/>
        <v>1.2299999999999613</v>
      </c>
      <c r="F643" s="3">
        <v>3.2649999999433703</v>
      </c>
      <c r="G643" s="3">
        <v>9937.9499999999989</v>
      </c>
      <c r="H643" s="3">
        <f t="shared" si="41"/>
        <v>9941.2149999999419</v>
      </c>
      <c r="I643" s="3"/>
      <c r="J643" s="3"/>
      <c r="K643" s="3"/>
    </row>
    <row r="644" spans="1:11">
      <c r="A644" s="3">
        <v>43223</v>
      </c>
      <c r="B644" s="3">
        <v>284.45</v>
      </c>
      <c r="C644" s="4">
        <f t="shared" si="38"/>
        <v>6.0200000000000387</v>
      </c>
      <c r="D644" s="4">
        <f t="shared" si="39"/>
        <v>1.2299999999999613</v>
      </c>
      <c r="E644" s="3">
        <f t="shared" si="40"/>
        <v>-16.699999999999989</v>
      </c>
      <c r="F644" s="3">
        <v>3.2649999999433703</v>
      </c>
      <c r="G644" s="3">
        <v>9386.85</v>
      </c>
      <c r="H644" s="3">
        <f t="shared" si="41"/>
        <v>9390.1149999999434</v>
      </c>
      <c r="I644" s="3"/>
      <c r="J644" s="3"/>
      <c r="K644" s="3"/>
    </row>
    <row r="645" spans="1:11">
      <c r="A645" s="3">
        <v>43224</v>
      </c>
      <c r="B645" s="3">
        <v>294.08999999999997</v>
      </c>
      <c r="C645" s="4">
        <f t="shared" si="38"/>
        <v>1.2299999999999613</v>
      </c>
      <c r="D645" s="4">
        <f t="shared" si="39"/>
        <v>-16.699999999999989</v>
      </c>
      <c r="E645" s="3">
        <f t="shared" si="40"/>
        <v>9.6399999999999864</v>
      </c>
      <c r="F645" s="3">
        <v>3.2649999999433703</v>
      </c>
      <c r="G645" s="3">
        <v>9704.9699999999993</v>
      </c>
      <c r="H645" s="3">
        <f t="shared" si="41"/>
        <v>9708.2349999999424</v>
      </c>
      <c r="I645" s="3"/>
      <c r="J645" s="3"/>
      <c r="K645" s="3"/>
    </row>
    <row r="646" spans="1:11">
      <c r="A646" s="3">
        <v>43227</v>
      </c>
      <c r="B646" s="3">
        <v>302.77</v>
      </c>
      <c r="C646" s="4">
        <f t="shared" si="38"/>
        <v>-16.699999999999989</v>
      </c>
      <c r="D646" s="4">
        <f t="shared" si="39"/>
        <v>9.6399999999999864</v>
      </c>
      <c r="E646" s="3">
        <f t="shared" si="40"/>
        <v>8.6800000000000068</v>
      </c>
      <c r="F646" s="3">
        <v>3.2649999999433703</v>
      </c>
      <c r="G646" s="3">
        <v>9991.41</v>
      </c>
      <c r="H646" s="3">
        <f t="shared" si="41"/>
        <v>9994.6749999999429</v>
      </c>
      <c r="I646" s="3"/>
      <c r="J646" s="3"/>
      <c r="K646" s="3"/>
    </row>
    <row r="647" spans="1:11">
      <c r="A647" s="3">
        <v>43228</v>
      </c>
      <c r="B647" s="3">
        <v>301.97000000000003</v>
      </c>
      <c r="C647" s="4">
        <f t="shared" si="38"/>
        <v>9.6399999999999864</v>
      </c>
      <c r="D647" s="4">
        <f t="shared" si="39"/>
        <v>8.6800000000000068</v>
      </c>
      <c r="E647" s="3">
        <f t="shared" si="40"/>
        <v>-0.79999999999995453</v>
      </c>
      <c r="F647" s="3">
        <v>3.2649999999433703</v>
      </c>
      <c r="G647" s="3">
        <v>9965.01</v>
      </c>
      <c r="H647" s="3">
        <f t="shared" si="41"/>
        <v>9968.2749999999432</v>
      </c>
      <c r="I647" s="3"/>
      <c r="J647" s="3"/>
      <c r="K647" s="3"/>
    </row>
    <row r="648" spans="1:11">
      <c r="A648" s="3">
        <v>43229</v>
      </c>
      <c r="B648" s="3">
        <v>306.85000000000002</v>
      </c>
      <c r="C648" s="4">
        <f t="shared" si="38"/>
        <v>8.6800000000000068</v>
      </c>
      <c r="D648" s="4">
        <f t="shared" si="39"/>
        <v>-0.79999999999995453</v>
      </c>
      <c r="E648" s="3">
        <f t="shared" si="40"/>
        <v>4.8799999999999955</v>
      </c>
      <c r="F648" s="3">
        <v>3.2649999999433703</v>
      </c>
      <c r="G648" s="3">
        <v>10126.050000000001</v>
      </c>
      <c r="H648" s="3">
        <f t="shared" si="41"/>
        <v>10129.314999999944</v>
      </c>
      <c r="I648" s="3"/>
      <c r="J648" s="3"/>
      <c r="K648" s="3"/>
    </row>
    <row r="649" spans="1:11">
      <c r="A649" s="3">
        <v>43230</v>
      </c>
      <c r="B649" s="3">
        <v>305.02</v>
      </c>
      <c r="C649" s="4">
        <f t="shared" si="38"/>
        <v>-0.79999999999995453</v>
      </c>
      <c r="D649" s="4">
        <f t="shared" si="39"/>
        <v>4.8799999999999955</v>
      </c>
      <c r="E649" s="3">
        <f t="shared" si="40"/>
        <v>-1.8300000000000409</v>
      </c>
      <c r="F649" s="3">
        <v>3.2649999999433703</v>
      </c>
      <c r="G649" s="3">
        <v>10065.66</v>
      </c>
      <c r="H649" s="3">
        <f t="shared" si="41"/>
        <v>10068.924999999943</v>
      </c>
      <c r="I649" s="3"/>
      <c r="J649" s="3"/>
      <c r="K649" s="3"/>
    </row>
    <row r="650" spans="1:11">
      <c r="A650" s="3">
        <v>43231</v>
      </c>
      <c r="B650" s="3">
        <v>301.06</v>
      </c>
      <c r="C650" s="4">
        <f t="shared" si="38"/>
        <v>4.8799999999999955</v>
      </c>
      <c r="D650" s="4">
        <f t="shared" si="39"/>
        <v>-1.8300000000000409</v>
      </c>
      <c r="E650" s="3">
        <f t="shared" si="40"/>
        <v>-3.9599999999999795</v>
      </c>
      <c r="F650" s="3">
        <v>9938.2449999999426</v>
      </c>
      <c r="G650" s="3">
        <v>0</v>
      </c>
      <c r="H650" s="3">
        <f t="shared" si="41"/>
        <v>9938.2449999999426</v>
      </c>
      <c r="I650" s="3"/>
      <c r="J650" s="3"/>
      <c r="K650" s="3"/>
    </row>
    <row r="651" spans="1:11">
      <c r="A651" s="3">
        <v>43234</v>
      </c>
      <c r="B651" s="3">
        <v>291.97000000000003</v>
      </c>
      <c r="C651" s="4">
        <f t="shared" si="38"/>
        <v>-1.8300000000000409</v>
      </c>
      <c r="D651" s="4">
        <f t="shared" si="39"/>
        <v>-3.9599999999999795</v>
      </c>
      <c r="E651" s="3">
        <f t="shared" si="40"/>
        <v>-9.089999999999975</v>
      </c>
      <c r="F651" s="3">
        <v>9938.2449999999426</v>
      </c>
      <c r="G651" s="3">
        <v>0</v>
      </c>
      <c r="H651" s="3">
        <f t="shared" si="41"/>
        <v>9938.2449999999426</v>
      </c>
      <c r="I651" s="3"/>
      <c r="J651" s="3"/>
      <c r="K651" s="3"/>
    </row>
    <row r="652" spans="1:11">
      <c r="A652" s="3">
        <v>43235</v>
      </c>
      <c r="B652" s="3">
        <v>284.18</v>
      </c>
      <c r="C652" s="4">
        <f t="shared" si="38"/>
        <v>-3.9599999999999795</v>
      </c>
      <c r="D652" s="4">
        <f t="shared" si="39"/>
        <v>-9.089999999999975</v>
      </c>
      <c r="E652" s="3">
        <f t="shared" si="40"/>
        <v>-7.7900000000000205</v>
      </c>
      <c r="F652" s="3">
        <v>9938.2449999999426</v>
      </c>
      <c r="G652" s="3">
        <v>0</v>
      </c>
      <c r="H652" s="3">
        <f t="shared" si="41"/>
        <v>9938.2449999999426</v>
      </c>
      <c r="I652" s="3"/>
      <c r="J652" s="3"/>
      <c r="K652" s="3"/>
    </row>
    <row r="653" spans="1:11">
      <c r="A653" s="3">
        <v>43236</v>
      </c>
      <c r="B653" s="3">
        <v>286.48</v>
      </c>
      <c r="C653" s="4">
        <f t="shared" ref="C653:C716" si="42">B651-B650</f>
        <v>-9.089999999999975</v>
      </c>
      <c r="D653" s="4">
        <f t="shared" ref="D653:D716" si="43">B652-B651</f>
        <v>-7.7900000000000205</v>
      </c>
      <c r="E653" s="3">
        <f t="shared" ref="E653:E716" si="44">B653-B652</f>
        <v>2.3000000000000114</v>
      </c>
      <c r="F653" s="3">
        <v>9938.2449999999426</v>
      </c>
      <c r="G653" s="3">
        <v>0</v>
      </c>
      <c r="H653" s="3">
        <f t="shared" si="41"/>
        <v>9938.2449999999426</v>
      </c>
      <c r="I653" s="3"/>
      <c r="J653" s="3"/>
      <c r="K653" s="3"/>
    </row>
    <row r="654" spans="1:11">
      <c r="A654" s="3">
        <v>43237</v>
      </c>
      <c r="B654" s="3">
        <v>284.54000000000002</v>
      </c>
      <c r="C654" s="4">
        <f t="shared" si="42"/>
        <v>-7.7900000000000205</v>
      </c>
      <c r="D654" s="4">
        <f t="shared" si="43"/>
        <v>2.3000000000000114</v>
      </c>
      <c r="E654" s="3">
        <f t="shared" si="44"/>
        <v>-1.9399999999999977</v>
      </c>
      <c r="F654" s="3">
        <v>9938.2449999999426</v>
      </c>
      <c r="G654" s="3">
        <v>0</v>
      </c>
      <c r="H654" s="3">
        <f t="shared" si="41"/>
        <v>9938.2449999999426</v>
      </c>
      <c r="I654" s="3"/>
      <c r="J654" s="3"/>
      <c r="K654" s="3"/>
    </row>
    <row r="655" spans="1:11">
      <c r="A655" s="3">
        <v>43238</v>
      </c>
      <c r="B655" s="3">
        <v>276.82</v>
      </c>
      <c r="C655" s="4">
        <f t="shared" si="42"/>
        <v>2.3000000000000114</v>
      </c>
      <c r="D655" s="4">
        <f t="shared" si="43"/>
        <v>-1.9399999999999977</v>
      </c>
      <c r="E655" s="3">
        <f t="shared" si="44"/>
        <v>-7.7200000000000273</v>
      </c>
      <c r="F655" s="3">
        <v>9938.2449999999426</v>
      </c>
      <c r="G655" s="3">
        <v>0</v>
      </c>
      <c r="H655" s="3">
        <f t="shared" si="41"/>
        <v>9938.2449999999426</v>
      </c>
      <c r="I655" s="3"/>
      <c r="J655" s="3"/>
      <c r="K655" s="3"/>
    </row>
    <row r="656" spans="1:11">
      <c r="A656" s="3">
        <v>43241</v>
      </c>
      <c r="B656" s="3">
        <v>284.49</v>
      </c>
      <c r="C656" s="4">
        <f t="shared" si="42"/>
        <v>-1.9399999999999977</v>
      </c>
      <c r="D656" s="4">
        <f t="shared" si="43"/>
        <v>-7.7200000000000273</v>
      </c>
      <c r="E656" s="3">
        <f t="shared" si="44"/>
        <v>7.6700000000000159</v>
      </c>
      <c r="F656" s="3">
        <v>9938.2449999999426</v>
      </c>
      <c r="G656" s="3">
        <v>0</v>
      </c>
      <c r="H656" s="3">
        <f t="shared" si="41"/>
        <v>9938.2449999999426</v>
      </c>
      <c r="I656" s="3"/>
      <c r="J656" s="3"/>
      <c r="K656" s="3"/>
    </row>
    <row r="657" spans="1:11">
      <c r="A657" s="3">
        <v>43242</v>
      </c>
      <c r="B657" s="3">
        <v>275.01</v>
      </c>
      <c r="C657" s="4">
        <f t="shared" si="42"/>
        <v>-7.7200000000000273</v>
      </c>
      <c r="D657" s="4">
        <f t="shared" si="43"/>
        <v>7.6700000000000159</v>
      </c>
      <c r="E657" s="3">
        <f t="shared" si="44"/>
        <v>-9.4800000000000182</v>
      </c>
      <c r="F657" s="3">
        <v>9938.2449999999426</v>
      </c>
      <c r="G657" s="3">
        <v>0</v>
      </c>
      <c r="H657" s="3">
        <f t="shared" si="41"/>
        <v>9938.2449999999426</v>
      </c>
      <c r="I657" s="3"/>
      <c r="J657" s="3"/>
      <c r="K657" s="3"/>
    </row>
    <row r="658" spans="1:11">
      <c r="A658" s="3">
        <v>43243</v>
      </c>
      <c r="B658" s="3">
        <v>279.07</v>
      </c>
      <c r="C658" s="4">
        <f t="shared" si="42"/>
        <v>7.6700000000000159</v>
      </c>
      <c r="D658" s="4">
        <f t="shared" si="43"/>
        <v>-9.4800000000000182</v>
      </c>
      <c r="E658" s="3">
        <f t="shared" si="44"/>
        <v>4.0600000000000023</v>
      </c>
      <c r="F658" s="3">
        <v>9938.2449999999426</v>
      </c>
      <c r="G658" s="3">
        <v>0</v>
      </c>
      <c r="H658" s="3">
        <f t="shared" si="41"/>
        <v>9938.2449999999426</v>
      </c>
      <c r="I658" s="3"/>
      <c r="J658" s="3"/>
      <c r="K658" s="3"/>
    </row>
    <row r="659" spans="1:11">
      <c r="A659" s="3">
        <v>43244</v>
      </c>
      <c r="B659" s="3">
        <v>277.85000000000002</v>
      </c>
      <c r="C659" s="4">
        <f t="shared" si="42"/>
        <v>-9.4800000000000182</v>
      </c>
      <c r="D659" s="4">
        <f t="shared" si="43"/>
        <v>4.0600000000000023</v>
      </c>
      <c r="E659" s="3">
        <f t="shared" si="44"/>
        <v>-1.2199999999999704</v>
      </c>
      <c r="F659" s="3">
        <v>9938.2449999999426</v>
      </c>
      <c r="G659" s="3">
        <v>0</v>
      </c>
      <c r="H659" s="3">
        <f t="shared" si="41"/>
        <v>9938.2449999999426</v>
      </c>
      <c r="I659" s="3"/>
      <c r="J659" s="3"/>
      <c r="K659" s="3"/>
    </row>
    <row r="660" spans="1:11">
      <c r="A660" s="3">
        <v>43245</v>
      </c>
      <c r="B660" s="3">
        <v>278.85000000000002</v>
      </c>
      <c r="C660" s="4">
        <f t="shared" si="42"/>
        <v>4.0600000000000023</v>
      </c>
      <c r="D660" s="4">
        <f t="shared" si="43"/>
        <v>-1.2199999999999704</v>
      </c>
      <c r="E660" s="3">
        <f t="shared" si="44"/>
        <v>1</v>
      </c>
      <c r="F660" s="3">
        <v>9938.2449999999426</v>
      </c>
      <c r="G660" s="3">
        <v>0</v>
      </c>
      <c r="H660" s="3">
        <f t="shared" si="41"/>
        <v>9938.2449999999426</v>
      </c>
      <c r="I660" s="3"/>
      <c r="J660" s="3"/>
      <c r="K660" s="3"/>
    </row>
    <row r="661" spans="1:11">
      <c r="A661" s="3">
        <v>43249</v>
      </c>
      <c r="B661" s="3">
        <v>283.76</v>
      </c>
      <c r="C661" s="4">
        <f t="shared" si="42"/>
        <v>-1.2199999999999704</v>
      </c>
      <c r="D661" s="4">
        <f t="shared" si="43"/>
        <v>1</v>
      </c>
      <c r="E661" s="3">
        <f t="shared" si="44"/>
        <v>4.9099999999999682</v>
      </c>
      <c r="F661" s="3">
        <v>6.6449999999367719</v>
      </c>
      <c r="G661" s="3">
        <v>9931.6</v>
      </c>
      <c r="H661" s="3">
        <f t="shared" si="41"/>
        <v>9938.2449999999371</v>
      </c>
      <c r="I661" s="3"/>
      <c r="J661" s="3"/>
      <c r="K661" s="3"/>
    </row>
    <row r="662" spans="1:11">
      <c r="A662" s="3">
        <v>43250</v>
      </c>
      <c r="B662" s="3">
        <v>291.72000000000003</v>
      </c>
      <c r="C662" s="4">
        <f t="shared" si="42"/>
        <v>1</v>
      </c>
      <c r="D662" s="4">
        <f t="shared" si="43"/>
        <v>4.9099999999999682</v>
      </c>
      <c r="E662" s="3">
        <f t="shared" si="44"/>
        <v>7.9600000000000364</v>
      </c>
      <c r="F662" s="3">
        <v>6.6449999999367719</v>
      </c>
      <c r="G662" s="3">
        <v>10210.200000000001</v>
      </c>
      <c r="H662" s="3">
        <f t="shared" ref="H662:H725" si="45">G662+F662</f>
        <v>10216.844999999937</v>
      </c>
      <c r="I662" s="3"/>
      <c r="J662" s="3"/>
      <c r="K662" s="3"/>
    </row>
    <row r="663" spans="1:11">
      <c r="A663" s="3">
        <v>43251</v>
      </c>
      <c r="B663" s="3">
        <v>284.73</v>
      </c>
      <c r="C663" s="4">
        <f t="shared" si="42"/>
        <v>4.9099999999999682</v>
      </c>
      <c r="D663" s="4">
        <f t="shared" si="43"/>
        <v>7.9600000000000364</v>
      </c>
      <c r="E663" s="3">
        <f t="shared" si="44"/>
        <v>-6.9900000000000091</v>
      </c>
      <c r="F663" s="3">
        <v>6.6449999999367719</v>
      </c>
      <c r="G663" s="3">
        <v>9965.5500000000011</v>
      </c>
      <c r="H663" s="3">
        <f t="shared" si="45"/>
        <v>9972.1949999999379</v>
      </c>
      <c r="I663" s="3"/>
      <c r="J663" s="3"/>
      <c r="K663" s="3"/>
    </row>
    <row r="664" spans="1:11">
      <c r="A664" s="3">
        <v>43252</v>
      </c>
      <c r="B664" s="3">
        <v>291.82</v>
      </c>
      <c r="C664" s="4">
        <f t="shared" si="42"/>
        <v>7.9600000000000364</v>
      </c>
      <c r="D664" s="4">
        <f t="shared" si="43"/>
        <v>-6.9900000000000091</v>
      </c>
      <c r="E664" s="3">
        <f t="shared" si="44"/>
        <v>7.089999999999975</v>
      </c>
      <c r="F664" s="3">
        <v>6.6449999999367719</v>
      </c>
      <c r="G664" s="3">
        <v>10213.699999999999</v>
      </c>
      <c r="H664" s="3">
        <f t="shared" si="45"/>
        <v>10220.344999999936</v>
      </c>
      <c r="I664" s="3"/>
      <c r="J664" s="3"/>
      <c r="K664" s="3"/>
    </row>
    <row r="665" spans="1:11">
      <c r="A665" s="3">
        <v>43255</v>
      </c>
      <c r="B665" s="3">
        <v>296.74</v>
      </c>
      <c r="C665" s="4">
        <f t="shared" si="42"/>
        <v>-6.9900000000000091</v>
      </c>
      <c r="D665" s="4">
        <f t="shared" si="43"/>
        <v>7.089999999999975</v>
      </c>
      <c r="E665" s="3">
        <f t="shared" si="44"/>
        <v>4.9200000000000159</v>
      </c>
      <c r="F665" s="3">
        <v>6.6449999999367719</v>
      </c>
      <c r="G665" s="3">
        <v>10385.9</v>
      </c>
      <c r="H665" s="3">
        <f t="shared" si="45"/>
        <v>10392.544999999936</v>
      </c>
      <c r="I665" s="3"/>
      <c r="J665" s="3"/>
      <c r="K665" s="3"/>
    </row>
    <row r="666" spans="1:11">
      <c r="A666" s="3">
        <v>43256</v>
      </c>
      <c r="B666" s="3">
        <v>291.13</v>
      </c>
      <c r="C666" s="4">
        <f t="shared" si="42"/>
        <v>7.089999999999975</v>
      </c>
      <c r="D666" s="4">
        <f t="shared" si="43"/>
        <v>4.9200000000000159</v>
      </c>
      <c r="E666" s="3">
        <f t="shared" si="44"/>
        <v>-5.6100000000000136</v>
      </c>
      <c r="F666" s="3">
        <v>6.6449999999367719</v>
      </c>
      <c r="G666" s="3">
        <v>10189.549999999999</v>
      </c>
      <c r="H666" s="3">
        <f t="shared" si="45"/>
        <v>10196.194999999936</v>
      </c>
      <c r="I666" s="3"/>
      <c r="J666" s="3"/>
      <c r="K666" s="3"/>
    </row>
    <row r="667" spans="1:11">
      <c r="A667" s="3">
        <v>43257</v>
      </c>
      <c r="B667" s="3">
        <v>319.5</v>
      </c>
      <c r="C667" s="4">
        <f t="shared" si="42"/>
        <v>4.9200000000000159</v>
      </c>
      <c r="D667" s="4">
        <f t="shared" si="43"/>
        <v>-5.6100000000000136</v>
      </c>
      <c r="E667" s="3">
        <f t="shared" si="44"/>
        <v>28.370000000000005</v>
      </c>
      <c r="F667" s="3">
        <v>6.6449999999367719</v>
      </c>
      <c r="G667" s="3">
        <v>11182.5</v>
      </c>
      <c r="H667" s="3">
        <f t="shared" si="45"/>
        <v>11189.144999999937</v>
      </c>
      <c r="I667" s="3"/>
      <c r="J667" s="3"/>
      <c r="K667" s="3"/>
    </row>
    <row r="668" spans="1:11">
      <c r="A668" s="3">
        <v>43258</v>
      </c>
      <c r="B668" s="3">
        <v>316.08999999999997</v>
      </c>
      <c r="C668" s="4">
        <f t="shared" si="42"/>
        <v>-5.6100000000000136</v>
      </c>
      <c r="D668" s="4">
        <f t="shared" si="43"/>
        <v>28.370000000000005</v>
      </c>
      <c r="E668" s="3">
        <f t="shared" si="44"/>
        <v>-3.410000000000025</v>
      </c>
      <c r="F668" s="3">
        <v>6.6449999999367719</v>
      </c>
      <c r="G668" s="3">
        <v>11063.15</v>
      </c>
      <c r="H668" s="3">
        <f t="shared" si="45"/>
        <v>11069.794999999936</v>
      </c>
      <c r="I668" s="3"/>
      <c r="J668" s="3"/>
      <c r="K668" s="3"/>
    </row>
    <row r="669" spans="1:11">
      <c r="A669" s="3">
        <v>43259</v>
      </c>
      <c r="B669" s="3">
        <v>317.66000000000003</v>
      </c>
      <c r="C669" s="4">
        <f t="shared" si="42"/>
        <v>28.370000000000005</v>
      </c>
      <c r="D669" s="4">
        <f t="shared" si="43"/>
        <v>-3.410000000000025</v>
      </c>
      <c r="E669" s="3">
        <f t="shared" si="44"/>
        <v>1.57000000000005</v>
      </c>
      <c r="F669" s="3">
        <v>6.6449999999367719</v>
      </c>
      <c r="G669" s="3">
        <v>11118.1</v>
      </c>
      <c r="H669" s="3">
        <f t="shared" si="45"/>
        <v>11124.744999999937</v>
      </c>
      <c r="I669" s="3"/>
      <c r="J669" s="3"/>
      <c r="K669" s="3"/>
    </row>
    <row r="670" spans="1:11">
      <c r="A670" s="3">
        <v>43262</v>
      </c>
      <c r="B670" s="3">
        <v>332.1</v>
      </c>
      <c r="C670" s="4">
        <f t="shared" si="42"/>
        <v>-3.410000000000025</v>
      </c>
      <c r="D670" s="4">
        <f t="shared" si="43"/>
        <v>1.57000000000005</v>
      </c>
      <c r="E670" s="3">
        <f t="shared" si="44"/>
        <v>14.439999999999998</v>
      </c>
      <c r="F670" s="3">
        <v>6.6449999999367719</v>
      </c>
      <c r="G670" s="3">
        <v>11623.5</v>
      </c>
      <c r="H670" s="3">
        <f t="shared" si="45"/>
        <v>11630.144999999937</v>
      </c>
      <c r="I670" s="3"/>
      <c r="J670" s="3"/>
      <c r="K670" s="3"/>
    </row>
    <row r="671" spans="1:11">
      <c r="A671" s="3">
        <v>43263</v>
      </c>
      <c r="B671" s="3">
        <v>342.77</v>
      </c>
      <c r="C671" s="4">
        <f t="shared" si="42"/>
        <v>1.57000000000005</v>
      </c>
      <c r="D671" s="4">
        <f t="shared" si="43"/>
        <v>14.439999999999998</v>
      </c>
      <c r="E671" s="3">
        <f t="shared" si="44"/>
        <v>10.669999999999959</v>
      </c>
      <c r="F671" s="3">
        <v>6.6449999999367719</v>
      </c>
      <c r="G671" s="3">
        <v>11996.949999999999</v>
      </c>
      <c r="H671" s="3">
        <f t="shared" si="45"/>
        <v>12003.594999999936</v>
      </c>
      <c r="I671" s="3"/>
      <c r="J671" s="3"/>
      <c r="K671" s="3"/>
    </row>
    <row r="672" spans="1:11">
      <c r="A672" s="3">
        <v>43264</v>
      </c>
      <c r="B672" s="3">
        <v>344.78</v>
      </c>
      <c r="C672" s="4">
        <f t="shared" si="42"/>
        <v>14.439999999999998</v>
      </c>
      <c r="D672" s="4">
        <f t="shared" si="43"/>
        <v>10.669999999999959</v>
      </c>
      <c r="E672" s="3">
        <f t="shared" si="44"/>
        <v>2.0099999999999909</v>
      </c>
      <c r="F672" s="3">
        <v>6.6449999999367719</v>
      </c>
      <c r="G672" s="3">
        <v>12067.3</v>
      </c>
      <c r="H672" s="3">
        <f t="shared" si="45"/>
        <v>12073.944999999936</v>
      </c>
      <c r="I672" s="3"/>
      <c r="J672" s="3"/>
      <c r="K672" s="3"/>
    </row>
    <row r="673" spans="1:11">
      <c r="A673" s="3">
        <v>43265</v>
      </c>
      <c r="B673" s="3">
        <v>357.72</v>
      </c>
      <c r="C673" s="4">
        <f t="shared" si="42"/>
        <v>10.669999999999959</v>
      </c>
      <c r="D673" s="4">
        <f t="shared" si="43"/>
        <v>2.0099999999999909</v>
      </c>
      <c r="E673" s="3">
        <f t="shared" si="44"/>
        <v>12.940000000000055</v>
      </c>
      <c r="F673" s="3">
        <v>6.6449999999367719</v>
      </c>
      <c r="G673" s="3">
        <v>12520.2</v>
      </c>
      <c r="H673" s="3">
        <f t="shared" si="45"/>
        <v>12526.844999999937</v>
      </c>
      <c r="I673" s="3"/>
      <c r="J673" s="3"/>
      <c r="K673" s="3"/>
    </row>
    <row r="674" spans="1:11">
      <c r="A674" s="3">
        <v>43266</v>
      </c>
      <c r="B674" s="3">
        <v>358.17</v>
      </c>
      <c r="C674" s="4">
        <f t="shared" si="42"/>
        <v>2.0099999999999909</v>
      </c>
      <c r="D674" s="4">
        <f t="shared" si="43"/>
        <v>12.940000000000055</v>
      </c>
      <c r="E674" s="3">
        <f t="shared" si="44"/>
        <v>0.44999999999998863</v>
      </c>
      <c r="F674" s="3">
        <v>6.6449999999367719</v>
      </c>
      <c r="G674" s="3">
        <v>12535.95</v>
      </c>
      <c r="H674" s="3">
        <f t="shared" si="45"/>
        <v>12542.594999999937</v>
      </c>
      <c r="I674" s="3"/>
      <c r="J674" s="3"/>
      <c r="K674" s="3"/>
    </row>
    <row r="675" spans="1:11">
      <c r="A675" s="3">
        <v>43269</v>
      </c>
      <c r="B675" s="3">
        <v>370.83</v>
      </c>
      <c r="C675" s="4">
        <f t="shared" si="42"/>
        <v>12.940000000000055</v>
      </c>
      <c r="D675" s="4">
        <f t="shared" si="43"/>
        <v>0.44999999999998863</v>
      </c>
      <c r="E675" s="3">
        <f t="shared" si="44"/>
        <v>12.659999999999968</v>
      </c>
      <c r="F675" s="3">
        <v>6.6449999999367719</v>
      </c>
      <c r="G675" s="3">
        <v>12979.05</v>
      </c>
      <c r="H675" s="3">
        <f t="shared" si="45"/>
        <v>12985.694999999936</v>
      </c>
      <c r="I675" s="3"/>
      <c r="J675" s="3"/>
      <c r="K675" s="3"/>
    </row>
    <row r="676" spans="1:11">
      <c r="A676" s="3">
        <v>43270</v>
      </c>
      <c r="B676" s="3">
        <v>352.55</v>
      </c>
      <c r="C676" s="4">
        <f t="shared" si="42"/>
        <v>0.44999999999998863</v>
      </c>
      <c r="D676" s="4">
        <f t="shared" si="43"/>
        <v>12.659999999999968</v>
      </c>
      <c r="E676" s="3">
        <f t="shared" si="44"/>
        <v>-18.279999999999973</v>
      </c>
      <c r="F676" s="3">
        <v>6.6449999999367719</v>
      </c>
      <c r="G676" s="3">
        <v>12339.25</v>
      </c>
      <c r="H676" s="3">
        <f t="shared" si="45"/>
        <v>12345.894999999937</v>
      </c>
      <c r="I676" s="3"/>
      <c r="J676" s="3"/>
      <c r="K676" s="3"/>
    </row>
    <row r="677" spans="1:11">
      <c r="A677" s="3">
        <v>43271</v>
      </c>
      <c r="B677" s="3">
        <v>362.22</v>
      </c>
      <c r="C677" s="4">
        <f t="shared" si="42"/>
        <v>12.659999999999968</v>
      </c>
      <c r="D677" s="4">
        <f t="shared" si="43"/>
        <v>-18.279999999999973</v>
      </c>
      <c r="E677" s="3">
        <f t="shared" si="44"/>
        <v>9.6700000000000159</v>
      </c>
      <c r="F677" s="3">
        <v>6.6449999999367719</v>
      </c>
      <c r="G677" s="3">
        <v>12677.7</v>
      </c>
      <c r="H677" s="3">
        <f t="shared" si="45"/>
        <v>12684.344999999937</v>
      </c>
      <c r="I677" s="3"/>
      <c r="J677" s="3"/>
      <c r="K677" s="3"/>
    </row>
    <row r="678" spans="1:11">
      <c r="A678" s="3">
        <v>43272</v>
      </c>
      <c r="B678" s="3">
        <v>347.51</v>
      </c>
      <c r="C678" s="4">
        <f t="shared" si="42"/>
        <v>-18.279999999999973</v>
      </c>
      <c r="D678" s="4">
        <f t="shared" si="43"/>
        <v>9.6700000000000159</v>
      </c>
      <c r="E678" s="3">
        <f t="shared" si="44"/>
        <v>-14.710000000000036</v>
      </c>
      <c r="F678" s="3">
        <v>6.6449999999367719</v>
      </c>
      <c r="G678" s="3">
        <v>12162.85</v>
      </c>
      <c r="H678" s="3">
        <f t="shared" si="45"/>
        <v>12169.494999999937</v>
      </c>
      <c r="I678" s="3"/>
      <c r="J678" s="3"/>
      <c r="K678" s="3"/>
    </row>
    <row r="679" spans="1:11">
      <c r="A679" s="3">
        <v>43273</v>
      </c>
      <c r="B679" s="3">
        <v>333.63</v>
      </c>
      <c r="C679" s="4">
        <f t="shared" si="42"/>
        <v>9.6700000000000159</v>
      </c>
      <c r="D679" s="4">
        <f t="shared" si="43"/>
        <v>-14.710000000000036</v>
      </c>
      <c r="E679" s="3">
        <f t="shared" si="44"/>
        <v>-13.879999999999995</v>
      </c>
      <c r="F679" s="3">
        <v>11683.694999999936</v>
      </c>
      <c r="G679" s="3">
        <v>0</v>
      </c>
      <c r="H679" s="3">
        <f t="shared" si="45"/>
        <v>11683.694999999936</v>
      </c>
      <c r="I679" s="3"/>
      <c r="J679" s="3"/>
      <c r="K679" s="3"/>
    </row>
    <row r="680" spans="1:11">
      <c r="A680" s="3">
        <v>43276</v>
      </c>
      <c r="B680" s="3">
        <v>333.01</v>
      </c>
      <c r="C680" s="4">
        <f t="shared" si="42"/>
        <v>-14.710000000000036</v>
      </c>
      <c r="D680" s="4">
        <f t="shared" si="43"/>
        <v>-13.879999999999995</v>
      </c>
      <c r="E680" s="3">
        <f t="shared" si="44"/>
        <v>-0.62000000000000455</v>
      </c>
      <c r="F680" s="3">
        <v>11683.694999999936</v>
      </c>
      <c r="G680" s="3">
        <v>0</v>
      </c>
      <c r="H680" s="3">
        <f t="shared" si="45"/>
        <v>11683.694999999936</v>
      </c>
      <c r="I680" s="3"/>
      <c r="J680" s="3"/>
      <c r="K680" s="3"/>
    </row>
    <row r="681" spans="1:11">
      <c r="A681" s="3">
        <v>43277</v>
      </c>
      <c r="B681" s="3">
        <v>342</v>
      </c>
      <c r="C681" s="4">
        <f t="shared" si="42"/>
        <v>-13.879999999999995</v>
      </c>
      <c r="D681" s="4">
        <f t="shared" si="43"/>
        <v>-0.62000000000000455</v>
      </c>
      <c r="E681" s="3">
        <f t="shared" si="44"/>
        <v>8.9900000000000091</v>
      </c>
      <c r="F681" s="3">
        <v>11683.694999999936</v>
      </c>
      <c r="G681" s="3">
        <v>0</v>
      </c>
      <c r="H681" s="3">
        <f t="shared" si="45"/>
        <v>11683.694999999936</v>
      </c>
      <c r="I681" s="3"/>
      <c r="J681" s="3"/>
      <c r="K681" s="3"/>
    </row>
    <row r="682" spans="1:11">
      <c r="A682" s="3">
        <v>43278</v>
      </c>
      <c r="B682" s="3">
        <v>344.5</v>
      </c>
      <c r="C682" s="4">
        <f t="shared" si="42"/>
        <v>-0.62000000000000455</v>
      </c>
      <c r="D682" s="4">
        <f t="shared" si="43"/>
        <v>8.9900000000000091</v>
      </c>
      <c r="E682" s="3">
        <f t="shared" si="44"/>
        <v>2.5</v>
      </c>
      <c r="F682" s="3">
        <v>315.19499999993604</v>
      </c>
      <c r="G682" s="3">
        <v>11368.5</v>
      </c>
      <c r="H682" s="3">
        <f t="shared" si="45"/>
        <v>11683.694999999936</v>
      </c>
      <c r="I682" s="3"/>
      <c r="J682" s="3"/>
      <c r="K682" s="3"/>
    </row>
    <row r="683" spans="1:11">
      <c r="A683" s="3">
        <v>43279</v>
      </c>
      <c r="B683" s="3">
        <v>349.93</v>
      </c>
      <c r="C683" s="4">
        <f t="shared" si="42"/>
        <v>8.9900000000000091</v>
      </c>
      <c r="D683" s="4">
        <f t="shared" si="43"/>
        <v>2.5</v>
      </c>
      <c r="E683" s="3">
        <f t="shared" si="44"/>
        <v>5.4300000000000068</v>
      </c>
      <c r="F683" s="3">
        <v>315.19499999993604</v>
      </c>
      <c r="G683" s="3">
        <v>11547.69</v>
      </c>
      <c r="H683" s="3">
        <f t="shared" si="45"/>
        <v>11862.884999999937</v>
      </c>
      <c r="I683" s="3"/>
      <c r="J683" s="3"/>
      <c r="K683" s="3"/>
    </row>
    <row r="684" spans="1:11">
      <c r="A684" s="3">
        <v>43280</v>
      </c>
      <c r="B684" s="3">
        <v>342.95</v>
      </c>
      <c r="C684" s="4">
        <f t="shared" si="42"/>
        <v>2.5</v>
      </c>
      <c r="D684" s="4">
        <f t="shared" si="43"/>
        <v>5.4300000000000068</v>
      </c>
      <c r="E684" s="3">
        <f t="shared" si="44"/>
        <v>-6.9800000000000182</v>
      </c>
      <c r="F684" s="3">
        <v>315.19499999993604</v>
      </c>
      <c r="G684" s="3">
        <v>11317.35</v>
      </c>
      <c r="H684" s="3">
        <f t="shared" si="45"/>
        <v>11632.544999999936</v>
      </c>
      <c r="I684" s="3"/>
      <c r="J684" s="3"/>
      <c r="K684" s="3"/>
    </row>
    <row r="685" spans="1:11">
      <c r="A685" s="3">
        <v>43283</v>
      </c>
      <c r="B685" s="3">
        <v>335.07</v>
      </c>
      <c r="C685" s="4">
        <f t="shared" si="42"/>
        <v>5.4300000000000068</v>
      </c>
      <c r="D685" s="4">
        <f t="shared" si="43"/>
        <v>-6.9800000000000182</v>
      </c>
      <c r="E685" s="3">
        <f t="shared" si="44"/>
        <v>-7.8799999999999955</v>
      </c>
      <c r="F685" s="3">
        <v>11372.504999999936</v>
      </c>
      <c r="G685" s="3">
        <v>0</v>
      </c>
      <c r="H685" s="3">
        <f t="shared" si="45"/>
        <v>11372.504999999936</v>
      </c>
      <c r="I685" s="3"/>
      <c r="J685" s="3"/>
      <c r="K685" s="3"/>
    </row>
    <row r="686" spans="1:11">
      <c r="A686" s="3">
        <v>43284</v>
      </c>
      <c r="B686" s="3">
        <v>310.86</v>
      </c>
      <c r="C686" s="4">
        <f t="shared" si="42"/>
        <v>-6.9800000000000182</v>
      </c>
      <c r="D686" s="4">
        <f t="shared" si="43"/>
        <v>-7.8799999999999955</v>
      </c>
      <c r="E686" s="3">
        <f t="shared" si="44"/>
        <v>-24.20999999999998</v>
      </c>
      <c r="F686" s="3">
        <v>11372.504999999936</v>
      </c>
      <c r="G686" s="3">
        <v>0</v>
      </c>
      <c r="H686" s="3">
        <f t="shared" si="45"/>
        <v>11372.504999999936</v>
      </c>
      <c r="I686" s="3"/>
      <c r="J686" s="3"/>
      <c r="K686" s="3"/>
    </row>
    <row r="687" spans="1:11">
      <c r="A687" s="3">
        <v>43286</v>
      </c>
      <c r="B687" s="3">
        <v>309.16000000000003</v>
      </c>
      <c r="C687" s="4">
        <f t="shared" si="42"/>
        <v>-7.8799999999999955</v>
      </c>
      <c r="D687" s="4">
        <f t="shared" si="43"/>
        <v>-24.20999999999998</v>
      </c>
      <c r="E687" s="3">
        <f t="shared" si="44"/>
        <v>-1.6999999999999886</v>
      </c>
      <c r="F687" s="3">
        <v>11372.504999999936</v>
      </c>
      <c r="G687" s="3">
        <v>0</v>
      </c>
      <c r="H687" s="3">
        <f t="shared" si="45"/>
        <v>11372.504999999936</v>
      </c>
      <c r="I687" s="3"/>
      <c r="J687" s="3"/>
      <c r="K687" s="3"/>
    </row>
    <row r="688" spans="1:11">
      <c r="A688" s="3">
        <v>43287</v>
      </c>
      <c r="B688" s="3">
        <v>308.89999999999998</v>
      </c>
      <c r="C688" s="4">
        <f t="shared" si="42"/>
        <v>-24.20999999999998</v>
      </c>
      <c r="D688" s="4">
        <f t="shared" si="43"/>
        <v>-1.6999999999999886</v>
      </c>
      <c r="E688" s="3">
        <f t="shared" si="44"/>
        <v>-0.26000000000004775</v>
      </c>
      <c r="F688" s="3">
        <v>11372.504999999936</v>
      </c>
      <c r="G688" s="3">
        <v>0</v>
      </c>
      <c r="H688" s="3">
        <f t="shared" si="45"/>
        <v>11372.504999999936</v>
      </c>
      <c r="I688" s="3"/>
      <c r="J688" s="3"/>
      <c r="K688" s="3"/>
    </row>
    <row r="689" spans="1:11">
      <c r="A689" s="3">
        <v>43290</v>
      </c>
      <c r="B689" s="3">
        <v>318.51</v>
      </c>
      <c r="C689" s="4">
        <f t="shared" si="42"/>
        <v>-1.6999999999999886</v>
      </c>
      <c r="D689" s="4">
        <f t="shared" si="43"/>
        <v>-0.26000000000004775</v>
      </c>
      <c r="E689" s="3">
        <f t="shared" si="44"/>
        <v>9.6100000000000136</v>
      </c>
      <c r="F689" s="3">
        <v>11372.504999999936</v>
      </c>
      <c r="G689" s="3">
        <v>0</v>
      </c>
      <c r="H689" s="3">
        <f t="shared" si="45"/>
        <v>11372.504999999936</v>
      </c>
      <c r="I689" s="3"/>
      <c r="J689" s="3"/>
      <c r="K689" s="3"/>
    </row>
    <row r="690" spans="1:11">
      <c r="A690" s="3">
        <v>43291</v>
      </c>
      <c r="B690" s="3">
        <v>322.47000000000003</v>
      </c>
      <c r="C690" s="4">
        <f t="shared" si="42"/>
        <v>-0.26000000000004775</v>
      </c>
      <c r="D690" s="4">
        <f t="shared" si="43"/>
        <v>9.6100000000000136</v>
      </c>
      <c r="E690" s="3">
        <f t="shared" si="44"/>
        <v>3.9600000000000364</v>
      </c>
      <c r="F690" s="3">
        <v>86.054999999936399</v>
      </c>
      <c r="G690" s="3">
        <v>11286.45</v>
      </c>
      <c r="H690" s="3">
        <f t="shared" si="45"/>
        <v>11372.504999999937</v>
      </c>
      <c r="I690" s="3"/>
      <c r="J690" s="3"/>
      <c r="K690" s="3"/>
    </row>
    <row r="691" spans="1:11">
      <c r="A691" s="3">
        <v>43292</v>
      </c>
      <c r="B691" s="3">
        <v>318.95999999999998</v>
      </c>
      <c r="C691" s="4">
        <f t="shared" si="42"/>
        <v>9.6100000000000136</v>
      </c>
      <c r="D691" s="4">
        <f t="shared" si="43"/>
        <v>3.9600000000000364</v>
      </c>
      <c r="E691" s="3">
        <f t="shared" si="44"/>
        <v>-3.5100000000000477</v>
      </c>
      <c r="F691" s="3">
        <v>86.054999999936399</v>
      </c>
      <c r="G691" s="3">
        <v>11163.599999999999</v>
      </c>
      <c r="H691" s="3">
        <f t="shared" si="45"/>
        <v>11249.654999999935</v>
      </c>
      <c r="I691" s="3"/>
      <c r="J691" s="3"/>
      <c r="K691" s="3"/>
    </row>
    <row r="692" spans="1:11">
      <c r="A692" s="3">
        <v>43293</v>
      </c>
      <c r="B692" s="3">
        <v>316.70999999999998</v>
      </c>
      <c r="C692" s="4">
        <f t="shared" si="42"/>
        <v>3.9600000000000364</v>
      </c>
      <c r="D692" s="4">
        <f t="shared" si="43"/>
        <v>-3.5100000000000477</v>
      </c>
      <c r="E692" s="3">
        <f t="shared" si="44"/>
        <v>-2.25</v>
      </c>
      <c r="F692" s="3">
        <v>11170.904999999935</v>
      </c>
      <c r="G692" s="3">
        <v>0</v>
      </c>
      <c r="H692" s="3">
        <f t="shared" si="45"/>
        <v>11170.904999999935</v>
      </c>
      <c r="I692" s="3"/>
      <c r="J692" s="3"/>
      <c r="K692" s="3"/>
    </row>
    <row r="693" spans="1:11">
      <c r="A693" s="3">
        <v>43294</v>
      </c>
      <c r="B693" s="3">
        <v>318.87</v>
      </c>
      <c r="C693" s="4">
        <f t="shared" si="42"/>
        <v>-3.5100000000000477</v>
      </c>
      <c r="D693" s="4">
        <f t="shared" si="43"/>
        <v>-2.25</v>
      </c>
      <c r="E693" s="3">
        <f t="shared" si="44"/>
        <v>2.160000000000025</v>
      </c>
      <c r="F693" s="3">
        <v>11170.904999999935</v>
      </c>
      <c r="G693" s="3">
        <v>0</v>
      </c>
      <c r="H693" s="3">
        <f t="shared" si="45"/>
        <v>11170.904999999935</v>
      </c>
      <c r="I693" s="3"/>
      <c r="J693" s="3"/>
      <c r="K693" s="3"/>
    </row>
    <row r="694" spans="1:11">
      <c r="A694" s="3">
        <v>43297</v>
      </c>
      <c r="B694" s="3">
        <v>310.10000000000002</v>
      </c>
      <c r="C694" s="4">
        <f t="shared" si="42"/>
        <v>-2.25</v>
      </c>
      <c r="D694" s="4">
        <f t="shared" si="43"/>
        <v>2.160000000000025</v>
      </c>
      <c r="E694" s="3">
        <f t="shared" si="44"/>
        <v>-8.7699999999999818</v>
      </c>
      <c r="F694" s="3">
        <v>11170.904999999935</v>
      </c>
      <c r="G694" s="3">
        <v>0</v>
      </c>
      <c r="H694" s="3">
        <f t="shared" si="45"/>
        <v>11170.904999999935</v>
      </c>
      <c r="I694" s="3"/>
      <c r="J694" s="3"/>
      <c r="K694" s="3"/>
    </row>
    <row r="695" spans="1:11">
      <c r="A695" s="3">
        <v>43298</v>
      </c>
      <c r="B695" s="3">
        <v>322.69</v>
      </c>
      <c r="C695" s="4">
        <f t="shared" si="42"/>
        <v>2.160000000000025</v>
      </c>
      <c r="D695" s="4">
        <f t="shared" si="43"/>
        <v>-8.7699999999999818</v>
      </c>
      <c r="E695" s="3">
        <f t="shared" si="44"/>
        <v>12.589999999999975</v>
      </c>
      <c r="F695" s="3">
        <v>11170.904999999935</v>
      </c>
      <c r="G695" s="3">
        <v>0</v>
      </c>
      <c r="H695" s="3">
        <f t="shared" si="45"/>
        <v>11170.904999999935</v>
      </c>
      <c r="I695" s="3"/>
      <c r="J695" s="3"/>
      <c r="K695" s="3"/>
    </row>
    <row r="696" spans="1:11">
      <c r="A696" s="3">
        <v>43299</v>
      </c>
      <c r="B696" s="3">
        <v>323.85000000000002</v>
      </c>
      <c r="C696" s="4">
        <f t="shared" si="42"/>
        <v>-8.7699999999999818</v>
      </c>
      <c r="D696" s="4">
        <f t="shared" si="43"/>
        <v>12.589999999999975</v>
      </c>
      <c r="E696" s="3">
        <f t="shared" si="44"/>
        <v>1.160000000000025</v>
      </c>
      <c r="F696" s="3">
        <v>160.00499999992837</v>
      </c>
      <c r="G696" s="3">
        <v>11010.900000000001</v>
      </c>
      <c r="H696" s="3">
        <f t="shared" si="45"/>
        <v>11170.90499999993</v>
      </c>
      <c r="I696" s="3"/>
      <c r="J696" s="3"/>
      <c r="K696" s="3"/>
    </row>
    <row r="697" spans="1:11">
      <c r="A697" s="3">
        <v>43300</v>
      </c>
      <c r="B697" s="3">
        <v>320.23</v>
      </c>
      <c r="C697" s="4">
        <f t="shared" si="42"/>
        <v>12.589999999999975</v>
      </c>
      <c r="D697" s="4">
        <f t="shared" si="43"/>
        <v>1.160000000000025</v>
      </c>
      <c r="E697" s="3">
        <f t="shared" si="44"/>
        <v>-3.6200000000000045</v>
      </c>
      <c r="F697" s="3">
        <v>160.00499999992837</v>
      </c>
      <c r="G697" s="3">
        <v>10887.82</v>
      </c>
      <c r="H697" s="3">
        <f t="shared" si="45"/>
        <v>11047.824999999928</v>
      </c>
      <c r="I697" s="3"/>
      <c r="J697" s="3"/>
      <c r="K697" s="3"/>
    </row>
    <row r="698" spans="1:11">
      <c r="A698" s="3">
        <v>43301</v>
      </c>
      <c r="B698" s="3">
        <v>313.58</v>
      </c>
      <c r="C698" s="4">
        <f t="shared" si="42"/>
        <v>1.160000000000025</v>
      </c>
      <c r="D698" s="4">
        <f t="shared" si="43"/>
        <v>-3.6200000000000045</v>
      </c>
      <c r="E698" s="3">
        <f t="shared" si="44"/>
        <v>-6.6500000000000341</v>
      </c>
      <c r="F698" s="3">
        <v>10821.724999999928</v>
      </c>
      <c r="G698" s="3">
        <v>0</v>
      </c>
      <c r="H698" s="3">
        <f t="shared" si="45"/>
        <v>10821.724999999928</v>
      </c>
      <c r="I698" s="3"/>
      <c r="J698" s="3"/>
      <c r="K698" s="3"/>
    </row>
    <row r="699" spans="1:11">
      <c r="A699" s="3">
        <v>43304</v>
      </c>
      <c r="B699" s="3">
        <v>303.2</v>
      </c>
      <c r="C699" s="4">
        <f t="shared" si="42"/>
        <v>-3.6200000000000045</v>
      </c>
      <c r="D699" s="4">
        <f t="shared" si="43"/>
        <v>-6.6500000000000341</v>
      </c>
      <c r="E699" s="3">
        <f t="shared" si="44"/>
        <v>-10.379999999999995</v>
      </c>
      <c r="F699" s="3">
        <v>10821.724999999928</v>
      </c>
      <c r="G699" s="3">
        <v>0</v>
      </c>
      <c r="H699" s="3">
        <f t="shared" si="45"/>
        <v>10821.724999999928</v>
      </c>
      <c r="I699" s="3"/>
      <c r="J699" s="3"/>
      <c r="K699" s="3"/>
    </row>
    <row r="700" spans="1:11">
      <c r="A700" s="3">
        <v>43305</v>
      </c>
      <c r="B700" s="3">
        <v>297.43</v>
      </c>
      <c r="C700" s="4">
        <f t="shared" si="42"/>
        <v>-6.6500000000000341</v>
      </c>
      <c r="D700" s="4">
        <f t="shared" si="43"/>
        <v>-10.379999999999995</v>
      </c>
      <c r="E700" s="3">
        <f t="shared" si="44"/>
        <v>-5.7699999999999818</v>
      </c>
      <c r="F700" s="3">
        <v>10821.724999999928</v>
      </c>
      <c r="G700" s="3">
        <v>0</v>
      </c>
      <c r="H700" s="3">
        <f t="shared" si="45"/>
        <v>10821.724999999928</v>
      </c>
      <c r="I700" s="3"/>
      <c r="J700" s="3"/>
      <c r="K700" s="3"/>
    </row>
    <row r="701" spans="1:11">
      <c r="A701" s="3">
        <v>43306</v>
      </c>
      <c r="B701" s="3">
        <v>308.74</v>
      </c>
      <c r="C701" s="4">
        <f t="shared" si="42"/>
        <v>-10.379999999999995</v>
      </c>
      <c r="D701" s="4">
        <f t="shared" si="43"/>
        <v>-5.7699999999999818</v>
      </c>
      <c r="E701" s="3">
        <f t="shared" si="44"/>
        <v>11.310000000000002</v>
      </c>
      <c r="F701" s="3">
        <v>10821.724999999928</v>
      </c>
      <c r="G701" s="3">
        <v>0</v>
      </c>
      <c r="H701" s="3">
        <f t="shared" si="45"/>
        <v>10821.724999999928</v>
      </c>
      <c r="I701" s="3"/>
      <c r="J701" s="3"/>
      <c r="K701" s="3"/>
    </row>
    <row r="702" spans="1:11">
      <c r="A702" s="3">
        <v>43307</v>
      </c>
      <c r="B702" s="3">
        <v>306.64999999999998</v>
      </c>
      <c r="C702" s="4">
        <f t="shared" si="42"/>
        <v>-5.7699999999999818</v>
      </c>
      <c r="D702" s="4">
        <f t="shared" si="43"/>
        <v>11.310000000000002</v>
      </c>
      <c r="E702" s="3">
        <f t="shared" si="44"/>
        <v>-2.0900000000000318</v>
      </c>
      <c r="F702" s="3">
        <v>10821.724999999928</v>
      </c>
      <c r="G702" s="3">
        <v>0</v>
      </c>
      <c r="H702" s="3">
        <f t="shared" si="45"/>
        <v>10821.724999999928</v>
      </c>
      <c r="I702" s="3"/>
      <c r="J702" s="3"/>
      <c r="K702" s="3"/>
    </row>
    <row r="703" spans="1:11">
      <c r="A703" s="3">
        <v>43308</v>
      </c>
      <c r="B703" s="3">
        <v>297.18</v>
      </c>
      <c r="C703" s="4">
        <f t="shared" si="42"/>
        <v>11.310000000000002</v>
      </c>
      <c r="D703" s="4">
        <f t="shared" si="43"/>
        <v>-2.0900000000000318</v>
      </c>
      <c r="E703" s="3">
        <f t="shared" si="44"/>
        <v>-9.4699999999999704</v>
      </c>
      <c r="F703" s="3">
        <v>10821.724999999928</v>
      </c>
      <c r="G703" s="3">
        <v>0</v>
      </c>
      <c r="H703" s="3">
        <f t="shared" si="45"/>
        <v>10821.724999999928</v>
      </c>
      <c r="I703" s="3"/>
      <c r="J703" s="3"/>
      <c r="K703" s="3"/>
    </row>
    <row r="704" spans="1:11">
      <c r="A704" s="3">
        <v>43311</v>
      </c>
      <c r="B704" s="3">
        <v>290.17</v>
      </c>
      <c r="C704" s="4">
        <f t="shared" si="42"/>
        <v>-2.0900000000000318</v>
      </c>
      <c r="D704" s="4">
        <f t="shared" si="43"/>
        <v>-9.4699999999999704</v>
      </c>
      <c r="E704" s="3">
        <f t="shared" si="44"/>
        <v>-7.0099999999999909</v>
      </c>
      <c r="F704" s="3">
        <v>10821.724999999928</v>
      </c>
      <c r="G704" s="3">
        <v>0</v>
      </c>
      <c r="H704" s="3">
        <f t="shared" si="45"/>
        <v>10821.724999999928</v>
      </c>
      <c r="I704" s="3"/>
      <c r="J704" s="3"/>
      <c r="K704" s="3"/>
    </row>
    <row r="705" spans="1:11">
      <c r="A705" s="3">
        <v>43312</v>
      </c>
      <c r="B705" s="3">
        <v>298.14</v>
      </c>
      <c r="C705" s="4">
        <f t="shared" si="42"/>
        <v>-9.4699999999999704</v>
      </c>
      <c r="D705" s="4">
        <f t="shared" si="43"/>
        <v>-7.0099999999999909</v>
      </c>
      <c r="E705" s="3">
        <f t="shared" si="44"/>
        <v>7.9699999999999704</v>
      </c>
      <c r="F705" s="3">
        <v>10821.724999999928</v>
      </c>
      <c r="G705" s="3">
        <v>0</v>
      </c>
      <c r="H705" s="3">
        <f t="shared" si="45"/>
        <v>10821.724999999928</v>
      </c>
      <c r="I705" s="3"/>
      <c r="J705" s="3"/>
      <c r="K705" s="3"/>
    </row>
    <row r="706" spans="1:11">
      <c r="A706" s="3">
        <v>43313</v>
      </c>
      <c r="B706" s="3">
        <v>300.83999999999997</v>
      </c>
      <c r="C706" s="4">
        <f t="shared" si="42"/>
        <v>-7.0099999999999909</v>
      </c>
      <c r="D706" s="4">
        <f t="shared" si="43"/>
        <v>7.9699999999999704</v>
      </c>
      <c r="E706" s="3">
        <f t="shared" si="44"/>
        <v>2.6999999999999886</v>
      </c>
      <c r="F706" s="3">
        <v>292.32499999992382</v>
      </c>
      <c r="G706" s="3">
        <v>10529.4</v>
      </c>
      <c r="H706" s="3">
        <f t="shared" si="45"/>
        <v>10821.724999999924</v>
      </c>
      <c r="I706" s="3"/>
      <c r="J706" s="3"/>
      <c r="K706" s="3"/>
    </row>
    <row r="707" spans="1:11">
      <c r="A707" s="3">
        <v>43314</v>
      </c>
      <c r="B707" s="3">
        <v>349.54</v>
      </c>
      <c r="C707" s="4">
        <f t="shared" si="42"/>
        <v>7.9699999999999704</v>
      </c>
      <c r="D707" s="4">
        <f t="shared" si="43"/>
        <v>2.6999999999999886</v>
      </c>
      <c r="E707" s="3">
        <f t="shared" si="44"/>
        <v>48.700000000000045</v>
      </c>
      <c r="F707" s="3">
        <v>292.32499999992382</v>
      </c>
      <c r="G707" s="3">
        <v>12233.900000000001</v>
      </c>
      <c r="H707" s="3">
        <f t="shared" si="45"/>
        <v>12526.224999999926</v>
      </c>
      <c r="I707" s="3"/>
      <c r="J707" s="3"/>
      <c r="K707" s="3"/>
    </row>
    <row r="708" spans="1:11">
      <c r="A708" s="3">
        <v>43315</v>
      </c>
      <c r="B708" s="3">
        <v>348.17</v>
      </c>
      <c r="C708" s="4">
        <f t="shared" si="42"/>
        <v>2.6999999999999886</v>
      </c>
      <c r="D708" s="4">
        <f t="shared" si="43"/>
        <v>48.700000000000045</v>
      </c>
      <c r="E708" s="3">
        <f t="shared" si="44"/>
        <v>-1.3700000000000045</v>
      </c>
      <c r="F708" s="3">
        <v>292.32499999992382</v>
      </c>
      <c r="G708" s="3">
        <v>12185.95</v>
      </c>
      <c r="H708" s="3">
        <f t="shared" si="45"/>
        <v>12478.274999999925</v>
      </c>
      <c r="I708" s="3"/>
      <c r="J708" s="3"/>
      <c r="K708" s="3"/>
    </row>
    <row r="709" spans="1:11">
      <c r="A709" s="3">
        <v>43318</v>
      </c>
      <c r="B709" s="3">
        <v>341.99</v>
      </c>
      <c r="C709" s="4">
        <f t="shared" si="42"/>
        <v>48.700000000000045</v>
      </c>
      <c r="D709" s="4">
        <f t="shared" si="43"/>
        <v>-1.3700000000000045</v>
      </c>
      <c r="E709" s="3">
        <f t="shared" si="44"/>
        <v>-6.1800000000000068</v>
      </c>
      <c r="F709" s="3">
        <v>12261.974999999924</v>
      </c>
      <c r="G709" s="3">
        <v>0</v>
      </c>
      <c r="H709" s="3">
        <f t="shared" si="45"/>
        <v>12261.974999999924</v>
      </c>
      <c r="I709" s="3"/>
      <c r="J709" s="3"/>
      <c r="K709" s="3"/>
    </row>
    <row r="710" spans="1:11">
      <c r="A710" s="3">
        <v>43319</v>
      </c>
      <c r="B710" s="3">
        <v>379.57</v>
      </c>
      <c r="C710" s="4">
        <f t="shared" si="42"/>
        <v>-1.3700000000000045</v>
      </c>
      <c r="D710" s="4">
        <f t="shared" si="43"/>
        <v>-6.1800000000000068</v>
      </c>
      <c r="E710" s="3">
        <f t="shared" si="44"/>
        <v>37.579999999999984</v>
      </c>
      <c r="F710" s="3">
        <v>12261.974999999924</v>
      </c>
      <c r="G710" s="3">
        <v>0</v>
      </c>
      <c r="H710" s="3">
        <f t="shared" si="45"/>
        <v>12261.974999999924</v>
      </c>
      <c r="I710" s="3"/>
      <c r="J710" s="3"/>
      <c r="K710" s="3"/>
    </row>
    <row r="711" spans="1:11">
      <c r="A711" s="3">
        <v>43320</v>
      </c>
      <c r="B711" s="3">
        <v>370.34</v>
      </c>
      <c r="C711" s="4">
        <f t="shared" si="42"/>
        <v>-6.1800000000000068</v>
      </c>
      <c r="D711" s="4">
        <f t="shared" si="43"/>
        <v>37.579999999999984</v>
      </c>
      <c r="E711" s="3">
        <f t="shared" si="44"/>
        <v>-9.2300000000000182</v>
      </c>
      <c r="F711" s="3">
        <v>12261.974999999924</v>
      </c>
      <c r="G711" s="3">
        <v>0</v>
      </c>
      <c r="H711" s="3">
        <f t="shared" si="45"/>
        <v>12261.974999999924</v>
      </c>
      <c r="I711" s="3"/>
      <c r="J711" s="3"/>
      <c r="K711" s="3"/>
    </row>
    <row r="712" spans="1:11">
      <c r="A712" s="3">
        <v>43321</v>
      </c>
      <c r="B712" s="3">
        <v>352.45</v>
      </c>
      <c r="C712" s="4">
        <f t="shared" si="42"/>
        <v>37.579999999999984</v>
      </c>
      <c r="D712" s="4">
        <f t="shared" si="43"/>
        <v>-9.2300000000000182</v>
      </c>
      <c r="E712" s="3">
        <f t="shared" si="44"/>
        <v>-17.889999999999986</v>
      </c>
      <c r="F712" s="3">
        <v>12261.974999999924</v>
      </c>
      <c r="G712" s="3">
        <v>0</v>
      </c>
      <c r="H712" s="3">
        <f t="shared" si="45"/>
        <v>12261.974999999924</v>
      </c>
      <c r="I712" s="3"/>
      <c r="J712" s="3"/>
      <c r="K712" s="3"/>
    </row>
    <row r="713" spans="1:11">
      <c r="A713" s="3">
        <v>43322</v>
      </c>
      <c r="B713" s="3">
        <v>355.49</v>
      </c>
      <c r="C713" s="4">
        <f t="shared" si="42"/>
        <v>-9.2300000000000182</v>
      </c>
      <c r="D713" s="4">
        <f t="shared" si="43"/>
        <v>-17.889999999999986</v>
      </c>
      <c r="E713" s="3">
        <f t="shared" si="44"/>
        <v>3.0400000000000205</v>
      </c>
      <c r="F713" s="3">
        <v>12261.974999999924</v>
      </c>
      <c r="G713" s="3">
        <v>0</v>
      </c>
      <c r="H713" s="3">
        <f t="shared" si="45"/>
        <v>12261.974999999924</v>
      </c>
      <c r="I713" s="3"/>
      <c r="J713" s="3"/>
      <c r="K713" s="3"/>
    </row>
    <row r="714" spans="1:11">
      <c r="A714" s="3">
        <v>43325</v>
      </c>
      <c r="B714" s="3">
        <v>356.41</v>
      </c>
      <c r="C714" s="4">
        <f t="shared" si="42"/>
        <v>-17.889999999999986</v>
      </c>
      <c r="D714" s="4">
        <f t="shared" si="43"/>
        <v>3.0400000000000205</v>
      </c>
      <c r="E714" s="3">
        <f t="shared" si="44"/>
        <v>0.92000000000001592</v>
      </c>
      <c r="F714" s="3">
        <v>144.03499999992766</v>
      </c>
      <c r="G714" s="3">
        <v>12117.94</v>
      </c>
      <c r="H714" s="3">
        <f t="shared" si="45"/>
        <v>12261.974999999928</v>
      </c>
      <c r="I714" s="3"/>
      <c r="J714" s="3"/>
      <c r="K714" s="3"/>
    </row>
    <row r="715" spans="1:11">
      <c r="A715" s="3">
        <v>43326</v>
      </c>
      <c r="B715" s="3">
        <v>347.64</v>
      </c>
      <c r="C715" s="4">
        <f t="shared" si="42"/>
        <v>3.0400000000000205</v>
      </c>
      <c r="D715" s="4">
        <f t="shared" si="43"/>
        <v>0.92000000000001592</v>
      </c>
      <c r="E715" s="3">
        <f t="shared" si="44"/>
        <v>-8.7700000000000387</v>
      </c>
      <c r="F715" s="3">
        <v>144.03499999992766</v>
      </c>
      <c r="G715" s="3">
        <v>11819.76</v>
      </c>
      <c r="H715" s="3">
        <f t="shared" si="45"/>
        <v>11963.794999999927</v>
      </c>
      <c r="I715" s="3"/>
      <c r="J715" s="3"/>
      <c r="K715" s="3"/>
    </row>
    <row r="716" spans="1:11">
      <c r="A716" s="3">
        <v>43327</v>
      </c>
      <c r="B716" s="3">
        <v>338.69</v>
      </c>
      <c r="C716" s="4">
        <f t="shared" si="42"/>
        <v>0.92000000000001592</v>
      </c>
      <c r="D716" s="4">
        <f t="shared" si="43"/>
        <v>-8.7700000000000387</v>
      </c>
      <c r="E716" s="3">
        <f t="shared" si="44"/>
        <v>-8.9499999999999886</v>
      </c>
      <c r="F716" s="3">
        <v>11659.494999999926</v>
      </c>
      <c r="G716" s="3">
        <v>0</v>
      </c>
      <c r="H716" s="3">
        <f t="shared" si="45"/>
        <v>11659.494999999926</v>
      </c>
      <c r="I716" s="3"/>
      <c r="J716" s="3"/>
      <c r="K716" s="3"/>
    </row>
    <row r="717" spans="1:11">
      <c r="A717" s="3">
        <v>43328</v>
      </c>
      <c r="B717" s="3">
        <v>335.45</v>
      </c>
      <c r="C717" s="4">
        <f t="shared" ref="C717:C758" si="46">B715-B714</f>
        <v>-8.7700000000000387</v>
      </c>
      <c r="D717" s="4">
        <f t="shared" ref="D717:D758" si="47">B716-B715</f>
        <v>-8.9499999999999886</v>
      </c>
      <c r="E717" s="3">
        <f t="shared" ref="E717:E758" si="48">B717-B716</f>
        <v>-3.2400000000000091</v>
      </c>
      <c r="F717" s="3">
        <v>11659.494999999926</v>
      </c>
      <c r="G717" s="3">
        <v>0</v>
      </c>
      <c r="H717" s="3">
        <f t="shared" si="45"/>
        <v>11659.494999999926</v>
      </c>
      <c r="I717" s="3"/>
      <c r="J717" s="3"/>
      <c r="K717" s="3"/>
    </row>
    <row r="718" spans="1:11">
      <c r="A718" s="3">
        <v>43329</v>
      </c>
      <c r="B718" s="3">
        <v>305.5</v>
      </c>
      <c r="C718" s="4">
        <f t="shared" si="46"/>
        <v>-8.9499999999999886</v>
      </c>
      <c r="D718" s="4">
        <f t="shared" si="47"/>
        <v>-3.2400000000000091</v>
      </c>
      <c r="E718" s="3">
        <f t="shared" si="48"/>
        <v>-29.949999999999989</v>
      </c>
      <c r="F718" s="3">
        <v>11659.494999999926</v>
      </c>
      <c r="G718" s="3">
        <v>0</v>
      </c>
      <c r="H718" s="3">
        <f t="shared" si="45"/>
        <v>11659.494999999926</v>
      </c>
      <c r="I718" s="3"/>
      <c r="J718" s="3"/>
      <c r="K718" s="3"/>
    </row>
    <row r="719" spans="1:11">
      <c r="A719" s="3">
        <v>43332</v>
      </c>
      <c r="B719" s="3">
        <v>308.44</v>
      </c>
      <c r="C719" s="4">
        <f t="shared" si="46"/>
        <v>-3.2400000000000091</v>
      </c>
      <c r="D719" s="4">
        <f t="shared" si="47"/>
        <v>-29.949999999999989</v>
      </c>
      <c r="E719" s="3">
        <f t="shared" si="48"/>
        <v>2.9399999999999977</v>
      </c>
      <c r="F719" s="3">
        <v>11659.494999999926</v>
      </c>
      <c r="G719" s="3">
        <v>0</v>
      </c>
      <c r="H719" s="3">
        <f t="shared" si="45"/>
        <v>11659.494999999926</v>
      </c>
      <c r="I719" s="3"/>
      <c r="J719" s="3"/>
      <c r="K719" s="3"/>
    </row>
    <row r="720" spans="1:11">
      <c r="A720" s="3">
        <v>43333</v>
      </c>
      <c r="B720" s="3">
        <v>321.89999999999998</v>
      </c>
      <c r="C720" s="4">
        <f t="shared" si="46"/>
        <v>-29.949999999999989</v>
      </c>
      <c r="D720" s="4">
        <f t="shared" si="47"/>
        <v>2.9399999999999977</v>
      </c>
      <c r="E720" s="3">
        <f t="shared" si="48"/>
        <v>13.45999999999998</v>
      </c>
      <c r="F720" s="3">
        <v>71.094999999933748</v>
      </c>
      <c r="G720" s="3">
        <v>11588.4</v>
      </c>
      <c r="H720" s="3">
        <f t="shared" si="45"/>
        <v>11659.494999999933</v>
      </c>
      <c r="I720" s="3"/>
      <c r="J720" s="3"/>
      <c r="K720" s="3"/>
    </row>
    <row r="721" spans="1:11">
      <c r="A721" s="3">
        <v>43334</v>
      </c>
      <c r="B721" s="3">
        <v>321.64</v>
      </c>
      <c r="C721" s="4">
        <f t="shared" si="46"/>
        <v>2.9399999999999977</v>
      </c>
      <c r="D721" s="4">
        <f t="shared" si="47"/>
        <v>13.45999999999998</v>
      </c>
      <c r="E721" s="3">
        <f t="shared" si="48"/>
        <v>-0.25999999999999091</v>
      </c>
      <c r="F721" s="3">
        <v>71.094999999933748</v>
      </c>
      <c r="G721" s="3">
        <v>11579.039999999999</v>
      </c>
      <c r="H721" s="3">
        <f t="shared" si="45"/>
        <v>11650.134999999933</v>
      </c>
      <c r="I721" s="3"/>
      <c r="J721" s="3"/>
      <c r="K721" s="3"/>
    </row>
    <row r="722" spans="1:11">
      <c r="A722" s="3">
        <v>43335</v>
      </c>
      <c r="B722" s="3">
        <v>320.10000000000002</v>
      </c>
      <c r="C722" s="4">
        <f t="shared" si="46"/>
        <v>13.45999999999998</v>
      </c>
      <c r="D722" s="4">
        <f t="shared" si="47"/>
        <v>-0.25999999999999091</v>
      </c>
      <c r="E722" s="3">
        <f t="shared" si="48"/>
        <v>-1.5399999999999636</v>
      </c>
      <c r="F722" s="3">
        <v>11594.694999999934</v>
      </c>
      <c r="G722" s="3">
        <v>0</v>
      </c>
      <c r="H722" s="3">
        <f t="shared" si="45"/>
        <v>11594.694999999934</v>
      </c>
      <c r="I722" s="3"/>
      <c r="J722" s="3"/>
      <c r="K722" s="3"/>
    </row>
    <row r="723" spans="1:11">
      <c r="A723" s="3">
        <v>43336</v>
      </c>
      <c r="B723" s="3">
        <v>322.82</v>
      </c>
      <c r="C723" s="4">
        <f t="shared" si="46"/>
        <v>-0.25999999999999091</v>
      </c>
      <c r="D723" s="4">
        <f t="shared" si="47"/>
        <v>-1.5399999999999636</v>
      </c>
      <c r="E723" s="3">
        <f t="shared" si="48"/>
        <v>2.7199999999999704</v>
      </c>
      <c r="F723" s="3">
        <v>11594.694999999934</v>
      </c>
      <c r="G723" s="3">
        <v>0</v>
      </c>
      <c r="H723" s="3">
        <f t="shared" si="45"/>
        <v>11594.694999999934</v>
      </c>
      <c r="I723" s="3"/>
      <c r="J723" s="3"/>
      <c r="K723" s="3"/>
    </row>
    <row r="724" spans="1:11">
      <c r="A724" s="3">
        <v>43339</v>
      </c>
      <c r="B724" s="3">
        <v>319.27</v>
      </c>
      <c r="C724" s="4">
        <f t="shared" si="46"/>
        <v>-1.5399999999999636</v>
      </c>
      <c r="D724" s="4">
        <f t="shared" si="47"/>
        <v>2.7199999999999704</v>
      </c>
      <c r="E724" s="3">
        <f t="shared" si="48"/>
        <v>-3.5500000000000114</v>
      </c>
      <c r="F724" s="3">
        <v>11594.694999999934</v>
      </c>
      <c r="G724" s="3">
        <v>0</v>
      </c>
      <c r="H724" s="3">
        <f t="shared" si="45"/>
        <v>11594.694999999934</v>
      </c>
      <c r="I724" s="3"/>
      <c r="J724" s="3"/>
      <c r="K724" s="3"/>
    </row>
    <row r="725" spans="1:11">
      <c r="A725" s="3">
        <v>43340</v>
      </c>
      <c r="B725" s="3">
        <v>311.86</v>
      </c>
      <c r="C725" s="4">
        <f t="shared" si="46"/>
        <v>2.7199999999999704</v>
      </c>
      <c r="D725" s="4">
        <f t="shared" si="47"/>
        <v>-3.5500000000000114</v>
      </c>
      <c r="E725" s="3">
        <f t="shared" si="48"/>
        <v>-7.4099999999999682</v>
      </c>
      <c r="F725" s="3">
        <v>11594.694999999934</v>
      </c>
      <c r="G725" s="3">
        <v>0</v>
      </c>
      <c r="H725" s="3">
        <f t="shared" si="45"/>
        <v>11594.694999999934</v>
      </c>
      <c r="I725" s="3"/>
      <c r="J725" s="3"/>
      <c r="K725" s="3"/>
    </row>
    <row r="726" spans="1:11">
      <c r="A726" s="3">
        <v>43341</v>
      </c>
      <c r="B726" s="3">
        <v>305.01</v>
      </c>
      <c r="C726" s="4">
        <f t="shared" si="46"/>
        <v>-3.5500000000000114</v>
      </c>
      <c r="D726" s="4">
        <f t="shared" si="47"/>
        <v>-7.4099999999999682</v>
      </c>
      <c r="E726" s="3">
        <f t="shared" si="48"/>
        <v>-6.8500000000000227</v>
      </c>
      <c r="F726" s="3">
        <v>11594.694999999934</v>
      </c>
      <c r="G726" s="3">
        <v>0</v>
      </c>
      <c r="H726" s="3">
        <f t="shared" ref="H726:H750" si="49">G726+F726</f>
        <v>11594.694999999934</v>
      </c>
      <c r="I726" s="3"/>
      <c r="J726" s="3"/>
      <c r="K726" s="3"/>
    </row>
    <row r="727" spans="1:11">
      <c r="A727" s="3">
        <v>43342</v>
      </c>
      <c r="B727" s="3">
        <v>303.14999999999998</v>
      </c>
      <c r="C727" s="4">
        <f t="shared" si="46"/>
        <v>-7.4099999999999682</v>
      </c>
      <c r="D727" s="4">
        <f t="shared" si="47"/>
        <v>-6.8500000000000227</v>
      </c>
      <c r="E727" s="3">
        <f t="shared" si="48"/>
        <v>-1.8600000000000136</v>
      </c>
      <c r="F727" s="3">
        <v>11594.694999999934</v>
      </c>
      <c r="G727" s="3">
        <v>0</v>
      </c>
      <c r="H727" s="3">
        <f t="shared" si="49"/>
        <v>11594.694999999934</v>
      </c>
      <c r="I727" s="3"/>
      <c r="J727" s="3"/>
      <c r="K727" s="3"/>
    </row>
    <row r="728" spans="1:11">
      <c r="A728" s="3">
        <v>43343</v>
      </c>
      <c r="B728" s="3">
        <v>301.66000000000003</v>
      </c>
      <c r="C728" s="4">
        <f t="shared" si="46"/>
        <v>-6.8500000000000227</v>
      </c>
      <c r="D728" s="4">
        <f t="shared" si="47"/>
        <v>-1.8600000000000136</v>
      </c>
      <c r="E728" s="3">
        <f t="shared" si="48"/>
        <v>-1.4899999999999523</v>
      </c>
      <c r="F728" s="3">
        <v>11594.694999999934</v>
      </c>
      <c r="G728" s="3">
        <v>0</v>
      </c>
      <c r="H728" s="3">
        <f t="shared" si="49"/>
        <v>11594.694999999934</v>
      </c>
      <c r="I728" s="3"/>
      <c r="J728" s="3"/>
      <c r="K728" s="3"/>
    </row>
    <row r="729" spans="1:11">
      <c r="A729" s="3">
        <v>43347</v>
      </c>
      <c r="B729" s="3">
        <v>288.95</v>
      </c>
      <c r="C729" s="4">
        <f t="shared" si="46"/>
        <v>-1.8600000000000136</v>
      </c>
      <c r="D729" s="4">
        <f t="shared" si="47"/>
        <v>-1.4899999999999523</v>
      </c>
      <c r="E729" s="3">
        <f t="shared" si="48"/>
        <v>-12.710000000000036</v>
      </c>
      <c r="F729" s="3">
        <v>11594.694999999934</v>
      </c>
      <c r="G729" s="3">
        <v>0</v>
      </c>
      <c r="H729" s="3">
        <f t="shared" si="49"/>
        <v>11594.694999999934</v>
      </c>
      <c r="I729" s="3"/>
      <c r="J729" s="3"/>
      <c r="K729" s="3"/>
    </row>
    <row r="730" spans="1:11">
      <c r="A730" s="3">
        <v>43348</v>
      </c>
      <c r="B730" s="3">
        <v>280.74</v>
      </c>
      <c r="C730" s="4">
        <f t="shared" si="46"/>
        <v>-1.4899999999999523</v>
      </c>
      <c r="D730" s="4">
        <f t="shared" si="47"/>
        <v>-12.710000000000036</v>
      </c>
      <c r="E730" s="3">
        <f t="shared" si="48"/>
        <v>-8.2099999999999795</v>
      </c>
      <c r="F730" s="3">
        <v>11594.694999999934</v>
      </c>
      <c r="G730" s="3">
        <v>0</v>
      </c>
      <c r="H730" s="3">
        <f t="shared" si="49"/>
        <v>11594.694999999934</v>
      </c>
      <c r="I730" s="3"/>
      <c r="J730" s="3"/>
      <c r="K730" s="3"/>
    </row>
    <row r="731" spans="1:11">
      <c r="A731" s="3">
        <v>43349</v>
      </c>
      <c r="B731" s="3">
        <v>280.95</v>
      </c>
      <c r="C731" s="4">
        <f t="shared" si="46"/>
        <v>-12.710000000000036</v>
      </c>
      <c r="D731" s="4">
        <f t="shared" si="47"/>
        <v>-8.2099999999999795</v>
      </c>
      <c r="E731" s="3">
        <f t="shared" si="48"/>
        <v>0.20999999999997954</v>
      </c>
      <c r="F731" s="3">
        <v>11594.694999999934</v>
      </c>
      <c r="G731" s="3">
        <v>0</v>
      </c>
      <c r="H731" s="3">
        <f t="shared" si="49"/>
        <v>11594.694999999934</v>
      </c>
      <c r="I731" s="3"/>
      <c r="J731" s="3"/>
      <c r="K731" s="3"/>
    </row>
    <row r="732" spans="1:11">
      <c r="A732" s="3">
        <v>43350</v>
      </c>
      <c r="B732" s="3">
        <v>263.24</v>
      </c>
      <c r="C732" s="4">
        <f t="shared" si="46"/>
        <v>-8.2099999999999795</v>
      </c>
      <c r="D732" s="4">
        <f t="shared" si="47"/>
        <v>0.20999999999997954</v>
      </c>
      <c r="E732" s="3">
        <f t="shared" si="48"/>
        <v>-17.70999999999998</v>
      </c>
      <c r="F732" s="3">
        <v>11594.694999999934</v>
      </c>
      <c r="G732" s="3">
        <v>0</v>
      </c>
      <c r="H732" s="3">
        <f t="shared" si="49"/>
        <v>11594.694999999934</v>
      </c>
      <c r="I732" s="3"/>
      <c r="J732" s="3"/>
      <c r="K732" s="3"/>
    </row>
    <row r="733" spans="1:11">
      <c r="A733" s="3">
        <v>43353</v>
      </c>
      <c r="B733" s="3">
        <v>285.5</v>
      </c>
      <c r="C733" s="4">
        <f t="shared" si="46"/>
        <v>0.20999999999997954</v>
      </c>
      <c r="D733" s="4">
        <f t="shared" si="47"/>
        <v>-17.70999999999998</v>
      </c>
      <c r="E733" s="3">
        <f t="shared" si="48"/>
        <v>22.259999999999991</v>
      </c>
      <c r="F733" s="3">
        <v>11594.694999999934</v>
      </c>
      <c r="G733" s="3">
        <v>0</v>
      </c>
      <c r="H733" s="3">
        <f t="shared" si="49"/>
        <v>11594.694999999934</v>
      </c>
      <c r="I733" s="3"/>
      <c r="J733" s="3"/>
      <c r="K733" s="3"/>
    </row>
    <row r="734" spans="1:11">
      <c r="A734" s="3">
        <v>43354</v>
      </c>
      <c r="B734" s="3">
        <v>279.44</v>
      </c>
      <c r="C734" s="4">
        <f t="shared" si="46"/>
        <v>-17.70999999999998</v>
      </c>
      <c r="D734" s="4">
        <f t="shared" si="47"/>
        <v>22.259999999999991</v>
      </c>
      <c r="E734" s="3">
        <f t="shared" si="48"/>
        <v>-6.0600000000000023</v>
      </c>
      <c r="F734" s="3">
        <v>11594.694999999934</v>
      </c>
      <c r="G734" s="3">
        <v>0</v>
      </c>
      <c r="H734" s="3">
        <f t="shared" si="49"/>
        <v>11594.694999999934</v>
      </c>
      <c r="I734" s="3"/>
      <c r="J734" s="3"/>
      <c r="K734" s="3"/>
    </row>
    <row r="735" spans="1:11">
      <c r="A735" s="3">
        <v>43355</v>
      </c>
      <c r="B735" s="3">
        <v>290.54000000000002</v>
      </c>
      <c r="C735" s="4">
        <f t="shared" si="46"/>
        <v>22.259999999999991</v>
      </c>
      <c r="D735" s="4">
        <f t="shared" si="47"/>
        <v>-6.0600000000000023</v>
      </c>
      <c r="E735" s="3">
        <f t="shared" si="48"/>
        <v>11.100000000000023</v>
      </c>
      <c r="F735" s="3">
        <v>11594.694999999934</v>
      </c>
      <c r="G735" s="3">
        <v>0</v>
      </c>
      <c r="H735" s="3">
        <f t="shared" si="49"/>
        <v>11594.694999999934</v>
      </c>
      <c r="I735" s="3"/>
      <c r="J735" s="3"/>
      <c r="K735" s="3"/>
    </row>
    <row r="736" spans="1:11">
      <c r="A736" s="3">
        <v>43356</v>
      </c>
      <c r="B736" s="3">
        <v>289.45999999999998</v>
      </c>
      <c r="C736" s="4">
        <f t="shared" si="46"/>
        <v>-6.0600000000000023</v>
      </c>
      <c r="D736" s="4">
        <f t="shared" si="47"/>
        <v>11.100000000000023</v>
      </c>
      <c r="E736" s="3">
        <f t="shared" si="48"/>
        <v>-1.0800000000000409</v>
      </c>
      <c r="F736" s="3">
        <v>11594.694999999934</v>
      </c>
      <c r="G736" s="3">
        <v>0</v>
      </c>
      <c r="H736" s="3">
        <f t="shared" si="49"/>
        <v>11594.694999999934</v>
      </c>
      <c r="I736" s="3"/>
      <c r="J736" s="3"/>
      <c r="K736" s="3"/>
    </row>
    <row r="737" spans="1:11">
      <c r="A737" s="3">
        <v>43357</v>
      </c>
      <c r="B737" s="3">
        <v>295.2</v>
      </c>
      <c r="C737" s="4">
        <f t="shared" si="46"/>
        <v>11.100000000000023</v>
      </c>
      <c r="D737" s="4">
        <f t="shared" si="47"/>
        <v>-1.0800000000000409</v>
      </c>
      <c r="E737" s="3">
        <f t="shared" si="48"/>
        <v>5.7400000000000091</v>
      </c>
      <c r="F737" s="3">
        <v>11594.694999999934</v>
      </c>
      <c r="G737" s="3">
        <v>0</v>
      </c>
      <c r="H737" s="3">
        <f t="shared" si="49"/>
        <v>11594.694999999934</v>
      </c>
      <c r="I737" s="3"/>
      <c r="J737" s="3"/>
      <c r="K737" s="3"/>
    </row>
    <row r="738" spans="1:11">
      <c r="A738" s="3">
        <v>43360</v>
      </c>
      <c r="B738" s="3">
        <v>294.83999999999997</v>
      </c>
      <c r="C738" s="4">
        <f t="shared" si="46"/>
        <v>-1.0800000000000409</v>
      </c>
      <c r="D738" s="4">
        <f t="shared" si="47"/>
        <v>5.7400000000000091</v>
      </c>
      <c r="E738" s="3">
        <f t="shared" si="48"/>
        <v>-0.36000000000001364</v>
      </c>
      <c r="F738" s="3">
        <v>11594.694999999934</v>
      </c>
      <c r="G738" s="3">
        <v>0</v>
      </c>
      <c r="H738" s="3">
        <f t="shared" si="49"/>
        <v>11594.694999999934</v>
      </c>
      <c r="I738" s="3"/>
      <c r="J738" s="3"/>
      <c r="K738" s="3"/>
    </row>
    <row r="739" spans="1:11">
      <c r="A739" s="3">
        <v>43361</v>
      </c>
      <c r="B739" s="3">
        <v>284.95999999999998</v>
      </c>
      <c r="C739" s="4">
        <f t="shared" si="46"/>
        <v>5.7400000000000091</v>
      </c>
      <c r="D739" s="4">
        <f t="shared" si="47"/>
        <v>-0.36000000000001364</v>
      </c>
      <c r="E739" s="3">
        <f t="shared" si="48"/>
        <v>-9.8799999999999955</v>
      </c>
      <c r="F739" s="3">
        <v>11594.694999999934</v>
      </c>
      <c r="G739" s="3">
        <v>0</v>
      </c>
      <c r="H739" s="3">
        <f t="shared" si="49"/>
        <v>11594.694999999934</v>
      </c>
      <c r="I739" s="3"/>
      <c r="J739" s="3"/>
      <c r="K739" s="3"/>
    </row>
    <row r="740" spans="1:11">
      <c r="A740" s="3">
        <v>43362</v>
      </c>
      <c r="B740" s="3">
        <v>299.02</v>
      </c>
      <c r="C740" s="4">
        <f t="shared" si="46"/>
        <v>-0.36000000000001364</v>
      </c>
      <c r="D740" s="4">
        <f t="shared" si="47"/>
        <v>-9.8799999999999955</v>
      </c>
      <c r="E740" s="3">
        <f t="shared" si="48"/>
        <v>14.060000000000002</v>
      </c>
      <c r="F740" s="3">
        <v>11594.694999999934</v>
      </c>
      <c r="G740" s="3">
        <v>0</v>
      </c>
      <c r="H740" s="3">
        <f t="shared" si="49"/>
        <v>11594.694999999934</v>
      </c>
      <c r="I740" s="3"/>
      <c r="J740" s="3"/>
      <c r="K740" s="3"/>
    </row>
    <row r="741" spans="1:11">
      <c r="A741" s="3">
        <v>43363</v>
      </c>
      <c r="B741" s="3">
        <v>298.33</v>
      </c>
      <c r="C741" s="4">
        <f t="shared" si="46"/>
        <v>-9.8799999999999955</v>
      </c>
      <c r="D741" s="4">
        <f t="shared" si="47"/>
        <v>14.060000000000002</v>
      </c>
      <c r="E741" s="3">
        <f t="shared" si="48"/>
        <v>-0.68999999999999773</v>
      </c>
      <c r="F741" s="3">
        <v>11594.694999999934</v>
      </c>
      <c r="G741" s="3">
        <v>0</v>
      </c>
      <c r="H741" s="3">
        <f t="shared" si="49"/>
        <v>11594.694999999934</v>
      </c>
      <c r="I741" s="3"/>
      <c r="J741" s="3"/>
      <c r="K741" s="3"/>
    </row>
    <row r="742" spans="1:11">
      <c r="A742" s="3">
        <v>43364</v>
      </c>
      <c r="B742" s="3">
        <v>299.10000000000002</v>
      </c>
      <c r="C742" s="4">
        <f t="shared" si="46"/>
        <v>14.060000000000002</v>
      </c>
      <c r="D742" s="4">
        <f t="shared" si="47"/>
        <v>-0.68999999999999773</v>
      </c>
      <c r="E742" s="3">
        <f t="shared" si="48"/>
        <v>0.77000000000003865</v>
      </c>
      <c r="F742" s="3">
        <v>11594.694999999934</v>
      </c>
      <c r="G742" s="3">
        <v>0</v>
      </c>
      <c r="H742" s="3">
        <f t="shared" si="49"/>
        <v>11594.694999999934</v>
      </c>
      <c r="I742" s="3"/>
      <c r="J742" s="3"/>
      <c r="K742" s="3"/>
    </row>
    <row r="743" spans="1:11">
      <c r="A743" s="3">
        <v>43367</v>
      </c>
      <c r="B743" s="3">
        <v>299.68</v>
      </c>
      <c r="C743" s="4">
        <f t="shared" si="46"/>
        <v>-0.68999999999999773</v>
      </c>
      <c r="D743" s="4">
        <f t="shared" si="47"/>
        <v>0.77000000000003865</v>
      </c>
      <c r="E743" s="3">
        <f t="shared" si="48"/>
        <v>0.57999999999998408</v>
      </c>
      <c r="F743" s="3">
        <v>206.8549999999276</v>
      </c>
      <c r="G743" s="3">
        <v>11387.84</v>
      </c>
      <c r="H743" s="3">
        <f t="shared" si="49"/>
        <v>11594.694999999927</v>
      </c>
      <c r="I743" s="3"/>
      <c r="J743" s="3"/>
      <c r="K743" s="3"/>
    </row>
    <row r="744" spans="1:11">
      <c r="A744" s="3">
        <v>43368</v>
      </c>
      <c r="B744" s="3">
        <v>300.99</v>
      </c>
      <c r="C744" s="4">
        <f t="shared" si="46"/>
        <v>0.77000000000003865</v>
      </c>
      <c r="D744" s="4">
        <f t="shared" si="47"/>
        <v>0.57999999999998408</v>
      </c>
      <c r="E744" s="3">
        <f t="shared" si="48"/>
        <v>1.3100000000000023</v>
      </c>
      <c r="F744" s="3">
        <v>206.8549999999276</v>
      </c>
      <c r="G744" s="3">
        <v>11437.62</v>
      </c>
      <c r="H744" s="3">
        <f t="shared" si="49"/>
        <v>11644.474999999928</v>
      </c>
      <c r="I744" s="3"/>
      <c r="J744" s="3"/>
      <c r="K744" s="3"/>
    </row>
    <row r="745" spans="1:11">
      <c r="A745" s="3">
        <v>43369</v>
      </c>
      <c r="B745" s="3">
        <v>309.58</v>
      </c>
      <c r="C745" s="4">
        <f t="shared" si="46"/>
        <v>0.57999999999998408</v>
      </c>
      <c r="D745" s="4">
        <f t="shared" si="47"/>
        <v>1.3100000000000023</v>
      </c>
      <c r="E745" s="3">
        <f t="shared" si="48"/>
        <v>8.589999999999975</v>
      </c>
      <c r="F745" s="3">
        <v>206.8549999999276</v>
      </c>
      <c r="G745" s="3">
        <v>11764.039999999999</v>
      </c>
      <c r="H745" s="3">
        <f t="shared" si="49"/>
        <v>11970.894999999926</v>
      </c>
      <c r="I745" s="3"/>
      <c r="J745" s="3"/>
      <c r="K745" s="3"/>
    </row>
    <row r="746" spans="1:11">
      <c r="A746" s="3">
        <v>43370</v>
      </c>
      <c r="B746" s="3">
        <v>307.52</v>
      </c>
      <c r="C746" s="4">
        <f t="shared" si="46"/>
        <v>1.3100000000000023</v>
      </c>
      <c r="D746" s="4">
        <f t="shared" si="47"/>
        <v>8.589999999999975</v>
      </c>
      <c r="E746" s="3">
        <f t="shared" si="48"/>
        <v>-2.0600000000000023</v>
      </c>
      <c r="F746" s="3">
        <v>206.8549999999276</v>
      </c>
      <c r="G746" s="3">
        <v>11685.759999999998</v>
      </c>
      <c r="H746" s="3">
        <f t="shared" si="49"/>
        <v>11892.614999999925</v>
      </c>
      <c r="I746" s="3"/>
      <c r="J746" s="3"/>
      <c r="K746" s="3"/>
    </row>
    <row r="747" spans="1:11">
      <c r="A747" s="3">
        <v>43371</v>
      </c>
      <c r="B747" s="3">
        <v>264.77</v>
      </c>
      <c r="C747" s="4">
        <f t="shared" si="46"/>
        <v>8.589999999999975</v>
      </c>
      <c r="D747" s="4">
        <f t="shared" si="47"/>
        <v>-2.0600000000000023</v>
      </c>
      <c r="E747" s="3">
        <f t="shared" si="48"/>
        <v>-42.75</v>
      </c>
      <c r="F747" s="3">
        <v>10268.114999999925</v>
      </c>
      <c r="G747" s="3">
        <v>0</v>
      </c>
      <c r="H747" s="3">
        <f t="shared" si="49"/>
        <v>10268.114999999925</v>
      </c>
      <c r="I747" s="3"/>
      <c r="J747" s="3"/>
      <c r="K747" s="3"/>
    </row>
    <row r="748" spans="1:11">
      <c r="A748" s="3">
        <v>43374</v>
      </c>
      <c r="B748" s="3">
        <v>310.7</v>
      </c>
      <c r="C748" s="4">
        <f t="shared" si="46"/>
        <v>-2.0600000000000023</v>
      </c>
      <c r="D748" s="4">
        <f t="shared" si="47"/>
        <v>-42.75</v>
      </c>
      <c r="E748" s="3">
        <f t="shared" si="48"/>
        <v>45.930000000000007</v>
      </c>
      <c r="F748" s="3">
        <v>10268.114999999925</v>
      </c>
      <c r="G748" s="3">
        <v>0</v>
      </c>
      <c r="H748" s="3">
        <f t="shared" si="49"/>
        <v>10268.114999999925</v>
      </c>
      <c r="I748" s="3"/>
      <c r="J748" s="3"/>
      <c r="K748" s="3"/>
    </row>
    <row r="749" spans="1:11">
      <c r="A749" s="3">
        <v>43375</v>
      </c>
      <c r="B749" s="3">
        <v>301.02</v>
      </c>
      <c r="C749" s="4">
        <f t="shared" si="46"/>
        <v>-42.75</v>
      </c>
      <c r="D749" s="4">
        <f t="shared" si="47"/>
        <v>45.930000000000007</v>
      </c>
      <c r="E749" s="3">
        <f t="shared" si="48"/>
        <v>-9.6800000000000068</v>
      </c>
      <c r="F749" s="3">
        <v>10268.114999999925</v>
      </c>
      <c r="G749" s="3">
        <v>0</v>
      </c>
      <c r="H749" s="3">
        <f t="shared" si="49"/>
        <v>10268.114999999925</v>
      </c>
      <c r="I749" s="3"/>
      <c r="J749" s="3"/>
      <c r="K749" s="3"/>
    </row>
    <row r="750" spans="1:11">
      <c r="A750" s="3">
        <v>43376</v>
      </c>
      <c r="B750" s="3">
        <v>294.8</v>
      </c>
      <c r="C750" s="4">
        <f t="shared" si="46"/>
        <v>45.930000000000007</v>
      </c>
      <c r="D750" s="4">
        <f t="shared" si="47"/>
        <v>-9.6800000000000068</v>
      </c>
      <c r="E750" s="3">
        <f t="shared" si="48"/>
        <v>-6.2199999999999704</v>
      </c>
      <c r="F750" s="3">
        <v>10268.114999999925</v>
      </c>
      <c r="G750" s="3">
        <v>0</v>
      </c>
      <c r="H750" s="3">
        <f t="shared" si="49"/>
        <v>10268.114999999925</v>
      </c>
      <c r="I750" s="3"/>
      <c r="J750" s="3"/>
      <c r="K750" s="3"/>
    </row>
    <row r="751" spans="1:11">
      <c r="A751" s="3">
        <v>43377</v>
      </c>
      <c r="B751" s="3">
        <v>281.83</v>
      </c>
      <c r="C751" s="4">
        <f t="shared" si="46"/>
        <v>-9.6800000000000068</v>
      </c>
      <c r="D751" s="4">
        <f t="shared" si="47"/>
        <v>-6.2199999999999704</v>
      </c>
      <c r="E751" s="3">
        <f t="shared" si="48"/>
        <v>-12.970000000000027</v>
      </c>
      <c r="F751" s="3"/>
      <c r="G751" s="3"/>
      <c r="H751" s="3"/>
      <c r="I751" s="3"/>
      <c r="J751" s="3"/>
      <c r="K751" s="3"/>
    </row>
    <row r="752" spans="1:11">
      <c r="A752" s="3">
        <v>43378</v>
      </c>
      <c r="B752" s="3">
        <v>261.95</v>
      </c>
      <c r="C752" s="4">
        <f t="shared" si="46"/>
        <v>-6.2199999999999704</v>
      </c>
      <c r="D752" s="4">
        <f t="shared" si="47"/>
        <v>-12.970000000000027</v>
      </c>
      <c r="E752" s="3">
        <f t="shared" si="48"/>
        <v>-19.879999999999995</v>
      </c>
      <c r="F752" s="3"/>
      <c r="G752" s="3"/>
      <c r="H752" s="3"/>
      <c r="I752" s="3"/>
      <c r="J752" s="3"/>
      <c r="K752" s="3"/>
    </row>
    <row r="753" spans="1:11">
      <c r="A753" s="3">
        <v>43381</v>
      </c>
      <c r="B753" s="3">
        <v>250.56</v>
      </c>
      <c r="C753" s="4">
        <f t="shared" si="46"/>
        <v>-12.970000000000027</v>
      </c>
      <c r="D753" s="4">
        <f t="shared" si="47"/>
        <v>-19.879999999999995</v>
      </c>
      <c r="E753" s="3">
        <f t="shared" si="48"/>
        <v>-11.389999999999986</v>
      </c>
      <c r="F753" s="3"/>
      <c r="G753" s="3"/>
      <c r="H753" s="3"/>
      <c r="I753" s="3"/>
      <c r="J753" s="3"/>
      <c r="K753" s="3"/>
    </row>
    <row r="754" spans="1:11">
      <c r="A754" s="3">
        <v>43382</v>
      </c>
      <c r="B754" s="3">
        <v>262.8</v>
      </c>
      <c r="C754" s="4">
        <f t="shared" si="46"/>
        <v>-19.879999999999995</v>
      </c>
      <c r="D754" s="4">
        <f t="shared" si="47"/>
        <v>-11.389999999999986</v>
      </c>
      <c r="E754" s="3">
        <f t="shared" si="48"/>
        <v>12.240000000000009</v>
      </c>
      <c r="F754" s="3"/>
      <c r="G754" s="3"/>
      <c r="H754" s="3"/>
      <c r="I754" s="3"/>
      <c r="J754" s="3"/>
      <c r="K754" s="3"/>
    </row>
    <row r="755" spans="1:11">
      <c r="A755" s="3">
        <v>43383</v>
      </c>
      <c r="B755" s="3">
        <v>256.88</v>
      </c>
      <c r="C755" s="4">
        <f t="shared" si="46"/>
        <v>-11.389999999999986</v>
      </c>
      <c r="D755" s="4">
        <f t="shared" si="47"/>
        <v>12.240000000000009</v>
      </c>
      <c r="E755" s="3">
        <f t="shared" si="48"/>
        <v>-5.9200000000000159</v>
      </c>
      <c r="F755" s="3"/>
      <c r="G755" s="3"/>
      <c r="H755" s="3"/>
      <c r="I755" s="3"/>
      <c r="J755" s="3"/>
      <c r="K755" s="3"/>
    </row>
    <row r="756" spans="1:11">
      <c r="A756" s="3">
        <v>43384</v>
      </c>
      <c r="B756" s="3">
        <v>252.23</v>
      </c>
      <c r="C756" s="4">
        <f t="shared" si="46"/>
        <v>12.240000000000009</v>
      </c>
      <c r="D756" s="4">
        <f t="shared" si="47"/>
        <v>-5.9200000000000159</v>
      </c>
      <c r="E756" s="3">
        <f t="shared" si="48"/>
        <v>-4.6500000000000057</v>
      </c>
      <c r="F756" s="3"/>
      <c r="G756" s="3"/>
      <c r="H756" s="3"/>
      <c r="I756" s="3"/>
      <c r="J756" s="3"/>
      <c r="K756" s="3"/>
    </row>
    <row r="757" spans="1:11">
      <c r="A757" s="3">
        <v>43385</v>
      </c>
      <c r="B757" s="3">
        <v>258.77999999999997</v>
      </c>
      <c r="C757" s="4">
        <f t="shared" si="46"/>
        <v>-5.9200000000000159</v>
      </c>
      <c r="D757" s="4">
        <f t="shared" si="47"/>
        <v>-4.6500000000000057</v>
      </c>
      <c r="E757" s="3">
        <f t="shared" si="48"/>
        <v>6.5499999999999829</v>
      </c>
      <c r="F757" s="3"/>
      <c r="G757" s="3"/>
      <c r="H757" s="3"/>
      <c r="I757" s="3"/>
      <c r="J757" s="3"/>
      <c r="K757" s="3"/>
    </row>
    <row r="758" spans="1:11">
      <c r="A758" s="3">
        <v>43388</v>
      </c>
      <c r="B758" s="3">
        <v>259.58999999999997</v>
      </c>
      <c r="C758" s="4">
        <f t="shared" si="46"/>
        <v>-4.6500000000000057</v>
      </c>
      <c r="D758" s="4">
        <f t="shared" si="47"/>
        <v>6.5499999999999829</v>
      </c>
      <c r="E758" s="3">
        <f t="shared" si="48"/>
        <v>0.81000000000000227</v>
      </c>
      <c r="F758" s="3"/>
      <c r="G758" s="3"/>
      <c r="H758" s="3"/>
      <c r="I758" s="3"/>
      <c r="J758" s="3"/>
      <c r="K758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croll Bar 1">
              <controlPr defaultSize="0" autoPict="0">
                <anchor moveWithCells="1">
                  <from>
                    <xdr:col>2</xdr:col>
                    <xdr:colOff>428625</xdr:colOff>
                    <xdr:row>2</xdr:row>
                    <xdr:rowOff>95250</xdr:rowOff>
                  </from>
                  <to>
                    <xdr:col>5</xdr:col>
                    <xdr:colOff>542925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Scroll Bar 2">
              <controlPr defaultSize="0" autoPict="0">
                <anchor moveWithCells="1">
                  <from>
                    <xdr:col>2</xdr:col>
                    <xdr:colOff>409575</xdr:colOff>
                    <xdr:row>4</xdr:row>
                    <xdr:rowOff>180975</xdr:rowOff>
                  </from>
                  <to>
                    <xdr:col>5</xdr:col>
                    <xdr:colOff>523875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26C88-4B88-4BA8-A414-A558B2505364}">
  <sheetPr codeName="Sheet3"/>
  <dimension ref="A1:K759"/>
  <sheetViews>
    <sheetView zoomScale="80" zoomScaleNormal="80" workbookViewId="0">
      <selection activeCell="C3" sqref="C3"/>
    </sheetView>
  </sheetViews>
  <sheetFormatPr defaultRowHeight="15"/>
  <cols>
    <col min="1" max="1" width="11.5703125" bestFit="1" customWidth="1"/>
    <col min="3" max="5" width="11.5703125" customWidth="1"/>
  </cols>
  <sheetData>
    <row r="1" spans="1:11">
      <c r="C1" s="6" t="s">
        <v>10</v>
      </c>
      <c r="D1" s="6" t="s">
        <v>11</v>
      </c>
      <c r="E1" s="6" t="s">
        <v>12</v>
      </c>
    </row>
    <row r="2" spans="1:11">
      <c r="A2" s="3"/>
      <c r="B2" s="5" t="s">
        <v>9</v>
      </c>
      <c r="C2" s="7">
        <v>7</v>
      </c>
      <c r="D2" s="7">
        <v>5</v>
      </c>
      <c r="E2" s="7">
        <v>3</v>
      </c>
      <c r="F2" s="3"/>
      <c r="G2" s="3"/>
      <c r="H2" s="3"/>
      <c r="I2" s="3"/>
      <c r="J2" s="3"/>
      <c r="K2" s="3"/>
    </row>
    <row r="3" spans="1:11">
      <c r="A3" s="3" t="s">
        <v>0</v>
      </c>
      <c r="B3" s="3" t="s">
        <v>1</v>
      </c>
      <c r="C3" s="3"/>
      <c r="D3" s="3"/>
      <c r="E3" s="3"/>
      <c r="F3" s="3"/>
      <c r="G3" s="3"/>
      <c r="H3" s="3"/>
      <c r="I3" s="3"/>
      <c r="J3" s="3"/>
      <c r="K3" s="3"/>
    </row>
    <row r="4" spans="1:11">
      <c r="A4" s="3">
        <v>42292</v>
      </c>
      <c r="B4" s="3">
        <v>221.31</v>
      </c>
      <c r="C4" s="3"/>
      <c r="D4" s="4"/>
      <c r="E4" s="3"/>
      <c r="F4" s="3"/>
      <c r="G4" s="3"/>
      <c r="H4" s="3"/>
      <c r="I4" s="3"/>
      <c r="J4" s="3"/>
      <c r="K4" s="3"/>
    </row>
    <row r="5" spans="1:11">
      <c r="A5" s="3">
        <v>42293</v>
      </c>
      <c r="B5" s="3">
        <v>227.01</v>
      </c>
      <c r="C5" s="3"/>
      <c r="D5" s="4"/>
      <c r="E5" s="3"/>
      <c r="F5" s="3"/>
      <c r="G5" s="3"/>
      <c r="H5" s="3"/>
      <c r="I5" s="3"/>
      <c r="J5" s="3"/>
      <c r="K5" s="3"/>
    </row>
    <row r="6" spans="1:11">
      <c r="A6" s="3">
        <v>42296</v>
      </c>
      <c r="B6" s="3">
        <v>228.1</v>
      </c>
      <c r="C6" s="3"/>
      <c r="D6" s="4"/>
      <c r="E6" s="3"/>
      <c r="F6" s="3"/>
      <c r="G6" s="3"/>
      <c r="H6" s="3"/>
      <c r="I6" s="3"/>
      <c r="J6" s="3"/>
      <c r="K6" s="3"/>
    </row>
    <row r="7" spans="1:11">
      <c r="A7" s="3">
        <v>42297</v>
      </c>
      <c r="B7" s="3">
        <v>213.03</v>
      </c>
      <c r="C7" s="3"/>
      <c r="D7" s="4"/>
      <c r="E7" s="3"/>
      <c r="F7" s="3"/>
      <c r="G7" s="3"/>
      <c r="H7" s="3"/>
      <c r="I7" s="3"/>
      <c r="J7" s="3"/>
      <c r="K7" s="3"/>
    </row>
    <row r="8" spans="1:11">
      <c r="A8" s="3">
        <v>42298</v>
      </c>
      <c r="B8" s="3">
        <v>210.09</v>
      </c>
      <c r="C8" s="3"/>
      <c r="D8" s="4"/>
      <c r="E8" s="3"/>
      <c r="F8" s="3"/>
      <c r="G8" s="3"/>
      <c r="H8" s="3"/>
      <c r="I8" s="3"/>
      <c r="J8" s="3"/>
      <c r="K8" s="3"/>
    </row>
    <row r="9" spans="1:11">
      <c r="A9" s="3">
        <v>42299</v>
      </c>
      <c r="B9" s="3">
        <v>211.72</v>
      </c>
      <c r="C9" s="3"/>
      <c r="D9" s="4"/>
      <c r="E9" s="3"/>
      <c r="F9" s="3"/>
      <c r="G9" s="3"/>
      <c r="H9" s="3"/>
      <c r="I9" s="3"/>
      <c r="J9" s="3"/>
      <c r="K9" s="3"/>
    </row>
    <row r="10" spans="1:11">
      <c r="A10" s="3">
        <v>42300</v>
      </c>
      <c r="B10" s="3">
        <v>209.09</v>
      </c>
      <c r="C10" s="3"/>
      <c r="D10" s="4"/>
      <c r="E10" s="3"/>
      <c r="F10" s="3"/>
      <c r="G10" s="3"/>
      <c r="H10" s="3"/>
      <c r="I10" s="3"/>
      <c r="J10" s="3"/>
      <c r="K10" s="3"/>
    </row>
    <row r="11" spans="1:11">
      <c r="A11" s="3">
        <v>42303</v>
      </c>
      <c r="B11" s="3">
        <v>215.26</v>
      </c>
      <c r="C11" s="3"/>
      <c r="D11" s="4"/>
      <c r="E11" s="3"/>
      <c r="F11" s="3"/>
      <c r="G11" s="3"/>
      <c r="H11" s="3"/>
      <c r="I11" s="3"/>
      <c r="J11" s="3"/>
      <c r="K11" s="3"/>
    </row>
    <row r="12" spans="1:11">
      <c r="A12" s="3">
        <v>42304</v>
      </c>
      <c r="B12" s="3">
        <v>210.35</v>
      </c>
      <c r="C12" s="4"/>
      <c r="D12" s="4"/>
      <c r="E12" s="3"/>
      <c r="F12" s="3"/>
      <c r="G12" s="3"/>
      <c r="H12" s="3"/>
      <c r="I12" s="3"/>
      <c r="J12" s="3"/>
      <c r="K12" s="3"/>
    </row>
    <row r="13" spans="1:11">
      <c r="A13" s="3">
        <v>42305</v>
      </c>
      <c r="B13" s="3">
        <v>212.96</v>
      </c>
      <c r="C13" s="4"/>
      <c r="D13" s="4"/>
      <c r="E13" s="3"/>
      <c r="F13" s="3"/>
      <c r="G13" s="3"/>
      <c r="H13" s="3"/>
      <c r="I13" s="3"/>
      <c r="J13" s="3"/>
      <c r="K13" s="3"/>
    </row>
    <row r="14" spans="1:11">
      <c r="A14" s="3">
        <v>42306</v>
      </c>
      <c r="B14" s="3">
        <v>211.63</v>
      </c>
      <c r="C14" s="4"/>
      <c r="D14" s="4"/>
      <c r="E14" s="3"/>
      <c r="F14" s="3"/>
      <c r="G14" s="3"/>
      <c r="H14" s="3"/>
      <c r="I14" s="3"/>
      <c r="J14" s="3"/>
      <c r="K14" s="3"/>
    </row>
    <row r="15" spans="1:11">
      <c r="A15" s="3">
        <v>42307</v>
      </c>
      <c r="B15" s="3">
        <v>206.93</v>
      </c>
      <c r="C15" s="4"/>
      <c r="D15" s="4"/>
      <c r="E15" s="3"/>
      <c r="F15" s="3"/>
      <c r="G15" s="3"/>
      <c r="H15" s="3"/>
      <c r="I15" s="3"/>
      <c r="J15" s="3"/>
      <c r="K15" s="3"/>
    </row>
    <row r="16" spans="1:11">
      <c r="A16" s="3">
        <v>42310</v>
      </c>
      <c r="B16" s="3">
        <v>213.79</v>
      </c>
      <c r="C16" s="4"/>
      <c r="D16" s="4"/>
      <c r="E16" s="3"/>
      <c r="F16" s="3"/>
      <c r="G16" s="3"/>
      <c r="H16" s="3"/>
      <c r="I16" s="3"/>
      <c r="J16" s="3"/>
      <c r="K16" s="3">
        <f>K17/H22</f>
        <v>0.52655099999999799</v>
      </c>
    </row>
    <row r="17" spans="1:11">
      <c r="A17" s="3">
        <v>42311</v>
      </c>
      <c r="B17" s="3">
        <v>208.35</v>
      </c>
      <c r="C17" s="4"/>
      <c r="D17" s="4"/>
      <c r="E17" s="3"/>
      <c r="F17" s="3"/>
      <c r="G17" s="3"/>
      <c r="H17" s="3"/>
      <c r="I17" s="3"/>
      <c r="J17" s="3" t="s">
        <v>8</v>
      </c>
      <c r="K17" s="3">
        <f>K22-H22</f>
        <v>5265.5099999999802</v>
      </c>
    </row>
    <row r="18" spans="1:11">
      <c r="A18" s="3">
        <v>42312</v>
      </c>
      <c r="B18" s="3">
        <v>231.63</v>
      </c>
      <c r="C18" s="4"/>
      <c r="D18" s="4"/>
      <c r="E18" s="3"/>
      <c r="F18" s="3"/>
      <c r="G18" s="3"/>
      <c r="H18" s="3"/>
      <c r="I18" s="3"/>
      <c r="J18" s="3"/>
      <c r="K18" s="3"/>
    </row>
    <row r="19" spans="1:11">
      <c r="A19" s="3">
        <v>42313</v>
      </c>
      <c r="B19" s="3">
        <v>231.77</v>
      </c>
      <c r="C19" s="4"/>
      <c r="D19" s="4"/>
      <c r="E19" s="3"/>
      <c r="F19" s="3"/>
      <c r="G19" s="3"/>
      <c r="H19" s="3"/>
      <c r="I19" s="3"/>
      <c r="J19" s="3"/>
      <c r="K19" s="3"/>
    </row>
    <row r="20" spans="1:11">
      <c r="A20" s="3">
        <v>42314</v>
      </c>
      <c r="B20" s="3">
        <v>232.36</v>
      </c>
      <c r="C20" s="4"/>
      <c r="D20" s="4"/>
      <c r="E20" s="3"/>
      <c r="F20" s="3" t="s">
        <v>2</v>
      </c>
      <c r="G20" s="3" t="s">
        <v>3</v>
      </c>
      <c r="H20" s="3" t="s">
        <v>4</v>
      </c>
      <c r="I20" s="3" t="s">
        <v>5</v>
      </c>
      <c r="J20" s="3" t="s">
        <v>6</v>
      </c>
      <c r="K20" s="3" t="s">
        <v>7</v>
      </c>
    </row>
    <row r="21" spans="1:11">
      <c r="A21" s="3">
        <v>42317</v>
      </c>
      <c r="B21" s="3">
        <v>225.33</v>
      </c>
      <c r="C21" s="4"/>
      <c r="D21" s="4"/>
      <c r="E21" s="3"/>
      <c r="F21" s="3"/>
      <c r="G21" s="3"/>
      <c r="H21" s="3"/>
      <c r="I21" s="3"/>
      <c r="J21" s="3"/>
      <c r="K21" s="3"/>
    </row>
    <row r="22" spans="1:11">
      <c r="A22" s="3">
        <v>42318</v>
      </c>
      <c r="B22" s="3">
        <v>216.5</v>
      </c>
      <c r="C22" s="4" cm="1">
        <f t="array" aca="1" ref="C22" ca="1">$B22-INDIRECT(ADDRESS(ROW()-C$2,2))</f>
        <v>9.5699999999999932</v>
      </c>
      <c r="D22" s="4" cm="1">
        <f t="array" aca="1" ref="D22" ca="1">$B22-INDIRECT(ADDRESS(ROW()-D$2,2))</f>
        <v>8.1500000000000057</v>
      </c>
      <c r="E22" s="4" cm="1">
        <f t="array" aca="1" ref="E22" ca="1">$B22-INDIRECT(ADDRESS(ROW()-E$2,2))</f>
        <v>-15.27000000000001</v>
      </c>
      <c r="F22" s="4">
        <v>10000</v>
      </c>
      <c r="G22" s="3">
        <v>0</v>
      </c>
      <c r="H22" s="3">
        <f t="shared" ref="H22:H46" si="0">G22+F22</f>
        <v>10000</v>
      </c>
      <c r="I22" s="3">
        <f>MAX(H22:H759)</f>
        <v>22458.749999999982</v>
      </c>
      <c r="J22" s="3">
        <f>MIN(H22:H759)</f>
        <v>7648.9100000000071</v>
      </c>
      <c r="K22" s="3">
        <f>H751</f>
        <v>15265.50999999998</v>
      </c>
    </row>
    <row r="23" spans="1:11">
      <c r="A23" s="3">
        <v>42319</v>
      </c>
      <c r="B23" s="3">
        <v>219.08</v>
      </c>
      <c r="C23" s="4" cm="1">
        <f t="array" aca="1" ref="C23" ca="1">$B23-INDIRECT(ADDRESS(ROW()-C$2,2))</f>
        <v>5.2900000000000205</v>
      </c>
      <c r="D23" s="4" cm="1">
        <f t="array" aca="1" ref="D23" ca="1">$B23-INDIRECT(ADDRESS(ROW()-D$2,2))</f>
        <v>-12.549999999999983</v>
      </c>
      <c r="E23" s="4" cm="1">
        <f t="array" aca="1" ref="E23" ca="1">$B23-INDIRECT(ADDRESS(ROW()-E$2,2))</f>
        <v>-13.280000000000001</v>
      </c>
      <c r="F23" s="3">
        <v>10000</v>
      </c>
      <c r="G23" s="3">
        <v>0</v>
      </c>
      <c r="H23" s="3">
        <f t="shared" si="0"/>
        <v>10000</v>
      </c>
      <c r="I23" s="3"/>
      <c r="J23" s="3"/>
      <c r="K23" s="3"/>
    </row>
    <row r="24" spans="1:11">
      <c r="A24" s="3">
        <v>42320</v>
      </c>
      <c r="B24" s="3">
        <v>212.94</v>
      </c>
      <c r="C24" s="4" cm="1">
        <f t="array" aca="1" ref="C24" ca="1">$B24-INDIRECT(ADDRESS(ROW()-C$2,2))</f>
        <v>4.5900000000000034</v>
      </c>
      <c r="D24" s="4" cm="1">
        <f t="array" aca="1" ref="D24" ca="1">$B24-INDIRECT(ADDRESS(ROW()-D$2,2))</f>
        <v>-18.830000000000013</v>
      </c>
      <c r="E24" s="4" cm="1">
        <f t="array" aca="1" ref="E24" ca="1">$B24-INDIRECT(ADDRESS(ROW()-E$2,2))</f>
        <v>-12.390000000000015</v>
      </c>
      <c r="F24" s="3">
        <v>10000</v>
      </c>
      <c r="G24" s="3">
        <v>0</v>
      </c>
      <c r="H24" s="3">
        <f t="shared" si="0"/>
        <v>10000</v>
      </c>
      <c r="I24" s="3"/>
      <c r="J24" s="3"/>
      <c r="K24" s="3"/>
    </row>
    <row r="25" spans="1:11">
      <c r="A25" s="3">
        <v>42321</v>
      </c>
      <c r="B25" s="3">
        <v>207.19</v>
      </c>
      <c r="C25" s="4" cm="1">
        <f t="array" aca="1" ref="C25" ca="1">$B25-INDIRECT(ADDRESS(ROW()-C$2,2))</f>
        <v>-24.439999999999998</v>
      </c>
      <c r="D25" s="4" cm="1">
        <f t="array" aca="1" ref="D25" ca="1">$B25-INDIRECT(ADDRESS(ROW()-D$2,2))</f>
        <v>-25.170000000000016</v>
      </c>
      <c r="E25" s="4" cm="1">
        <f t="array" aca="1" ref="E25" ca="1">$B25-INDIRECT(ADDRESS(ROW()-E$2,2))</f>
        <v>-9.3100000000000023</v>
      </c>
      <c r="F25" s="3">
        <v>10000</v>
      </c>
      <c r="G25" s="3">
        <v>0</v>
      </c>
      <c r="H25" s="3">
        <f t="shared" si="0"/>
        <v>10000</v>
      </c>
      <c r="I25" s="3"/>
      <c r="J25" s="3"/>
      <c r="K25" s="3"/>
    </row>
    <row r="26" spans="1:11">
      <c r="A26" s="3">
        <v>42324</v>
      </c>
      <c r="B26" s="3">
        <v>214.31</v>
      </c>
      <c r="C26" s="4" cm="1">
        <f t="array" aca="1" ref="C26" ca="1">$B26-INDIRECT(ADDRESS(ROW()-C$2,2))</f>
        <v>-17.460000000000008</v>
      </c>
      <c r="D26" s="4" cm="1">
        <f t="array" aca="1" ref="D26" ca="1">$B26-INDIRECT(ADDRESS(ROW()-D$2,2))</f>
        <v>-11.02000000000001</v>
      </c>
      <c r="E26" s="4" cm="1">
        <f t="array" aca="1" ref="E26" ca="1">$B26-INDIRECT(ADDRESS(ROW()-E$2,2))</f>
        <v>-4.7700000000000102</v>
      </c>
      <c r="F26" s="3">
        <v>10000</v>
      </c>
      <c r="G26" s="3">
        <v>0</v>
      </c>
      <c r="H26" s="3">
        <f t="shared" si="0"/>
        <v>10000</v>
      </c>
      <c r="I26" s="3"/>
      <c r="J26" s="3"/>
      <c r="K26" s="3"/>
    </row>
    <row r="27" spans="1:11">
      <c r="A27" s="3">
        <v>42325</v>
      </c>
      <c r="B27" s="3">
        <v>214</v>
      </c>
      <c r="C27" s="4" cm="1">
        <f t="array" aca="1" ref="C27" ca="1">$B27-INDIRECT(ADDRESS(ROW()-C$2,2))</f>
        <v>-18.360000000000014</v>
      </c>
      <c r="D27" s="4" cm="1">
        <f t="array" aca="1" ref="D27" ca="1">$B27-INDIRECT(ADDRESS(ROW()-D$2,2))</f>
        <v>-2.5</v>
      </c>
      <c r="E27" s="4" cm="1">
        <f t="array" aca="1" ref="E27" ca="1">$B27-INDIRECT(ADDRESS(ROW()-E$2,2))</f>
        <v>1.0600000000000023</v>
      </c>
      <c r="F27" s="3">
        <v>10000</v>
      </c>
      <c r="G27" s="3">
        <v>0</v>
      </c>
      <c r="H27" s="3">
        <f t="shared" si="0"/>
        <v>10000</v>
      </c>
      <c r="I27" s="3"/>
      <c r="J27" s="3"/>
      <c r="K27" s="3"/>
    </row>
    <row r="28" spans="1:11">
      <c r="A28" s="3">
        <v>42326</v>
      </c>
      <c r="B28" s="3">
        <v>221.07</v>
      </c>
      <c r="C28" s="4" cm="1">
        <f t="array" aca="1" ref="C28" ca="1">$B28-INDIRECT(ADDRESS(ROW()-C$2,2))</f>
        <v>-4.2600000000000193</v>
      </c>
      <c r="D28" s="4" cm="1">
        <f t="array" aca="1" ref="D28" ca="1">$B28-INDIRECT(ADDRESS(ROW()-D$2,2))</f>
        <v>1.9899999999999807</v>
      </c>
      <c r="E28" s="4" cm="1">
        <f t="array" aca="1" ref="E28" ca="1">$B28-INDIRECT(ADDRESS(ROW()-E$2,2))</f>
        <v>13.879999999999995</v>
      </c>
      <c r="F28" s="3">
        <v>51.85000000000656</v>
      </c>
      <c r="G28" s="3">
        <v>9948.15</v>
      </c>
      <c r="H28" s="3">
        <f t="shared" si="0"/>
        <v>10000.000000000005</v>
      </c>
      <c r="I28" s="3"/>
      <c r="J28" s="3"/>
      <c r="K28" s="3"/>
    </row>
    <row r="29" spans="1:11">
      <c r="A29" s="3">
        <v>42327</v>
      </c>
      <c r="B29" s="3">
        <v>221.8</v>
      </c>
      <c r="C29" s="4" cm="1">
        <f t="array" aca="1" ref="C29" ca="1">$B29-INDIRECT(ADDRESS(ROW()-C$2,2))</f>
        <v>5.3000000000000114</v>
      </c>
      <c r="D29" s="4" cm="1">
        <f t="array" aca="1" ref="D29" ca="1">$B29-INDIRECT(ADDRESS(ROW()-D$2,2))</f>
        <v>8.8600000000000136</v>
      </c>
      <c r="E29" s="4" cm="1">
        <f t="array" aca="1" ref="E29" ca="1">$B29-INDIRECT(ADDRESS(ROW()-E$2,2))</f>
        <v>7.4900000000000091</v>
      </c>
      <c r="F29" s="3">
        <v>51.85000000000656</v>
      </c>
      <c r="G29" s="3">
        <v>9981</v>
      </c>
      <c r="H29" s="3">
        <f t="shared" si="0"/>
        <v>10032.850000000006</v>
      </c>
      <c r="I29" s="3"/>
      <c r="J29" s="3"/>
      <c r="K29" s="3"/>
    </row>
    <row r="30" spans="1:11">
      <c r="A30" s="3">
        <v>42328</v>
      </c>
      <c r="B30" s="3">
        <v>220.01</v>
      </c>
      <c r="C30" s="4" cm="1">
        <f t="array" aca="1" ref="C30" ca="1">$B30-INDIRECT(ADDRESS(ROW()-C$2,2))</f>
        <v>0.9299999999999784</v>
      </c>
      <c r="D30" s="4" cm="1">
        <f t="array" aca="1" ref="D30" ca="1">$B30-INDIRECT(ADDRESS(ROW()-D$2,2))</f>
        <v>12.819999999999993</v>
      </c>
      <c r="E30" s="4" cm="1">
        <f t="array" aca="1" ref="E30" ca="1">$B30-INDIRECT(ADDRESS(ROW()-E$2,2))</f>
        <v>6.0099999999999909</v>
      </c>
      <c r="F30" s="3">
        <v>51.85000000000656</v>
      </c>
      <c r="G30" s="3">
        <v>9900.4499999999989</v>
      </c>
      <c r="H30" s="3">
        <f t="shared" si="0"/>
        <v>9952.3000000000047</v>
      </c>
      <c r="I30" s="3"/>
      <c r="J30" s="3"/>
      <c r="K30" s="3"/>
    </row>
    <row r="31" spans="1:11">
      <c r="A31" s="3">
        <v>42331</v>
      </c>
      <c r="B31" s="3">
        <v>217.75</v>
      </c>
      <c r="C31" s="4" cm="1">
        <f t="array" aca="1" ref="C31" ca="1">$B31-INDIRECT(ADDRESS(ROW()-C$2,2))</f>
        <v>4.8100000000000023</v>
      </c>
      <c r="D31" s="4" cm="1">
        <f t="array" aca="1" ref="D31" ca="1">$B31-INDIRECT(ADDRESS(ROW()-D$2,2))</f>
        <v>3.4399999999999977</v>
      </c>
      <c r="E31" s="4" cm="1">
        <f t="array" aca="1" ref="E31" ca="1">$B31-INDIRECT(ADDRESS(ROW()-E$2,2))</f>
        <v>-3.3199999999999932</v>
      </c>
      <c r="F31" s="3">
        <v>51.85000000000656</v>
      </c>
      <c r="G31" s="3">
        <v>9798.75</v>
      </c>
      <c r="H31" s="3">
        <f t="shared" si="0"/>
        <v>9850.6000000000058</v>
      </c>
      <c r="I31" s="3"/>
      <c r="J31" s="3"/>
      <c r="K31" s="3"/>
    </row>
    <row r="32" spans="1:11">
      <c r="A32" s="3">
        <v>42332</v>
      </c>
      <c r="B32" s="3">
        <v>218.25</v>
      </c>
      <c r="C32" s="4" cm="1">
        <f t="array" aca="1" ref="C32" ca="1">$B32-INDIRECT(ADDRESS(ROW()-C$2,2))</f>
        <v>11.060000000000002</v>
      </c>
      <c r="D32" s="4" cm="1">
        <f t="array" aca="1" ref="D32" ca="1">$B32-INDIRECT(ADDRESS(ROW()-D$2,2))</f>
        <v>4.25</v>
      </c>
      <c r="E32" s="4" cm="1">
        <f t="array" aca="1" ref="E32" ca="1">$B32-INDIRECT(ADDRESS(ROW()-E$2,2))</f>
        <v>-3.5500000000000114</v>
      </c>
      <c r="F32" s="3">
        <v>51.85000000000656</v>
      </c>
      <c r="G32" s="3">
        <v>9821.25</v>
      </c>
      <c r="H32" s="3">
        <f t="shared" si="0"/>
        <v>9873.1000000000058</v>
      </c>
      <c r="I32" s="3"/>
      <c r="J32" s="3"/>
      <c r="K32" s="3"/>
    </row>
    <row r="33" spans="1:11">
      <c r="A33" s="3">
        <v>42333</v>
      </c>
      <c r="B33" s="3">
        <v>229.64</v>
      </c>
      <c r="C33" s="4" cm="1">
        <f t="array" aca="1" ref="C33" ca="1">$B33-INDIRECT(ADDRESS(ROW()-C$2,2))</f>
        <v>15.329999999999984</v>
      </c>
      <c r="D33" s="4" cm="1">
        <f t="array" aca="1" ref="D33" ca="1">$B33-INDIRECT(ADDRESS(ROW()-D$2,2))</f>
        <v>8.5699999999999932</v>
      </c>
      <c r="E33" s="4" cm="1">
        <f t="array" aca="1" ref="E33" ca="1">$B33-INDIRECT(ADDRESS(ROW()-E$2,2))</f>
        <v>9.6299999999999955</v>
      </c>
      <c r="F33" s="3">
        <v>51.85000000000656</v>
      </c>
      <c r="G33" s="3">
        <v>10333.799999999999</v>
      </c>
      <c r="H33" s="3">
        <f t="shared" si="0"/>
        <v>10385.650000000005</v>
      </c>
      <c r="I33" s="3"/>
      <c r="J33" s="3"/>
      <c r="K33" s="3"/>
    </row>
    <row r="34" spans="1:11">
      <c r="A34" s="3">
        <v>42335</v>
      </c>
      <c r="B34" s="3">
        <v>231.61</v>
      </c>
      <c r="C34" s="4" cm="1">
        <f t="array" aca="1" ref="C34" ca="1">$B34-INDIRECT(ADDRESS(ROW()-C$2,2))</f>
        <v>17.610000000000014</v>
      </c>
      <c r="D34" s="4" cm="1">
        <f t="array" aca="1" ref="D34" ca="1">$B34-INDIRECT(ADDRESS(ROW()-D$2,2))</f>
        <v>9.8100000000000023</v>
      </c>
      <c r="E34" s="4" cm="1">
        <f t="array" aca="1" ref="E34" ca="1">$B34-INDIRECT(ADDRESS(ROW()-E$2,2))</f>
        <v>13.860000000000014</v>
      </c>
      <c r="F34" s="3">
        <v>51.85000000000656</v>
      </c>
      <c r="G34" s="3">
        <v>10422.450000000001</v>
      </c>
      <c r="H34" s="3">
        <f t="shared" si="0"/>
        <v>10474.300000000007</v>
      </c>
      <c r="I34" s="3"/>
      <c r="J34" s="3"/>
      <c r="K34" s="3"/>
    </row>
    <row r="35" spans="1:11">
      <c r="A35" s="3">
        <v>42338</v>
      </c>
      <c r="B35" s="3">
        <v>230.26</v>
      </c>
      <c r="C35" s="4" cm="1">
        <f t="array" aca="1" ref="C35" ca="1">$B35-INDIRECT(ADDRESS(ROW()-C$2,2))</f>
        <v>9.1899999999999977</v>
      </c>
      <c r="D35" s="4" cm="1">
        <f t="array" aca="1" ref="D35" ca="1">$B35-INDIRECT(ADDRESS(ROW()-D$2,2))</f>
        <v>10.25</v>
      </c>
      <c r="E35" s="4" cm="1">
        <f t="array" aca="1" ref="E35" ca="1">$B35-INDIRECT(ADDRESS(ROW()-E$2,2))</f>
        <v>12.009999999999991</v>
      </c>
      <c r="F35" s="3">
        <v>51.85000000000656</v>
      </c>
      <c r="G35" s="3">
        <v>10361.699999999999</v>
      </c>
      <c r="H35" s="3">
        <f t="shared" si="0"/>
        <v>10413.550000000005</v>
      </c>
      <c r="I35" s="3"/>
      <c r="J35" s="3"/>
      <c r="K35" s="3"/>
    </row>
    <row r="36" spans="1:11">
      <c r="A36" s="3">
        <v>42339</v>
      </c>
      <c r="B36" s="3">
        <v>237.19</v>
      </c>
      <c r="C36" s="4" cm="1">
        <f t="array" aca="1" ref="C36" ca="1">$B36-INDIRECT(ADDRESS(ROW()-C$2,2))</f>
        <v>15.389999999999986</v>
      </c>
      <c r="D36" s="4" cm="1">
        <f t="array" aca="1" ref="D36" ca="1">$B36-INDIRECT(ADDRESS(ROW()-D$2,2))</f>
        <v>19.439999999999998</v>
      </c>
      <c r="E36" s="4" cm="1">
        <f t="array" aca="1" ref="E36" ca="1">$B36-INDIRECT(ADDRESS(ROW()-E$2,2))</f>
        <v>7.5500000000000114</v>
      </c>
      <c r="F36" s="3">
        <v>51.85000000000656</v>
      </c>
      <c r="G36" s="3">
        <v>10673.55</v>
      </c>
      <c r="H36" s="3">
        <f t="shared" si="0"/>
        <v>10725.400000000005</v>
      </c>
      <c r="I36" s="3"/>
      <c r="J36" s="3"/>
      <c r="K36" s="3"/>
    </row>
    <row r="37" spans="1:11">
      <c r="A37" s="3">
        <v>42340</v>
      </c>
      <c r="B37" s="3">
        <v>231.99</v>
      </c>
      <c r="C37" s="4" cm="1">
        <f t="array" aca="1" ref="C37" ca="1">$B37-INDIRECT(ADDRESS(ROW()-C$2,2))</f>
        <v>11.980000000000018</v>
      </c>
      <c r="D37" s="4" cm="1">
        <f t="array" aca="1" ref="D37" ca="1">$B37-INDIRECT(ADDRESS(ROW()-D$2,2))</f>
        <v>13.740000000000009</v>
      </c>
      <c r="E37" s="4" cm="1">
        <f t="array" aca="1" ref="E37" ca="1">$B37-INDIRECT(ADDRESS(ROW()-E$2,2))</f>
        <v>0.37999999999999545</v>
      </c>
      <c r="F37" s="3">
        <v>51.85000000000656</v>
      </c>
      <c r="G37" s="3">
        <v>10439.550000000001</v>
      </c>
      <c r="H37" s="3">
        <f t="shared" si="0"/>
        <v>10491.400000000007</v>
      </c>
      <c r="I37" s="3"/>
      <c r="J37" s="3"/>
      <c r="K37" s="3"/>
    </row>
    <row r="38" spans="1:11">
      <c r="A38" s="3">
        <v>42341</v>
      </c>
      <c r="B38" s="3">
        <v>232.71</v>
      </c>
      <c r="C38" s="4" cm="1">
        <f t="array" aca="1" ref="C38" ca="1">$B38-INDIRECT(ADDRESS(ROW()-C$2,2))</f>
        <v>14.960000000000008</v>
      </c>
      <c r="D38" s="4" cm="1">
        <f t="array" aca="1" ref="D38" ca="1">$B38-INDIRECT(ADDRESS(ROW()-D$2,2))</f>
        <v>3.0700000000000216</v>
      </c>
      <c r="E38" s="4" cm="1">
        <f t="array" aca="1" ref="E38" ca="1">$B38-INDIRECT(ADDRESS(ROW()-E$2,2))</f>
        <v>2.4500000000000171</v>
      </c>
      <c r="F38" s="3">
        <v>51.85000000000656</v>
      </c>
      <c r="G38" s="3">
        <v>10471.950000000001</v>
      </c>
      <c r="H38" s="3">
        <f t="shared" si="0"/>
        <v>10523.800000000007</v>
      </c>
      <c r="I38" s="3"/>
      <c r="J38" s="3"/>
      <c r="K38" s="3"/>
    </row>
    <row r="39" spans="1:11">
      <c r="A39" s="3">
        <v>42342</v>
      </c>
      <c r="B39" s="3">
        <v>230.38</v>
      </c>
      <c r="C39" s="4" cm="1">
        <f t="array" aca="1" ref="C39" ca="1">$B39-INDIRECT(ADDRESS(ROW()-C$2,2))</f>
        <v>12.129999999999995</v>
      </c>
      <c r="D39" s="4" cm="1">
        <f t="array" aca="1" ref="D39" ca="1">$B39-INDIRECT(ADDRESS(ROW()-D$2,2))</f>
        <v>-1.2300000000000182</v>
      </c>
      <c r="E39" s="4" cm="1">
        <f t="array" aca="1" ref="E39" ca="1">$B39-INDIRECT(ADDRESS(ROW()-E$2,2))</f>
        <v>-6.8100000000000023</v>
      </c>
      <c r="F39" s="3">
        <v>10418.950000000006</v>
      </c>
      <c r="G39" s="3">
        <v>0</v>
      </c>
      <c r="H39" s="3">
        <f t="shared" si="0"/>
        <v>10418.950000000006</v>
      </c>
      <c r="I39" s="3"/>
      <c r="J39" s="3"/>
      <c r="K39" s="3"/>
    </row>
    <row r="40" spans="1:11">
      <c r="A40" s="3">
        <v>42345</v>
      </c>
      <c r="B40" s="3">
        <v>231.13</v>
      </c>
      <c r="C40" s="4" cm="1">
        <f t="array" aca="1" ref="C40" ca="1">$B40-INDIRECT(ADDRESS(ROW()-C$2,2))</f>
        <v>1.4900000000000091</v>
      </c>
      <c r="D40" s="4" cm="1">
        <f t="array" aca="1" ref="D40" ca="1">$B40-INDIRECT(ADDRESS(ROW()-D$2,2))</f>
        <v>0.87000000000000455</v>
      </c>
      <c r="E40" s="4" cm="1">
        <f t="array" aca="1" ref="E40" ca="1">$B40-INDIRECT(ADDRESS(ROW()-E$2,2))</f>
        <v>-0.86000000000001364</v>
      </c>
      <c r="F40" s="3">
        <v>10418.950000000006</v>
      </c>
      <c r="G40" s="3">
        <v>0</v>
      </c>
      <c r="H40" s="3">
        <f t="shared" si="0"/>
        <v>10418.950000000006</v>
      </c>
      <c r="I40" s="3"/>
      <c r="J40" s="3"/>
      <c r="K40" s="3"/>
    </row>
    <row r="41" spans="1:11">
      <c r="A41" s="3">
        <v>42346</v>
      </c>
      <c r="B41" s="3">
        <v>226.72</v>
      </c>
      <c r="C41" s="4" cm="1">
        <f t="array" aca="1" ref="C41" ca="1">$B41-INDIRECT(ADDRESS(ROW()-C$2,2))</f>
        <v>-4.8900000000000148</v>
      </c>
      <c r="D41" s="4" cm="1">
        <f t="array" aca="1" ref="D41" ca="1">$B41-INDIRECT(ADDRESS(ROW()-D$2,2))</f>
        <v>-10.469999999999999</v>
      </c>
      <c r="E41" s="4" cm="1">
        <f t="array" aca="1" ref="E41" ca="1">$B41-INDIRECT(ADDRESS(ROW()-E$2,2))</f>
        <v>-5.9900000000000091</v>
      </c>
      <c r="F41" s="3">
        <v>10418.950000000006</v>
      </c>
      <c r="G41" s="3">
        <v>0</v>
      </c>
      <c r="H41" s="3">
        <f t="shared" si="0"/>
        <v>10418.950000000006</v>
      </c>
      <c r="I41" s="3"/>
      <c r="J41" s="3"/>
      <c r="K41" s="3"/>
    </row>
    <row r="42" spans="1:11">
      <c r="A42" s="3">
        <v>42347</v>
      </c>
      <c r="B42" s="3">
        <v>224.52</v>
      </c>
      <c r="C42" s="4" cm="1">
        <f t="array" aca="1" ref="C42" ca="1">$B42-INDIRECT(ADDRESS(ROW()-C$2,2))</f>
        <v>-5.7399999999999807</v>
      </c>
      <c r="D42" s="4" cm="1">
        <f t="array" aca="1" ref="D42" ca="1">$B42-INDIRECT(ADDRESS(ROW()-D$2,2))</f>
        <v>-7.4699999999999989</v>
      </c>
      <c r="E42" s="4" cm="1">
        <f t="array" aca="1" ref="E42" ca="1">$B42-INDIRECT(ADDRESS(ROW()-E$2,2))</f>
        <v>-5.8599999999999852</v>
      </c>
      <c r="F42" s="3">
        <v>10418.950000000006</v>
      </c>
      <c r="G42" s="3">
        <v>0</v>
      </c>
      <c r="H42" s="3">
        <f t="shared" si="0"/>
        <v>10418.950000000006</v>
      </c>
      <c r="I42" s="3"/>
      <c r="J42" s="3"/>
      <c r="K42" s="3"/>
    </row>
    <row r="43" spans="1:11">
      <c r="A43" s="3">
        <v>42348</v>
      </c>
      <c r="B43" s="3">
        <v>227.07</v>
      </c>
      <c r="C43" s="4" cm="1">
        <f t="array" aca="1" ref="C43" ca="1">$B43-INDIRECT(ADDRESS(ROW()-C$2,2))</f>
        <v>-10.120000000000005</v>
      </c>
      <c r="D43" s="4" cm="1">
        <f t="array" aca="1" ref="D43" ca="1">$B43-INDIRECT(ADDRESS(ROW()-D$2,2))</f>
        <v>-5.6400000000000148</v>
      </c>
      <c r="E43" s="4" cm="1">
        <f t="array" aca="1" ref="E43" ca="1">$B43-INDIRECT(ADDRESS(ROW()-E$2,2))</f>
        <v>-4.0600000000000023</v>
      </c>
      <c r="F43" s="3">
        <v>10418.950000000006</v>
      </c>
      <c r="G43" s="3">
        <v>0</v>
      </c>
      <c r="H43" s="3">
        <f t="shared" si="0"/>
        <v>10418.950000000006</v>
      </c>
      <c r="I43" s="3"/>
      <c r="J43" s="3"/>
      <c r="K43" s="3"/>
    </row>
    <row r="44" spans="1:11">
      <c r="A44" s="3">
        <v>42349</v>
      </c>
      <c r="B44" s="3">
        <v>217.02</v>
      </c>
      <c r="C44" s="4" cm="1">
        <f t="array" aca="1" ref="C44" ca="1">$B44-INDIRECT(ADDRESS(ROW()-C$2,2))</f>
        <v>-14.969999999999999</v>
      </c>
      <c r="D44" s="4" cm="1">
        <f t="array" aca="1" ref="D44" ca="1">$B44-INDIRECT(ADDRESS(ROW()-D$2,2))</f>
        <v>-13.359999999999985</v>
      </c>
      <c r="E44" s="4" cm="1">
        <f t="array" aca="1" ref="E44" ca="1">$B44-INDIRECT(ADDRESS(ROW()-E$2,2))</f>
        <v>-9.6999999999999886</v>
      </c>
      <c r="F44" s="3">
        <v>10418.950000000006</v>
      </c>
      <c r="G44" s="3">
        <v>0</v>
      </c>
      <c r="H44" s="3">
        <f t="shared" si="0"/>
        <v>10418.950000000006</v>
      </c>
      <c r="I44" s="3"/>
      <c r="J44" s="3"/>
      <c r="K44" s="3"/>
    </row>
    <row r="45" spans="1:11">
      <c r="A45" s="3">
        <v>42352</v>
      </c>
      <c r="B45" s="3">
        <v>218.58</v>
      </c>
      <c r="C45" s="4" cm="1">
        <f t="array" aca="1" ref="C45" ca="1">$B45-INDIRECT(ADDRESS(ROW()-C$2,2))</f>
        <v>-14.129999999999995</v>
      </c>
      <c r="D45" s="4" cm="1">
        <f t="array" aca="1" ref="D45" ca="1">$B45-INDIRECT(ADDRESS(ROW()-D$2,2))</f>
        <v>-12.549999999999983</v>
      </c>
      <c r="E45" s="4" cm="1">
        <f t="array" aca="1" ref="E45" ca="1">$B45-INDIRECT(ADDRESS(ROW()-E$2,2))</f>
        <v>-5.9399999999999977</v>
      </c>
      <c r="F45" s="3">
        <v>10418.950000000006</v>
      </c>
      <c r="G45" s="3">
        <v>0</v>
      </c>
      <c r="H45" s="3">
        <f t="shared" si="0"/>
        <v>10418.950000000006</v>
      </c>
      <c r="I45" s="3"/>
      <c r="J45" s="3"/>
      <c r="K45" s="3"/>
    </row>
    <row r="46" spans="1:11">
      <c r="A46" s="3">
        <v>42353</v>
      </c>
      <c r="B46" s="3">
        <v>221.09</v>
      </c>
      <c r="C46" s="4" cm="1">
        <f t="array" aca="1" ref="C46" ca="1">$B46-INDIRECT(ADDRESS(ROW()-C$2,2))</f>
        <v>-9.289999999999992</v>
      </c>
      <c r="D46" s="4" cm="1">
        <f t="array" aca="1" ref="D46" ca="1">$B46-INDIRECT(ADDRESS(ROW()-D$2,2))</f>
        <v>-5.6299999999999955</v>
      </c>
      <c r="E46" s="4" cm="1">
        <f t="array" aca="1" ref="E46" ca="1">$B46-INDIRECT(ADDRESS(ROW()-E$2,2))</f>
        <v>-5.9799999999999898</v>
      </c>
      <c r="F46" s="3">
        <v>10418.950000000006</v>
      </c>
      <c r="G46" s="3">
        <v>0</v>
      </c>
      <c r="H46" s="3">
        <f t="shared" si="0"/>
        <v>10418.950000000006</v>
      </c>
      <c r="I46" s="3"/>
      <c r="J46" s="3"/>
      <c r="K46" s="3"/>
    </row>
    <row r="47" spans="1:11">
      <c r="A47" s="3">
        <v>42354</v>
      </c>
      <c r="B47" s="3">
        <v>234.51</v>
      </c>
      <c r="C47" s="4" cm="1">
        <f t="array" aca="1" ref="C47" ca="1">$B47-INDIRECT(ADDRESS(ROW()-C$2,2))</f>
        <v>3.3799999999999955</v>
      </c>
      <c r="D47" s="4" cm="1">
        <f t="array" aca="1" ref="D47" ca="1">$B47-INDIRECT(ADDRESS(ROW()-D$2,2))</f>
        <v>9.9899999999999807</v>
      </c>
      <c r="E47" s="4" cm="1">
        <f t="array" aca="1" ref="E47" ca="1">$B47-INDIRECT(ADDRESS(ROW()-E$2,2))</f>
        <v>17.489999999999981</v>
      </c>
      <c r="F47" s="3">
        <v>10418.950000000006</v>
      </c>
      <c r="G47" s="3">
        <v>0</v>
      </c>
      <c r="H47" s="3">
        <f t="shared" ref="H47:H110" si="1">G47+F47</f>
        <v>10418.950000000006</v>
      </c>
      <c r="I47" s="3"/>
      <c r="J47" s="3"/>
      <c r="K47" s="3"/>
    </row>
    <row r="48" spans="1:11">
      <c r="A48" s="3">
        <v>42355</v>
      </c>
      <c r="B48" s="3">
        <v>233.39</v>
      </c>
      <c r="C48" s="4" cm="1">
        <f t="array" aca="1" ref="C48" ca="1">$B48-INDIRECT(ADDRESS(ROW()-C$2,2))</f>
        <v>6.6699999999999875</v>
      </c>
      <c r="D48" s="4" cm="1">
        <f t="array" aca="1" ref="D48" ca="1">$B48-INDIRECT(ADDRESS(ROW()-D$2,2))</f>
        <v>6.3199999999999932</v>
      </c>
      <c r="E48" s="4" cm="1">
        <f t="array" aca="1" ref="E48" ca="1">$B48-INDIRECT(ADDRESS(ROW()-E$2,2))</f>
        <v>14.809999999999974</v>
      </c>
      <c r="F48" s="3">
        <v>10418.950000000006</v>
      </c>
      <c r="G48" s="3">
        <v>0</v>
      </c>
      <c r="H48" s="3">
        <f t="shared" si="1"/>
        <v>10418.950000000006</v>
      </c>
      <c r="I48" s="3"/>
      <c r="J48" s="3"/>
      <c r="K48" s="3"/>
    </row>
    <row r="49" spans="1:11">
      <c r="A49" s="3">
        <v>42356</v>
      </c>
      <c r="B49" s="3">
        <v>230.46</v>
      </c>
      <c r="C49" s="4" cm="1">
        <f t="array" aca="1" ref="C49" ca="1">$B49-INDIRECT(ADDRESS(ROW()-C$2,2))</f>
        <v>5.9399999999999977</v>
      </c>
      <c r="D49" s="4" cm="1">
        <f t="array" aca="1" ref="D49" ca="1">$B49-INDIRECT(ADDRESS(ROW()-D$2,2))</f>
        <v>13.439999999999998</v>
      </c>
      <c r="E49" s="4" cm="1">
        <f t="array" aca="1" ref="E49" ca="1">$B49-INDIRECT(ADDRESS(ROW()-E$2,2))</f>
        <v>9.3700000000000045</v>
      </c>
      <c r="F49" s="3">
        <v>10418.950000000006</v>
      </c>
      <c r="G49" s="3">
        <v>0</v>
      </c>
      <c r="H49" s="3">
        <f t="shared" si="1"/>
        <v>10418.950000000006</v>
      </c>
      <c r="I49" s="3"/>
      <c r="J49" s="3"/>
      <c r="K49" s="3"/>
    </row>
    <row r="50" spans="1:11">
      <c r="A50" s="3">
        <v>42359</v>
      </c>
      <c r="B50" s="3">
        <v>232.56</v>
      </c>
      <c r="C50" s="4" cm="1">
        <f t="array" aca="1" ref="C50" ca="1">$B50-INDIRECT(ADDRESS(ROW()-C$2,2))</f>
        <v>5.4900000000000091</v>
      </c>
      <c r="D50" s="4" cm="1">
        <f t="array" aca="1" ref="D50" ca="1">$B50-INDIRECT(ADDRESS(ROW()-D$2,2))</f>
        <v>13.97999999999999</v>
      </c>
      <c r="E50" s="4" cm="1">
        <f t="array" aca="1" ref="E50" ca="1">$B50-INDIRECT(ADDRESS(ROW()-E$2,2))</f>
        <v>-1.9499999999999886</v>
      </c>
      <c r="F50" s="3">
        <v>10418.950000000006</v>
      </c>
      <c r="G50" s="3">
        <v>0</v>
      </c>
      <c r="H50" s="3">
        <f t="shared" si="1"/>
        <v>10418.950000000006</v>
      </c>
      <c r="I50" s="3"/>
      <c r="J50" s="3"/>
      <c r="K50" s="3"/>
    </row>
    <row r="51" spans="1:11">
      <c r="A51" s="3">
        <v>42360</v>
      </c>
      <c r="B51" s="3">
        <v>229.95</v>
      </c>
      <c r="C51" s="4" cm="1">
        <f t="array" aca="1" ref="C51" ca="1">$B51-INDIRECT(ADDRESS(ROW()-C$2,2))</f>
        <v>12.929999999999978</v>
      </c>
      <c r="D51" s="4" cm="1">
        <f t="array" aca="1" ref="D51" ca="1">$B51-INDIRECT(ADDRESS(ROW()-D$2,2))</f>
        <v>8.8599999999999852</v>
      </c>
      <c r="E51" s="4" cm="1">
        <f t="array" aca="1" ref="E51" ca="1">$B51-INDIRECT(ADDRESS(ROW()-E$2,2))</f>
        <v>-3.4399999999999977</v>
      </c>
      <c r="F51" s="3">
        <v>10418.950000000006</v>
      </c>
      <c r="G51" s="3">
        <v>0</v>
      </c>
      <c r="H51" s="3">
        <f t="shared" si="1"/>
        <v>10418.950000000006</v>
      </c>
      <c r="I51" s="3"/>
      <c r="J51" s="3"/>
      <c r="K51" s="3"/>
    </row>
    <row r="52" spans="1:11">
      <c r="A52" s="3">
        <v>42361</v>
      </c>
      <c r="B52" s="3">
        <v>229.7</v>
      </c>
      <c r="C52" s="4" cm="1">
        <f t="array" aca="1" ref="C52" ca="1">$B52-INDIRECT(ADDRESS(ROW()-C$2,2))</f>
        <v>11.119999999999976</v>
      </c>
      <c r="D52" s="4" cm="1">
        <f t="array" aca="1" ref="D52" ca="1">$B52-INDIRECT(ADDRESS(ROW()-D$2,2))</f>
        <v>-4.8100000000000023</v>
      </c>
      <c r="E52" s="4" cm="1">
        <f t="array" aca="1" ref="E52" ca="1">$B52-INDIRECT(ADDRESS(ROW()-E$2,2))</f>
        <v>-0.76000000000001933</v>
      </c>
      <c r="F52" s="3">
        <v>10418.950000000006</v>
      </c>
      <c r="G52" s="3">
        <v>0</v>
      </c>
      <c r="H52" s="3">
        <f t="shared" si="1"/>
        <v>10418.950000000006</v>
      </c>
      <c r="I52" s="3"/>
      <c r="J52" s="3"/>
      <c r="K52" s="3"/>
    </row>
    <row r="53" spans="1:11">
      <c r="A53" s="3">
        <v>42362</v>
      </c>
      <c r="B53" s="3">
        <v>230.57</v>
      </c>
      <c r="C53" s="4" cm="1">
        <f t="array" aca="1" ref="C53" ca="1">$B53-INDIRECT(ADDRESS(ROW()-C$2,2))</f>
        <v>9.4799999999999898</v>
      </c>
      <c r="D53" s="4" cm="1">
        <f t="array" aca="1" ref="D53" ca="1">$B53-INDIRECT(ADDRESS(ROW()-D$2,2))</f>
        <v>-2.8199999999999932</v>
      </c>
      <c r="E53" s="4" cm="1">
        <f t="array" aca="1" ref="E53" ca="1">$B53-INDIRECT(ADDRESS(ROW()-E$2,2))</f>
        <v>-1.9900000000000091</v>
      </c>
      <c r="F53" s="3">
        <v>10418.950000000006</v>
      </c>
      <c r="G53" s="3">
        <v>0</v>
      </c>
      <c r="H53" s="3">
        <f t="shared" si="1"/>
        <v>10418.950000000006</v>
      </c>
      <c r="I53" s="3"/>
      <c r="J53" s="3"/>
      <c r="K53" s="3"/>
    </row>
    <row r="54" spans="1:11">
      <c r="A54" s="3">
        <v>42366</v>
      </c>
      <c r="B54" s="3">
        <v>228.95</v>
      </c>
      <c r="C54" s="4" cm="1">
        <f t="array" aca="1" ref="C54" ca="1">$B54-INDIRECT(ADDRESS(ROW()-C$2,2))</f>
        <v>-5.5600000000000023</v>
      </c>
      <c r="D54" s="4" cm="1">
        <f t="array" aca="1" ref="D54" ca="1">$B54-INDIRECT(ADDRESS(ROW()-D$2,2))</f>
        <v>-1.5100000000000193</v>
      </c>
      <c r="E54" s="4" cm="1">
        <f t="array" aca="1" ref="E54" ca="1">$B54-INDIRECT(ADDRESS(ROW()-E$2,2))</f>
        <v>-1</v>
      </c>
      <c r="F54" s="3">
        <v>10418.950000000006</v>
      </c>
      <c r="G54" s="3">
        <v>0</v>
      </c>
      <c r="H54" s="3">
        <f t="shared" si="1"/>
        <v>10418.950000000006</v>
      </c>
      <c r="I54" s="3"/>
      <c r="J54" s="3"/>
      <c r="K54" s="3"/>
    </row>
    <row r="55" spans="1:11">
      <c r="A55" s="3">
        <v>42367</v>
      </c>
      <c r="B55" s="3">
        <v>237.19</v>
      </c>
      <c r="C55" s="4" cm="1">
        <f t="array" aca="1" ref="C55" ca="1">$B55-INDIRECT(ADDRESS(ROW()-C$2,2))</f>
        <v>3.8000000000000114</v>
      </c>
      <c r="D55" s="4" cm="1">
        <f t="array" aca="1" ref="D55" ca="1">$B55-INDIRECT(ADDRESS(ROW()-D$2,2))</f>
        <v>4.6299999999999955</v>
      </c>
      <c r="E55" s="4" cm="1">
        <f t="array" aca="1" ref="E55" ca="1">$B55-INDIRECT(ADDRESS(ROW()-E$2,2))</f>
        <v>7.4900000000000091</v>
      </c>
      <c r="F55" s="3">
        <v>10418.950000000006</v>
      </c>
      <c r="G55" s="3">
        <v>0</v>
      </c>
      <c r="H55" s="3">
        <f t="shared" si="1"/>
        <v>10418.950000000006</v>
      </c>
      <c r="I55" s="3"/>
      <c r="J55" s="3"/>
      <c r="K55" s="3"/>
    </row>
    <row r="56" spans="1:11">
      <c r="A56" s="3">
        <v>42368</v>
      </c>
      <c r="B56" s="3">
        <v>238.09</v>
      </c>
      <c r="C56" s="4" cm="1">
        <f t="array" aca="1" ref="C56" ca="1">$B56-INDIRECT(ADDRESS(ROW()-C$2,2))</f>
        <v>7.6299999999999955</v>
      </c>
      <c r="D56" s="4" cm="1">
        <f t="array" aca="1" ref="D56" ca="1">$B56-INDIRECT(ADDRESS(ROW()-D$2,2))</f>
        <v>8.1400000000000148</v>
      </c>
      <c r="E56" s="4" cm="1">
        <f t="array" aca="1" ref="E56" ca="1">$B56-INDIRECT(ADDRESS(ROW()-E$2,2))</f>
        <v>7.5200000000000102</v>
      </c>
      <c r="F56" s="3">
        <v>10418.950000000006</v>
      </c>
      <c r="G56" s="3">
        <v>0</v>
      </c>
      <c r="H56" s="3">
        <f t="shared" si="1"/>
        <v>10418.950000000006</v>
      </c>
      <c r="I56" s="3"/>
      <c r="J56" s="3"/>
      <c r="K56" s="3"/>
    </row>
    <row r="57" spans="1:11">
      <c r="A57" s="3">
        <v>42369</v>
      </c>
      <c r="B57" s="3">
        <v>240.01</v>
      </c>
      <c r="C57" s="4" cm="1">
        <f t="array" aca="1" ref="C57" ca="1">$B57-INDIRECT(ADDRESS(ROW()-C$2,2))</f>
        <v>7.4499999999999886</v>
      </c>
      <c r="D57" s="4" cm="1">
        <f t="array" aca="1" ref="D57" ca="1">$B57-INDIRECT(ADDRESS(ROW()-D$2,2))</f>
        <v>10.310000000000002</v>
      </c>
      <c r="E57" s="4" cm="1">
        <f t="array" aca="1" ref="E57" ca="1">$B57-INDIRECT(ADDRESS(ROW()-E$2,2))</f>
        <v>11.060000000000002</v>
      </c>
      <c r="F57" s="3">
        <v>10418.950000000006</v>
      </c>
      <c r="G57" s="3">
        <v>0</v>
      </c>
      <c r="H57" s="3">
        <f t="shared" si="1"/>
        <v>10418.950000000006</v>
      </c>
      <c r="I57" s="3"/>
      <c r="J57" s="3"/>
      <c r="K57" s="3"/>
    </row>
    <row r="58" spans="1:11">
      <c r="A58" s="3">
        <v>42373</v>
      </c>
      <c r="B58" s="3">
        <v>223.41</v>
      </c>
      <c r="C58" s="4" cm="1">
        <f t="array" aca="1" ref="C58" ca="1">$B58-INDIRECT(ADDRESS(ROW()-C$2,2))</f>
        <v>-6.539999999999992</v>
      </c>
      <c r="D58" s="4" cm="1">
        <f t="array" aca="1" ref="D58" ca="1">$B58-INDIRECT(ADDRESS(ROW()-D$2,2))</f>
        <v>-7.1599999999999966</v>
      </c>
      <c r="E58" s="4" cm="1">
        <f t="array" aca="1" ref="E58" ca="1">$B58-INDIRECT(ADDRESS(ROW()-E$2,2))</f>
        <v>-13.780000000000001</v>
      </c>
      <c r="F58" s="3">
        <v>10418.950000000006</v>
      </c>
      <c r="G58" s="3">
        <v>0</v>
      </c>
      <c r="H58" s="3">
        <f t="shared" si="1"/>
        <v>10418.950000000006</v>
      </c>
      <c r="I58" s="3"/>
      <c r="J58" s="3"/>
      <c r="K58" s="3"/>
    </row>
    <row r="59" spans="1:11">
      <c r="A59" s="3">
        <v>42374</v>
      </c>
      <c r="B59" s="3">
        <v>223.43</v>
      </c>
      <c r="C59" s="4" cm="1">
        <f t="array" aca="1" ref="C59" ca="1">$B59-INDIRECT(ADDRESS(ROW()-C$2,2))</f>
        <v>-6.2699999999999818</v>
      </c>
      <c r="D59" s="4" cm="1">
        <f t="array" aca="1" ref="D59" ca="1">$B59-INDIRECT(ADDRESS(ROW()-D$2,2))</f>
        <v>-5.5199999999999818</v>
      </c>
      <c r="E59" s="4" cm="1">
        <f t="array" aca="1" ref="E59" ca="1">$B59-INDIRECT(ADDRESS(ROW()-E$2,2))</f>
        <v>-14.659999999999997</v>
      </c>
      <c r="F59" s="3">
        <v>10418.950000000006</v>
      </c>
      <c r="G59" s="3">
        <v>0</v>
      </c>
      <c r="H59" s="3">
        <f t="shared" si="1"/>
        <v>10418.950000000006</v>
      </c>
      <c r="I59" s="3"/>
      <c r="J59" s="3"/>
      <c r="K59" s="3"/>
    </row>
    <row r="60" spans="1:11">
      <c r="A60" s="3">
        <v>42375</v>
      </c>
      <c r="B60" s="3">
        <v>219.04</v>
      </c>
      <c r="C60" s="4" cm="1">
        <f t="array" aca="1" ref="C60" ca="1">$B60-INDIRECT(ADDRESS(ROW()-C$2,2))</f>
        <v>-11.530000000000001</v>
      </c>
      <c r="D60" s="4" cm="1">
        <f t="array" aca="1" ref="D60" ca="1">$B60-INDIRECT(ADDRESS(ROW()-D$2,2))</f>
        <v>-18.150000000000006</v>
      </c>
      <c r="E60" s="4" cm="1">
        <f t="array" aca="1" ref="E60" ca="1">$B60-INDIRECT(ADDRESS(ROW()-E$2,2))</f>
        <v>-20.97</v>
      </c>
      <c r="F60" s="3">
        <v>10418.950000000006</v>
      </c>
      <c r="G60" s="3">
        <v>0</v>
      </c>
      <c r="H60" s="3">
        <f t="shared" si="1"/>
        <v>10418.950000000006</v>
      </c>
      <c r="I60" s="3"/>
      <c r="J60" s="3"/>
      <c r="K60" s="3"/>
    </row>
    <row r="61" spans="1:11">
      <c r="A61" s="3">
        <v>42376</v>
      </c>
      <c r="B61" s="3">
        <v>215.65</v>
      </c>
      <c r="C61" s="4" cm="1">
        <f t="array" aca="1" ref="C61" ca="1">$B61-INDIRECT(ADDRESS(ROW()-C$2,2))</f>
        <v>-13.299999999999983</v>
      </c>
      <c r="D61" s="4" cm="1">
        <f t="array" aca="1" ref="D61" ca="1">$B61-INDIRECT(ADDRESS(ROW()-D$2,2))</f>
        <v>-22.439999999999998</v>
      </c>
      <c r="E61" s="4" cm="1">
        <f t="array" aca="1" ref="E61" ca="1">$B61-INDIRECT(ADDRESS(ROW()-E$2,2))</f>
        <v>-7.7599999999999909</v>
      </c>
      <c r="F61" s="3">
        <v>10418.950000000006</v>
      </c>
      <c r="G61" s="3">
        <v>0</v>
      </c>
      <c r="H61" s="3">
        <f t="shared" si="1"/>
        <v>10418.950000000006</v>
      </c>
      <c r="I61" s="3"/>
      <c r="J61" s="3"/>
      <c r="K61" s="3"/>
    </row>
    <row r="62" spans="1:11">
      <c r="A62" s="3">
        <v>42377</v>
      </c>
      <c r="B62" s="3">
        <v>211</v>
      </c>
      <c r="C62" s="4" cm="1">
        <f t="array" aca="1" ref="C62" ca="1">$B62-INDIRECT(ADDRESS(ROW()-C$2,2))</f>
        <v>-26.189999999999998</v>
      </c>
      <c r="D62" s="4" cm="1">
        <f t="array" aca="1" ref="D62" ca="1">$B62-INDIRECT(ADDRESS(ROW()-D$2,2))</f>
        <v>-29.009999999999991</v>
      </c>
      <c r="E62" s="4" cm="1">
        <f t="array" aca="1" ref="E62" ca="1">$B62-INDIRECT(ADDRESS(ROW()-E$2,2))</f>
        <v>-12.430000000000007</v>
      </c>
      <c r="F62" s="3">
        <v>10418.950000000006</v>
      </c>
      <c r="G62" s="3">
        <v>0</v>
      </c>
      <c r="H62" s="3">
        <f t="shared" si="1"/>
        <v>10418.950000000006</v>
      </c>
      <c r="I62" s="3"/>
      <c r="J62" s="3"/>
      <c r="K62" s="3"/>
    </row>
    <row r="63" spans="1:11">
      <c r="A63" s="3">
        <v>42380</v>
      </c>
      <c r="B63" s="3">
        <v>207.85</v>
      </c>
      <c r="C63" s="4" cm="1">
        <f t="array" aca="1" ref="C63" ca="1">$B63-INDIRECT(ADDRESS(ROW()-C$2,2))</f>
        <v>-30.240000000000009</v>
      </c>
      <c r="D63" s="4" cm="1">
        <f t="array" aca="1" ref="D63" ca="1">$B63-INDIRECT(ADDRESS(ROW()-D$2,2))</f>
        <v>-15.560000000000002</v>
      </c>
      <c r="E63" s="4" cm="1">
        <f t="array" aca="1" ref="E63" ca="1">$B63-INDIRECT(ADDRESS(ROW()-E$2,2))</f>
        <v>-11.189999999999998</v>
      </c>
      <c r="F63" s="3">
        <v>10418.950000000006</v>
      </c>
      <c r="G63" s="3">
        <v>0</v>
      </c>
      <c r="H63" s="3">
        <f t="shared" si="1"/>
        <v>10418.950000000006</v>
      </c>
      <c r="I63" s="3"/>
      <c r="J63" s="3"/>
      <c r="K63" s="3"/>
    </row>
    <row r="64" spans="1:11">
      <c r="A64" s="3">
        <v>42381</v>
      </c>
      <c r="B64" s="3">
        <v>209.97</v>
      </c>
      <c r="C64" s="4" cm="1">
        <f t="array" aca="1" ref="C64" ca="1">$B64-INDIRECT(ADDRESS(ROW()-C$2,2))</f>
        <v>-30.039999999999992</v>
      </c>
      <c r="D64" s="4" cm="1">
        <f t="array" aca="1" ref="D64" ca="1">$B64-INDIRECT(ADDRESS(ROW()-D$2,2))</f>
        <v>-13.460000000000008</v>
      </c>
      <c r="E64" s="4" cm="1">
        <f t="array" aca="1" ref="E64" ca="1">$B64-INDIRECT(ADDRESS(ROW()-E$2,2))</f>
        <v>-5.6800000000000068</v>
      </c>
      <c r="F64" s="3">
        <v>10418.950000000006</v>
      </c>
      <c r="G64" s="3">
        <v>0</v>
      </c>
      <c r="H64" s="3">
        <f t="shared" si="1"/>
        <v>10418.950000000006</v>
      </c>
      <c r="I64" s="3"/>
      <c r="J64" s="3"/>
      <c r="K64" s="3"/>
    </row>
    <row r="65" spans="1:11">
      <c r="A65" s="3">
        <v>42382</v>
      </c>
      <c r="B65" s="3">
        <v>200.31</v>
      </c>
      <c r="C65" s="4" cm="1">
        <f t="array" aca="1" ref="C65" ca="1">$B65-INDIRECT(ADDRESS(ROW()-C$2,2))</f>
        <v>-23.099999999999994</v>
      </c>
      <c r="D65" s="4" cm="1">
        <f t="array" aca="1" ref="D65" ca="1">$B65-INDIRECT(ADDRESS(ROW()-D$2,2))</f>
        <v>-18.72999999999999</v>
      </c>
      <c r="E65" s="4" cm="1">
        <f t="array" aca="1" ref="E65" ca="1">$B65-INDIRECT(ADDRESS(ROW()-E$2,2))</f>
        <v>-10.689999999999998</v>
      </c>
      <c r="F65" s="3">
        <v>10418.950000000006</v>
      </c>
      <c r="G65" s="3">
        <v>0</v>
      </c>
      <c r="H65" s="3">
        <f t="shared" si="1"/>
        <v>10418.950000000006</v>
      </c>
      <c r="I65" s="3"/>
      <c r="J65" s="3"/>
      <c r="K65" s="3"/>
    </row>
    <row r="66" spans="1:11">
      <c r="A66" s="3">
        <v>42383</v>
      </c>
      <c r="B66" s="3">
        <v>206.18</v>
      </c>
      <c r="C66" s="4" cm="1">
        <f t="array" aca="1" ref="C66" ca="1">$B66-INDIRECT(ADDRESS(ROW()-C$2,2))</f>
        <v>-17.25</v>
      </c>
      <c r="D66" s="4" cm="1">
        <f t="array" aca="1" ref="D66" ca="1">$B66-INDIRECT(ADDRESS(ROW()-D$2,2))</f>
        <v>-9.4699999999999989</v>
      </c>
      <c r="E66" s="4" cm="1">
        <f t="array" aca="1" ref="E66" ca="1">$B66-INDIRECT(ADDRESS(ROW()-E$2,2))</f>
        <v>-1.6699999999999875</v>
      </c>
      <c r="F66" s="3">
        <v>10418.950000000006</v>
      </c>
      <c r="G66" s="3">
        <v>0</v>
      </c>
      <c r="H66" s="3">
        <f t="shared" si="1"/>
        <v>10418.950000000006</v>
      </c>
      <c r="I66" s="3"/>
      <c r="J66" s="3"/>
      <c r="K66" s="3"/>
    </row>
    <row r="67" spans="1:11">
      <c r="A67" s="3">
        <v>42384</v>
      </c>
      <c r="B67" s="3">
        <v>204.99</v>
      </c>
      <c r="C67" s="4" cm="1">
        <f t="array" aca="1" ref="C67" ca="1">$B67-INDIRECT(ADDRESS(ROW()-C$2,2))</f>
        <v>-14.049999999999983</v>
      </c>
      <c r="D67" s="4" cm="1">
        <f t="array" aca="1" ref="D67" ca="1">$B67-INDIRECT(ADDRESS(ROW()-D$2,2))</f>
        <v>-6.0099999999999909</v>
      </c>
      <c r="E67" s="4" cm="1">
        <f t="array" aca="1" ref="E67" ca="1">$B67-INDIRECT(ADDRESS(ROW()-E$2,2))</f>
        <v>-4.9799999999999898</v>
      </c>
      <c r="F67" s="3">
        <v>10418.950000000006</v>
      </c>
      <c r="G67" s="3">
        <v>0</v>
      </c>
      <c r="H67" s="3">
        <f t="shared" si="1"/>
        <v>10418.950000000006</v>
      </c>
      <c r="I67" s="3"/>
      <c r="J67" s="3"/>
      <c r="K67" s="3"/>
    </row>
    <row r="68" spans="1:11">
      <c r="A68" s="3">
        <v>42388</v>
      </c>
      <c r="B68" s="3">
        <v>204.72</v>
      </c>
      <c r="C68" s="4" cm="1">
        <f t="array" aca="1" ref="C68" ca="1">$B68-INDIRECT(ADDRESS(ROW()-C$2,2))</f>
        <v>-10.930000000000007</v>
      </c>
      <c r="D68" s="4" cm="1">
        <f t="array" aca="1" ref="D68" ca="1">$B68-INDIRECT(ADDRESS(ROW()-D$2,2))</f>
        <v>-3.1299999999999955</v>
      </c>
      <c r="E68" s="4" cm="1">
        <f t="array" aca="1" ref="E68" ca="1">$B68-INDIRECT(ADDRESS(ROW()-E$2,2))</f>
        <v>4.4099999999999966</v>
      </c>
      <c r="F68" s="3">
        <v>10418.950000000006</v>
      </c>
      <c r="G68" s="3">
        <v>0</v>
      </c>
      <c r="H68" s="3">
        <f t="shared" si="1"/>
        <v>10418.950000000006</v>
      </c>
      <c r="I68" s="3"/>
      <c r="J68" s="3"/>
      <c r="K68" s="3"/>
    </row>
    <row r="69" spans="1:11">
      <c r="A69" s="3">
        <v>42389</v>
      </c>
      <c r="B69" s="3">
        <v>198.7</v>
      </c>
      <c r="C69" s="4" cm="1">
        <f t="array" aca="1" ref="C69" ca="1">$B69-INDIRECT(ADDRESS(ROW()-C$2,2))</f>
        <v>-12.300000000000011</v>
      </c>
      <c r="D69" s="4" cm="1">
        <f t="array" aca="1" ref="D69" ca="1">$B69-INDIRECT(ADDRESS(ROW()-D$2,2))</f>
        <v>-11.27000000000001</v>
      </c>
      <c r="E69" s="4" cm="1">
        <f t="array" aca="1" ref="E69" ca="1">$B69-INDIRECT(ADDRESS(ROW()-E$2,2))</f>
        <v>-7.4800000000000182</v>
      </c>
      <c r="F69" s="3">
        <v>10418.950000000006</v>
      </c>
      <c r="G69" s="3">
        <v>0</v>
      </c>
      <c r="H69" s="3">
        <f t="shared" si="1"/>
        <v>10418.950000000006</v>
      </c>
      <c r="I69" s="3"/>
      <c r="J69" s="3"/>
      <c r="K69" s="3"/>
    </row>
    <row r="70" spans="1:11">
      <c r="A70" s="3">
        <v>42390</v>
      </c>
      <c r="B70" s="3">
        <v>199.97</v>
      </c>
      <c r="C70" s="4" cm="1">
        <f t="array" aca="1" ref="C70" ca="1">$B70-INDIRECT(ADDRESS(ROW()-C$2,2))</f>
        <v>-7.8799999999999955</v>
      </c>
      <c r="D70" s="4" cm="1">
        <f t="array" aca="1" ref="D70" ca="1">$B70-INDIRECT(ADDRESS(ROW()-D$2,2))</f>
        <v>-0.34000000000000341</v>
      </c>
      <c r="E70" s="4" cm="1">
        <f t="array" aca="1" ref="E70" ca="1">$B70-INDIRECT(ADDRESS(ROW()-E$2,2))</f>
        <v>-5.0200000000000102</v>
      </c>
      <c r="F70" s="3">
        <v>10418.950000000006</v>
      </c>
      <c r="G70" s="3">
        <v>0</v>
      </c>
      <c r="H70" s="3">
        <f t="shared" si="1"/>
        <v>10418.950000000006</v>
      </c>
      <c r="I70" s="3"/>
      <c r="J70" s="3"/>
      <c r="K70" s="3"/>
    </row>
    <row r="71" spans="1:11">
      <c r="A71" s="3">
        <v>42391</v>
      </c>
      <c r="B71" s="3">
        <v>202.55</v>
      </c>
      <c r="C71" s="4" cm="1">
        <f t="array" aca="1" ref="C71" ca="1">$B71-INDIRECT(ADDRESS(ROW()-C$2,2))</f>
        <v>-7.4199999999999875</v>
      </c>
      <c r="D71" s="4" cm="1">
        <f t="array" aca="1" ref="D71" ca="1">$B71-INDIRECT(ADDRESS(ROW()-D$2,2))</f>
        <v>-3.6299999999999955</v>
      </c>
      <c r="E71" s="4" cm="1">
        <f t="array" aca="1" ref="E71" ca="1">$B71-INDIRECT(ADDRESS(ROW()-E$2,2))</f>
        <v>-2.1699999999999875</v>
      </c>
      <c r="F71" s="3">
        <v>10418.950000000006</v>
      </c>
      <c r="G71" s="3">
        <v>0</v>
      </c>
      <c r="H71" s="3">
        <f t="shared" si="1"/>
        <v>10418.950000000006</v>
      </c>
      <c r="I71" s="3"/>
      <c r="J71" s="3"/>
      <c r="K71" s="3"/>
    </row>
    <row r="72" spans="1:11">
      <c r="A72" s="3">
        <v>42394</v>
      </c>
      <c r="B72" s="3">
        <v>196.38</v>
      </c>
      <c r="C72" s="4" cm="1">
        <f t="array" aca="1" ref="C72" ca="1">$B72-INDIRECT(ADDRESS(ROW()-C$2,2))</f>
        <v>-3.9300000000000068</v>
      </c>
      <c r="D72" s="4" cm="1">
        <f t="array" aca="1" ref="D72" ca="1">$B72-INDIRECT(ADDRESS(ROW()-D$2,2))</f>
        <v>-8.6100000000000136</v>
      </c>
      <c r="E72" s="4" cm="1">
        <f t="array" aca="1" ref="E72" ca="1">$B72-INDIRECT(ADDRESS(ROW()-E$2,2))</f>
        <v>-2.3199999999999932</v>
      </c>
      <c r="F72" s="3">
        <v>10418.950000000006</v>
      </c>
      <c r="G72" s="3">
        <v>0</v>
      </c>
      <c r="H72" s="3">
        <f t="shared" si="1"/>
        <v>10418.950000000006</v>
      </c>
      <c r="I72" s="3"/>
      <c r="J72" s="3"/>
      <c r="K72" s="3"/>
    </row>
    <row r="73" spans="1:11">
      <c r="A73" s="3">
        <v>42395</v>
      </c>
      <c r="B73" s="3">
        <v>193.56</v>
      </c>
      <c r="C73" s="4" cm="1">
        <f t="array" aca="1" ref="C73" ca="1">$B73-INDIRECT(ADDRESS(ROW()-C$2,2))</f>
        <v>-12.620000000000005</v>
      </c>
      <c r="D73" s="4" cm="1">
        <f t="array" aca="1" ref="D73" ca="1">$B73-INDIRECT(ADDRESS(ROW()-D$2,2))</f>
        <v>-11.159999999999997</v>
      </c>
      <c r="E73" s="4" cm="1">
        <f t="array" aca="1" ref="E73" ca="1">$B73-INDIRECT(ADDRESS(ROW()-E$2,2))</f>
        <v>-6.4099999999999966</v>
      </c>
      <c r="F73" s="3">
        <v>10418.950000000006</v>
      </c>
      <c r="G73" s="3">
        <v>0</v>
      </c>
      <c r="H73" s="3">
        <f t="shared" si="1"/>
        <v>10418.950000000006</v>
      </c>
      <c r="I73" s="3"/>
      <c r="J73" s="3"/>
      <c r="K73" s="3"/>
    </row>
    <row r="74" spans="1:11">
      <c r="A74" s="3">
        <v>42396</v>
      </c>
      <c r="B74" s="3">
        <v>188.07</v>
      </c>
      <c r="C74" s="4" cm="1">
        <f t="array" aca="1" ref="C74" ca="1">$B74-INDIRECT(ADDRESS(ROW()-C$2,2))</f>
        <v>-16.920000000000016</v>
      </c>
      <c r="D74" s="4" cm="1">
        <f t="array" aca="1" ref="D74" ca="1">$B74-INDIRECT(ADDRESS(ROW()-D$2,2))</f>
        <v>-10.629999999999995</v>
      </c>
      <c r="E74" s="4" cm="1">
        <f t="array" aca="1" ref="E74" ca="1">$B74-INDIRECT(ADDRESS(ROW()-E$2,2))</f>
        <v>-14.480000000000018</v>
      </c>
      <c r="F74" s="3">
        <v>10418.950000000006</v>
      </c>
      <c r="G74" s="3">
        <v>0</v>
      </c>
      <c r="H74" s="3">
        <f t="shared" si="1"/>
        <v>10418.950000000006</v>
      </c>
      <c r="I74" s="3"/>
      <c r="J74" s="3"/>
      <c r="K74" s="3"/>
    </row>
    <row r="75" spans="1:11">
      <c r="A75" s="3">
        <v>42397</v>
      </c>
      <c r="B75" s="3">
        <v>189.7</v>
      </c>
      <c r="C75" s="4" cm="1">
        <f t="array" aca="1" ref="C75" ca="1">$B75-INDIRECT(ADDRESS(ROW()-C$2,2))</f>
        <v>-15.02000000000001</v>
      </c>
      <c r="D75" s="4" cm="1">
        <f t="array" aca="1" ref="D75" ca="1">$B75-INDIRECT(ADDRESS(ROW()-D$2,2))</f>
        <v>-10.27000000000001</v>
      </c>
      <c r="E75" s="4" cm="1">
        <f t="array" aca="1" ref="E75" ca="1">$B75-INDIRECT(ADDRESS(ROW()-E$2,2))</f>
        <v>-6.6800000000000068</v>
      </c>
      <c r="F75" s="3">
        <v>10418.950000000006</v>
      </c>
      <c r="G75" s="3">
        <v>0</v>
      </c>
      <c r="H75" s="3">
        <f t="shared" si="1"/>
        <v>10418.950000000006</v>
      </c>
      <c r="I75" s="3"/>
      <c r="J75" s="3"/>
      <c r="K75" s="3"/>
    </row>
    <row r="76" spans="1:11">
      <c r="A76" s="3">
        <v>42398</v>
      </c>
      <c r="B76" s="3">
        <v>191.2</v>
      </c>
      <c r="C76" s="4" cm="1">
        <f t="array" aca="1" ref="C76" ca="1">$B76-INDIRECT(ADDRESS(ROW()-C$2,2))</f>
        <v>-7.5</v>
      </c>
      <c r="D76" s="4" cm="1">
        <f t="array" aca="1" ref="D76" ca="1">$B76-INDIRECT(ADDRESS(ROW()-D$2,2))</f>
        <v>-11.350000000000023</v>
      </c>
      <c r="E76" s="4" cm="1">
        <f t="array" aca="1" ref="E76" ca="1">$B76-INDIRECT(ADDRESS(ROW()-E$2,2))</f>
        <v>-2.3600000000000136</v>
      </c>
      <c r="F76" s="3">
        <v>10418.950000000006</v>
      </c>
      <c r="G76" s="3">
        <v>0</v>
      </c>
      <c r="H76" s="3">
        <f t="shared" si="1"/>
        <v>10418.950000000006</v>
      </c>
      <c r="I76" s="3"/>
      <c r="J76" s="3"/>
      <c r="K76" s="3"/>
    </row>
    <row r="77" spans="1:11">
      <c r="A77" s="3">
        <v>42401</v>
      </c>
      <c r="B77" s="3">
        <v>196.94</v>
      </c>
      <c r="C77" s="4" cm="1">
        <f t="array" aca="1" ref="C77" ca="1">$B77-INDIRECT(ADDRESS(ROW()-C$2,2))</f>
        <v>-3.0300000000000011</v>
      </c>
      <c r="D77" s="4" cm="1">
        <f t="array" aca="1" ref="D77" ca="1">$B77-INDIRECT(ADDRESS(ROW()-D$2,2))</f>
        <v>0.56000000000000227</v>
      </c>
      <c r="E77" s="4" cm="1">
        <f t="array" aca="1" ref="E77" ca="1">$B77-INDIRECT(ADDRESS(ROW()-E$2,2))</f>
        <v>8.8700000000000045</v>
      </c>
      <c r="F77" s="3">
        <v>178.07000000000801</v>
      </c>
      <c r="G77" s="3">
        <v>10240.879999999999</v>
      </c>
      <c r="H77" s="3">
        <f t="shared" si="1"/>
        <v>10418.950000000008</v>
      </c>
      <c r="I77" s="3"/>
      <c r="J77" s="3"/>
      <c r="K77" s="3"/>
    </row>
    <row r="78" spans="1:11">
      <c r="A78" s="3">
        <v>42402</v>
      </c>
      <c r="B78" s="3">
        <v>182.78</v>
      </c>
      <c r="C78" s="4" cm="1">
        <f t="array" aca="1" ref="C78" ca="1">$B78-INDIRECT(ADDRESS(ROW()-C$2,2))</f>
        <v>-19.77000000000001</v>
      </c>
      <c r="D78" s="4" cm="1">
        <f t="array" aca="1" ref="D78" ca="1">$B78-INDIRECT(ADDRESS(ROW()-D$2,2))</f>
        <v>-10.780000000000001</v>
      </c>
      <c r="E78" s="4" cm="1">
        <f t="array" aca="1" ref="E78" ca="1">$B78-INDIRECT(ADDRESS(ROW()-E$2,2))</f>
        <v>-6.9199999999999875</v>
      </c>
      <c r="F78" s="3">
        <v>178.07000000000801</v>
      </c>
      <c r="G78" s="3">
        <v>9504.56</v>
      </c>
      <c r="H78" s="3">
        <f t="shared" si="1"/>
        <v>9682.6300000000083</v>
      </c>
      <c r="I78" s="3"/>
      <c r="J78" s="3"/>
      <c r="K78" s="3"/>
    </row>
    <row r="79" spans="1:11">
      <c r="A79" s="3">
        <v>42403</v>
      </c>
      <c r="B79" s="3">
        <v>173.48</v>
      </c>
      <c r="C79" s="4" cm="1">
        <f t="array" aca="1" ref="C79" ca="1">$B79-INDIRECT(ADDRESS(ROW()-C$2,2))</f>
        <v>-22.900000000000006</v>
      </c>
      <c r="D79" s="4" cm="1">
        <f t="array" aca="1" ref="D79" ca="1">$B79-INDIRECT(ADDRESS(ROW()-D$2,2))</f>
        <v>-14.590000000000003</v>
      </c>
      <c r="E79" s="4" cm="1">
        <f t="array" aca="1" ref="E79" ca="1">$B79-INDIRECT(ADDRESS(ROW()-E$2,2))</f>
        <v>-17.72</v>
      </c>
      <c r="F79" s="3">
        <v>178.07000000000801</v>
      </c>
      <c r="G79" s="3">
        <v>9020.9599999999991</v>
      </c>
      <c r="H79" s="3">
        <f t="shared" si="1"/>
        <v>9199.0300000000079</v>
      </c>
      <c r="I79" s="3"/>
      <c r="J79" s="3"/>
      <c r="K79" s="3"/>
    </row>
    <row r="80" spans="1:11">
      <c r="A80" s="3">
        <v>42404</v>
      </c>
      <c r="B80" s="3">
        <v>175.33</v>
      </c>
      <c r="C80" s="4" cm="1">
        <f t="array" aca="1" ref="C80" ca="1">$B80-INDIRECT(ADDRESS(ROW()-C$2,2))</f>
        <v>-18.22999999999999</v>
      </c>
      <c r="D80" s="4" cm="1">
        <f t="array" aca="1" ref="D80" ca="1">$B80-INDIRECT(ADDRESS(ROW()-D$2,2))</f>
        <v>-14.369999999999976</v>
      </c>
      <c r="E80" s="4" cm="1">
        <f t="array" aca="1" ref="E80" ca="1">$B80-INDIRECT(ADDRESS(ROW()-E$2,2))</f>
        <v>-21.609999999999985</v>
      </c>
      <c r="F80" s="3">
        <v>178.07000000000801</v>
      </c>
      <c r="G80" s="3">
        <v>9117.16</v>
      </c>
      <c r="H80" s="3">
        <f t="shared" si="1"/>
        <v>9295.2300000000087</v>
      </c>
      <c r="I80" s="3"/>
      <c r="J80" s="3"/>
      <c r="K80" s="3"/>
    </row>
    <row r="81" spans="1:11">
      <c r="A81" s="3">
        <v>42405</v>
      </c>
      <c r="B81" s="3">
        <v>162.6</v>
      </c>
      <c r="C81" s="4" cm="1">
        <f t="array" aca="1" ref="C81" ca="1">$B81-INDIRECT(ADDRESS(ROW()-C$2,2))</f>
        <v>-25.47</v>
      </c>
      <c r="D81" s="4" cm="1">
        <f t="array" aca="1" ref="D81" ca="1">$B81-INDIRECT(ADDRESS(ROW()-D$2,2))</f>
        <v>-28.599999999999994</v>
      </c>
      <c r="E81" s="4" cm="1">
        <f t="array" aca="1" ref="E81" ca="1">$B81-INDIRECT(ADDRESS(ROW()-E$2,2))</f>
        <v>-20.180000000000007</v>
      </c>
      <c r="F81" s="3">
        <v>178.07000000000801</v>
      </c>
      <c r="G81" s="3">
        <v>8455.1999999999989</v>
      </c>
      <c r="H81" s="3">
        <f t="shared" si="1"/>
        <v>8633.2700000000077</v>
      </c>
      <c r="I81" s="3"/>
      <c r="J81" s="3"/>
      <c r="K81" s="3"/>
    </row>
    <row r="82" spans="1:11">
      <c r="A82" s="3">
        <v>42408</v>
      </c>
      <c r="B82" s="3">
        <v>147.99</v>
      </c>
      <c r="C82" s="4" cm="1">
        <f t="array" aca="1" ref="C82" ca="1">$B82-INDIRECT(ADDRESS(ROW()-C$2,2))</f>
        <v>-41.70999999999998</v>
      </c>
      <c r="D82" s="4" cm="1">
        <f t="array" aca="1" ref="D82" ca="1">$B82-INDIRECT(ADDRESS(ROW()-D$2,2))</f>
        <v>-48.949999999999989</v>
      </c>
      <c r="E82" s="4" cm="1">
        <f t="array" aca="1" ref="E82" ca="1">$B82-INDIRECT(ADDRESS(ROW()-E$2,2))</f>
        <v>-25.489999999999981</v>
      </c>
      <c r="F82" s="3">
        <v>178.07000000000801</v>
      </c>
      <c r="G82" s="3">
        <v>7695.4800000000005</v>
      </c>
      <c r="H82" s="3">
        <f t="shared" si="1"/>
        <v>7873.5500000000084</v>
      </c>
      <c r="I82" s="3"/>
      <c r="J82" s="3"/>
      <c r="K82" s="3"/>
    </row>
    <row r="83" spans="1:11">
      <c r="A83" s="3">
        <v>42409</v>
      </c>
      <c r="B83" s="3">
        <v>148.25</v>
      </c>
      <c r="C83" s="4" cm="1">
        <f t="array" aca="1" ref="C83" ca="1">$B83-INDIRECT(ADDRESS(ROW()-C$2,2))</f>
        <v>-42.949999999999989</v>
      </c>
      <c r="D83" s="4" cm="1">
        <f t="array" aca="1" ref="D83" ca="1">$B83-INDIRECT(ADDRESS(ROW()-D$2,2))</f>
        <v>-34.53</v>
      </c>
      <c r="E83" s="4" cm="1">
        <f t="array" aca="1" ref="E83" ca="1">$B83-INDIRECT(ADDRESS(ROW()-E$2,2))</f>
        <v>-27.080000000000013</v>
      </c>
      <c r="F83" s="3">
        <v>178.07000000000801</v>
      </c>
      <c r="G83" s="3">
        <v>7709</v>
      </c>
      <c r="H83" s="3">
        <f t="shared" si="1"/>
        <v>7887.0700000000079</v>
      </c>
      <c r="I83" s="3"/>
      <c r="J83" s="3"/>
      <c r="K83" s="3"/>
    </row>
    <row r="84" spans="1:11">
      <c r="A84" s="3">
        <v>42410</v>
      </c>
      <c r="B84" s="3">
        <v>143.66999999999999</v>
      </c>
      <c r="C84" s="4" cm="1">
        <f t="array" aca="1" ref="C84" ca="1">$B84-INDIRECT(ADDRESS(ROW()-C$2,2))</f>
        <v>-53.27000000000001</v>
      </c>
      <c r="D84" s="4" cm="1">
        <f t="array" aca="1" ref="D84" ca="1">$B84-INDIRECT(ADDRESS(ROW()-D$2,2))</f>
        <v>-29.810000000000002</v>
      </c>
      <c r="E84" s="4" cm="1">
        <f t="array" aca="1" ref="E84" ca="1">$B84-INDIRECT(ADDRESS(ROW()-E$2,2))</f>
        <v>-18.930000000000007</v>
      </c>
      <c r="F84" s="3">
        <v>178.07000000000801</v>
      </c>
      <c r="G84" s="3">
        <v>7470.8399999999992</v>
      </c>
      <c r="H84" s="3">
        <f t="shared" si="1"/>
        <v>7648.9100000000071</v>
      </c>
      <c r="I84" s="3"/>
      <c r="J84" s="3"/>
      <c r="K84" s="3"/>
    </row>
    <row r="85" spans="1:11">
      <c r="A85" s="3">
        <v>42411</v>
      </c>
      <c r="B85" s="3">
        <v>150.47</v>
      </c>
      <c r="C85" s="4" cm="1">
        <f t="array" aca="1" ref="C85" ca="1">$B85-INDIRECT(ADDRESS(ROW()-C$2,2))</f>
        <v>-32.31</v>
      </c>
      <c r="D85" s="4" cm="1">
        <f t="array" aca="1" ref="D85" ca="1">$B85-INDIRECT(ADDRESS(ROW()-D$2,2))</f>
        <v>-24.860000000000014</v>
      </c>
      <c r="E85" s="4" cm="1">
        <f t="array" aca="1" ref="E85" ca="1">$B85-INDIRECT(ADDRESS(ROW()-E$2,2))</f>
        <v>2.4799999999999898</v>
      </c>
      <c r="F85" s="3">
        <v>178.07000000000801</v>
      </c>
      <c r="G85" s="3">
        <v>7824.44</v>
      </c>
      <c r="H85" s="3">
        <f t="shared" si="1"/>
        <v>8002.5100000000075</v>
      </c>
      <c r="I85" s="3"/>
      <c r="J85" s="3"/>
      <c r="K85" s="3"/>
    </row>
    <row r="86" spans="1:11">
      <c r="A86" s="3">
        <v>42412</v>
      </c>
      <c r="B86" s="3">
        <v>151.04</v>
      </c>
      <c r="C86" s="4" cm="1">
        <f t="array" aca="1" ref="C86" ca="1">$B86-INDIRECT(ADDRESS(ROW()-C$2,2))</f>
        <v>-22.439999999999998</v>
      </c>
      <c r="D86" s="4" cm="1">
        <f t="array" aca="1" ref="D86" ca="1">$B86-INDIRECT(ADDRESS(ROW()-D$2,2))</f>
        <v>-11.560000000000002</v>
      </c>
      <c r="E86" s="4" cm="1">
        <f t="array" aca="1" ref="E86" ca="1">$B86-INDIRECT(ADDRESS(ROW()-E$2,2))</f>
        <v>2.789999999999992</v>
      </c>
      <c r="F86" s="3">
        <v>178.07000000000801</v>
      </c>
      <c r="G86" s="3">
        <v>7854.08</v>
      </c>
      <c r="H86" s="3">
        <f t="shared" si="1"/>
        <v>8032.1500000000078</v>
      </c>
      <c r="I86" s="3"/>
      <c r="J86" s="3"/>
      <c r="K86" s="3"/>
    </row>
    <row r="87" spans="1:11">
      <c r="A87" s="3">
        <v>42416</v>
      </c>
      <c r="B87" s="3">
        <v>155.16999999999999</v>
      </c>
      <c r="C87" s="4" cm="1">
        <f t="array" aca="1" ref="C87" ca="1">$B87-INDIRECT(ADDRESS(ROW()-C$2,2))</f>
        <v>-20.160000000000025</v>
      </c>
      <c r="D87" s="4" cm="1">
        <f t="array" aca="1" ref="D87" ca="1">$B87-INDIRECT(ADDRESS(ROW()-D$2,2))</f>
        <v>7.1799999999999784</v>
      </c>
      <c r="E87" s="4" cm="1">
        <f t="array" aca="1" ref="E87" ca="1">$B87-INDIRECT(ADDRESS(ROW()-E$2,2))</f>
        <v>11.5</v>
      </c>
      <c r="F87" s="3">
        <v>22.900000000008021</v>
      </c>
      <c r="G87" s="3">
        <v>8224.01</v>
      </c>
      <c r="H87" s="3">
        <f t="shared" si="1"/>
        <v>8246.9100000000089</v>
      </c>
      <c r="I87" s="3"/>
      <c r="J87" s="3"/>
      <c r="K87" s="3"/>
    </row>
    <row r="88" spans="1:11">
      <c r="A88" s="3">
        <v>42417</v>
      </c>
      <c r="B88" s="3">
        <v>168.68</v>
      </c>
      <c r="C88" s="4" cm="1">
        <f t="array" aca="1" ref="C88" ca="1">$B88-INDIRECT(ADDRESS(ROW()-C$2,2))</f>
        <v>6.0800000000000125</v>
      </c>
      <c r="D88" s="4" cm="1">
        <f t="array" aca="1" ref="D88" ca="1">$B88-INDIRECT(ADDRESS(ROW()-D$2,2))</f>
        <v>20.430000000000007</v>
      </c>
      <c r="E88" s="4" cm="1">
        <f t="array" aca="1" ref="E88" ca="1">$B88-INDIRECT(ADDRESS(ROW()-E$2,2))</f>
        <v>18.210000000000008</v>
      </c>
      <c r="F88" s="3">
        <v>22.900000000008021</v>
      </c>
      <c r="G88" s="3">
        <v>8940.0400000000009</v>
      </c>
      <c r="H88" s="3">
        <f t="shared" si="1"/>
        <v>8962.9400000000096</v>
      </c>
      <c r="I88" s="3"/>
      <c r="J88" s="3"/>
      <c r="K88" s="3"/>
    </row>
    <row r="89" spans="1:11">
      <c r="A89" s="3">
        <v>42418</v>
      </c>
      <c r="B89" s="3">
        <v>166.77</v>
      </c>
      <c r="C89" s="4" cm="1">
        <f t="array" aca="1" ref="C89" ca="1">$B89-INDIRECT(ADDRESS(ROW()-C$2,2))</f>
        <v>18.78</v>
      </c>
      <c r="D89" s="4" cm="1">
        <f t="array" aca="1" ref="D89" ca="1">$B89-INDIRECT(ADDRESS(ROW()-D$2,2))</f>
        <v>23.100000000000023</v>
      </c>
      <c r="E89" s="4" cm="1">
        <f t="array" aca="1" ref="E89" ca="1">$B89-INDIRECT(ADDRESS(ROW()-E$2,2))</f>
        <v>15.730000000000018</v>
      </c>
      <c r="F89" s="3">
        <v>22.900000000008021</v>
      </c>
      <c r="G89" s="3">
        <v>8838.8100000000013</v>
      </c>
      <c r="H89" s="3">
        <f t="shared" si="1"/>
        <v>8861.71000000001</v>
      </c>
      <c r="I89" s="3"/>
      <c r="J89" s="3"/>
      <c r="K89" s="3"/>
    </row>
    <row r="90" spans="1:11">
      <c r="A90" s="3">
        <v>42419</v>
      </c>
      <c r="B90" s="3">
        <v>166.58</v>
      </c>
      <c r="C90" s="4" cm="1">
        <f t="array" aca="1" ref="C90" ca="1">$B90-INDIRECT(ADDRESS(ROW()-C$2,2))</f>
        <v>18.330000000000013</v>
      </c>
      <c r="D90" s="4" cm="1">
        <f t="array" aca="1" ref="D90" ca="1">$B90-INDIRECT(ADDRESS(ROW()-D$2,2))</f>
        <v>16.110000000000014</v>
      </c>
      <c r="E90" s="4" cm="1">
        <f t="array" aca="1" ref="E90" ca="1">$B90-INDIRECT(ADDRESS(ROW()-E$2,2))</f>
        <v>11.410000000000025</v>
      </c>
      <c r="F90" s="3">
        <v>22.900000000008021</v>
      </c>
      <c r="G90" s="3">
        <v>8828.74</v>
      </c>
      <c r="H90" s="3">
        <f t="shared" si="1"/>
        <v>8851.6400000000085</v>
      </c>
      <c r="I90" s="3"/>
      <c r="J90" s="3"/>
      <c r="K90" s="3"/>
    </row>
    <row r="91" spans="1:11">
      <c r="A91" s="3">
        <v>42422</v>
      </c>
      <c r="B91" s="3">
        <v>177.74</v>
      </c>
      <c r="C91" s="4" cm="1">
        <f t="array" aca="1" ref="C91" ca="1">$B91-INDIRECT(ADDRESS(ROW()-C$2,2))</f>
        <v>34.070000000000022</v>
      </c>
      <c r="D91" s="4" cm="1">
        <f t="array" aca="1" ref="D91" ca="1">$B91-INDIRECT(ADDRESS(ROW()-D$2,2))</f>
        <v>26.700000000000017</v>
      </c>
      <c r="E91" s="4" cm="1">
        <f t="array" aca="1" ref="E91" ca="1">$B91-INDIRECT(ADDRESS(ROW()-E$2,2))</f>
        <v>9.0600000000000023</v>
      </c>
      <c r="F91" s="3">
        <v>22.900000000008021</v>
      </c>
      <c r="G91" s="3">
        <v>9420.2200000000012</v>
      </c>
      <c r="H91" s="3">
        <f t="shared" si="1"/>
        <v>9443.1200000000099</v>
      </c>
      <c r="I91" s="3"/>
      <c r="J91" s="3"/>
      <c r="K91" s="3"/>
    </row>
    <row r="92" spans="1:11">
      <c r="A92" s="3">
        <v>42423</v>
      </c>
      <c r="B92" s="3">
        <v>177.21</v>
      </c>
      <c r="C92" s="4" cm="1">
        <f t="array" aca="1" ref="C92" ca="1">$B92-INDIRECT(ADDRESS(ROW()-C$2,2))</f>
        <v>26.740000000000009</v>
      </c>
      <c r="D92" s="4" cm="1">
        <f t="array" aca="1" ref="D92" ca="1">$B92-INDIRECT(ADDRESS(ROW()-D$2,2))</f>
        <v>22.04000000000002</v>
      </c>
      <c r="E92" s="4" cm="1">
        <f t="array" aca="1" ref="E92" ca="1">$B92-INDIRECT(ADDRESS(ROW()-E$2,2))</f>
        <v>10.439999999999998</v>
      </c>
      <c r="F92" s="3">
        <v>22.900000000008021</v>
      </c>
      <c r="G92" s="3">
        <v>9392.130000000001</v>
      </c>
      <c r="H92" s="3">
        <f t="shared" si="1"/>
        <v>9415.0300000000097</v>
      </c>
      <c r="I92" s="3"/>
      <c r="J92" s="3"/>
      <c r="K92" s="3"/>
    </row>
    <row r="93" spans="1:11">
      <c r="A93" s="3">
        <v>42424</v>
      </c>
      <c r="B93" s="3">
        <v>179</v>
      </c>
      <c r="C93" s="4" cm="1">
        <f t="array" aca="1" ref="C93" ca="1">$B93-INDIRECT(ADDRESS(ROW()-C$2,2))</f>
        <v>27.960000000000008</v>
      </c>
      <c r="D93" s="4" cm="1">
        <f t="array" aca="1" ref="D93" ca="1">$B93-INDIRECT(ADDRESS(ROW()-D$2,2))</f>
        <v>10.319999999999993</v>
      </c>
      <c r="E93" s="4" cm="1">
        <f t="array" aca="1" ref="E93" ca="1">$B93-INDIRECT(ADDRESS(ROW()-E$2,2))</f>
        <v>12.419999999999987</v>
      </c>
      <c r="F93" s="3">
        <v>22.900000000008021</v>
      </c>
      <c r="G93" s="3">
        <v>9487</v>
      </c>
      <c r="H93" s="3">
        <f t="shared" si="1"/>
        <v>9509.9000000000087</v>
      </c>
      <c r="I93" s="3"/>
      <c r="J93" s="3"/>
      <c r="K93" s="3"/>
    </row>
    <row r="94" spans="1:11">
      <c r="A94" s="3">
        <v>42425</v>
      </c>
      <c r="B94" s="3">
        <v>187.43</v>
      </c>
      <c r="C94" s="4" cm="1">
        <f t="array" aca="1" ref="C94" ca="1">$B94-INDIRECT(ADDRESS(ROW()-C$2,2))</f>
        <v>32.260000000000019</v>
      </c>
      <c r="D94" s="4" cm="1">
        <f t="array" aca="1" ref="D94" ca="1">$B94-INDIRECT(ADDRESS(ROW()-D$2,2))</f>
        <v>20.659999999999997</v>
      </c>
      <c r="E94" s="4" cm="1">
        <f t="array" aca="1" ref="E94" ca="1">$B94-INDIRECT(ADDRESS(ROW()-E$2,2))</f>
        <v>9.6899999999999977</v>
      </c>
      <c r="F94" s="3">
        <v>22.900000000008021</v>
      </c>
      <c r="G94" s="3">
        <v>9933.7900000000009</v>
      </c>
      <c r="H94" s="3">
        <f t="shared" si="1"/>
        <v>9956.6900000000096</v>
      </c>
      <c r="I94" s="3"/>
      <c r="J94" s="3"/>
      <c r="K94" s="3"/>
    </row>
    <row r="95" spans="1:11">
      <c r="A95" s="3">
        <v>42426</v>
      </c>
      <c r="B95" s="3">
        <v>190.34</v>
      </c>
      <c r="C95" s="4" cm="1">
        <f t="array" aca="1" ref="C95" ca="1">$B95-INDIRECT(ADDRESS(ROW()-C$2,2))</f>
        <v>21.659999999999997</v>
      </c>
      <c r="D95" s="4" cm="1">
        <f t="array" aca="1" ref="D95" ca="1">$B95-INDIRECT(ADDRESS(ROW()-D$2,2))</f>
        <v>23.759999999999991</v>
      </c>
      <c r="E95" s="4" cm="1">
        <f t="array" aca="1" ref="E95" ca="1">$B95-INDIRECT(ADDRESS(ROW()-E$2,2))</f>
        <v>13.129999999999995</v>
      </c>
      <c r="F95" s="3">
        <v>22.900000000008021</v>
      </c>
      <c r="G95" s="3">
        <v>10088.02</v>
      </c>
      <c r="H95" s="3">
        <f t="shared" si="1"/>
        <v>10110.920000000009</v>
      </c>
      <c r="I95" s="3"/>
      <c r="J95" s="3"/>
      <c r="K95" s="3"/>
    </row>
    <row r="96" spans="1:11">
      <c r="A96" s="3">
        <v>42429</v>
      </c>
      <c r="B96" s="3">
        <v>191.93</v>
      </c>
      <c r="C96" s="4" cm="1">
        <f t="array" aca="1" ref="C96" ca="1">$B96-INDIRECT(ADDRESS(ROW()-C$2,2))</f>
        <v>25.159999999999997</v>
      </c>
      <c r="D96" s="4" cm="1">
        <f t="array" aca="1" ref="D96" ca="1">$B96-INDIRECT(ADDRESS(ROW()-D$2,2))</f>
        <v>14.189999999999998</v>
      </c>
      <c r="E96" s="4" cm="1">
        <f t="array" aca="1" ref="E96" ca="1">$B96-INDIRECT(ADDRESS(ROW()-E$2,2))</f>
        <v>12.930000000000007</v>
      </c>
      <c r="F96" s="3">
        <v>22.900000000008021</v>
      </c>
      <c r="G96" s="3">
        <v>10172.290000000001</v>
      </c>
      <c r="H96" s="3">
        <f t="shared" si="1"/>
        <v>10195.19000000001</v>
      </c>
      <c r="I96" s="3"/>
      <c r="J96" s="3"/>
      <c r="K96" s="3"/>
    </row>
    <row r="97" spans="1:11">
      <c r="A97" s="3">
        <v>42430</v>
      </c>
      <c r="B97" s="3">
        <v>186.35</v>
      </c>
      <c r="C97" s="4" cm="1">
        <f t="array" aca="1" ref="C97" ca="1">$B97-INDIRECT(ADDRESS(ROW()-C$2,2))</f>
        <v>19.769999999999982</v>
      </c>
      <c r="D97" s="4" cm="1">
        <f t="array" aca="1" ref="D97" ca="1">$B97-INDIRECT(ADDRESS(ROW()-D$2,2))</f>
        <v>9.1399999999999864</v>
      </c>
      <c r="E97" s="4" cm="1">
        <f t="array" aca="1" ref="E97" ca="1">$B97-INDIRECT(ADDRESS(ROW()-E$2,2))</f>
        <v>-1.0800000000000125</v>
      </c>
      <c r="F97" s="3">
        <v>22.900000000008021</v>
      </c>
      <c r="G97" s="3">
        <v>9876.5499999999993</v>
      </c>
      <c r="H97" s="3">
        <f t="shared" si="1"/>
        <v>9899.450000000008</v>
      </c>
      <c r="I97" s="3"/>
      <c r="J97" s="3"/>
      <c r="K97" s="3"/>
    </row>
    <row r="98" spans="1:11">
      <c r="A98" s="3">
        <v>42431</v>
      </c>
      <c r="B98" s="3">
        <v>188.34</v>
      </c>
      <c r="C98" s="4" cm="1">
        <f t="array" aca="1" ref="C98" ca="1">$B98-INDIRECT(ADDRESS(ROW()-C$2,2))</f>
        <v>10.599999999999994</v>
      </c>
      <c r="D98" s="4" cm="1">
        <f t="array" aca="1" ref="D98" ca="1">$B98-INDIRECT(ADDRESS(ROW()-D$2,2))</f>
        <v>9.3400000000000034</v>
      </c>
      <c r="E98" s="4" cm="1">
        <f t="array" aca="1" ref="E98" ca="1">$B98-INDIRECT(ADDRESS(ROW()-E$2,2))</f>
        <v>-2</v>
      </c>
      <c r="F98" s="3">
        <v>22.900000000008021</v>
      </c>
      <c r="G98" s="3">
        <v>9982.02</v>
      </c>
      <c r="H98" s="3">
        <f t="shared" si="1"/>
        <v>10004.920000000009</v>
      </c>
      <c r="I98" s="3"/>
      <c r="J98" s="3"/>
      <c r="K98" s="3"/>
    </row>
    <row r="99" spans="1:11">
      <c r="A99" s="3">
        <v>42432</v>
      </c>
      <c r="B99" s="3">
        <v>195.74</v>
      </c>
      <c r="C99" s="4" cm="1">
        <f t="array" aca="1" ref="C99" ca="1">$B99-INDIRECT(ADDRESS(ROW()-C$2,2))</f>
        <v>18.53</v>
      </c>
      <c r="D99" s="4" cm="1">
        <f t="array" aca="1" ref="D99" ca="1">$B99-INDIRECT(ADDRESS(ROW()-D$2,2))</f>
        <v>8.3100000000000023</v>
      </c>
      <c r="E99" s="4" cm="1">
        <f t="array" aca="1" ref="E99" ca="1">$B99-INDIRECT(ADDRESS(ROW()-E$2,2))</f>
        <v>3.8100000000000023</v>
      </c>
      <c r="F99" s="3">
        <v>22.900000000008021</v>
      </c>
      <c r="G99" s="3">
        <v>10374.220000000001</v>
      </c>
      <c r="H99" s="3">
        <f t="shared" si="1"/>
        <v>10397.12000000001</v>
      </c>
      <c r="I99" s="3"/>
      <c r="J99" s="3"/>
      <c r="K99" s="3"/>
    </row>
    <row r="100" spans="1:11">
      <c r="A100" s="3">
        <v>42433</v>
      </c>
      <c r="B100" s="3">
        <v>201.04</v>
      </c>
      <c r="C100" s="4" cm="1">
        <f t="array" aca="1" ref="C100" ca="1">$B100-INDIRECT(ADDRESS(ROW()-C$2,2))</f>
        <v>22.039999999999992</v>
      </c>
      <c r="D100" s="4" cm="1">
        <f t="array" aca="1" ref="D100" ca="1">$B100-INDIRECT(ADDRESS(ROW()-D$2,2))</f>
        <v>10.699999999999989</v>
      </c>
      <c r="E100" s="4" cm="1">
        <f t="array" aca="1" ref="E100" ca="1">$B100-INDIRECT(ADDRESS(ROW()-E$2,2))</f>
        <v>14.689999999999998</v>
      </c>
      <c r="F100" s="3">
        <v>22.900000000008021</v>
      </c>
      <c r="G100" s="3">
        <v>10655.119999999999</v>
      </c>
      <c r="H100" s="3">
        <f t="shared" si="1"/>
        <v>10678.020000000008</v>
      </c>
      <c r="I100" s="3"/>
      <c r="J100" s="3"/>
      <c r="K100" s="3"/>
    </row>
    <row r="101" spans="1:11">
      <c r="A101" s="3">
        <v>42436</v>
      </c>
      <c r="B101" s="3">
        <v>205.29</v>
      </c>
      <c r="C101" s="4" cm="1">
        <f t="array" aca="1" ref="C101" ca="1">$B101-INDIRECT(ADDRESS(ROW()-C$2,2))</f>
        <v>17.859999999999985</v>
      </c>
      <c r="D101" s="4" cm="1">
        <f t="array" aca="1" ref="D101" ca="1">$B101-INDIRECT(ADDRESS(ROW()-D$2,2))</f>
        <v>13.359999999999985</v>
      </c>
      <c r="E101" s="4" cm="1">
        <f t="array" aca="1" ref="E101" ca="1">$B101-INDIRECT(ADDRESS(ROW()-E$2,2))</f>
        <v>16.949999999999989</v>
      </c>
      <c r="F101" s="3">
        <v>22.900000000008021</v>
      </c>
      <c r="G101" s="3">
        <v>10880.369999999999</v>
      </c>
      <c r="H101" s="3">
        <f t="shared" si="1"/>
        <v>10903.270000000008</v>
      </c>
      <c r="I101" s="3"/>
      <c r="J101" s="3"/>
      <c r="K101" s="3"/>
    </row>
    <row r="102" spans="1:11">
      <c r="A102" s="3">
        <v>42437</v>
      </c>
      <c r="B102" s="3">
        <v>202.6</v>
      </c>
      <c r="C102" s="4" cm="1">
        <f t="array" aca="1" ref="C102" ca="1">$B102-INDIRECT(ADDRESS(ROW()-C$2,2))</f>
        <v>12.259999999999991</v>
      </c>
      <c r="D102" s="4" cm="1">
        <f t="array" aca="1" ref="D102" ca="1">$B102-INDIRECT(ADDRESS(ROW()-D$2,2))</f>
        <v>16.25</v>
      </c>
      <c r="E102" s="4" cm="1">
        <f t="array" aca="1" ref="E102" ca="1">$B102-INDIRECT(ADDRESS(ROW()-E$2,2))</f>
        <v>6.8599999999999852</v>
      </c>
      <c r="F102" s="3">
        <v>22.900000000008021</v>
      </c>
      <c r="G102" s="3">
        <v>10737.8</v>
      </c>
      <c r="H102" s="3">
        <f t="shared" si="1"/>
        <v>10760.700000000008</v>
      </c>
      <c r="I102" s="3"/>
      <c r="J102" s="3"/>
      <c r="K102" s="3"/>
    </row>
    <row r="103" spans="1:11">
      <c r="A103" s="3">
        <v>42438</v>
      </c>
      <c r="B103" s="3">
        <v>208.72</v>
      </c>
      <c r="C103" s="4" cm="1">
        <f t="array" aca="1" ref="C103" ca="1">$B103-INDIRECT(ADDRESS(ROW()-C$2,2))</f>
        <v>16.789999999999992</v>
      </c>
      <c r="D103" s="4" cm="1">
        <f t="array" aca="1" ref="D103" ca="1">$B103-INDIRECT(ADDRESS(ROW()-D$2,2))</f>
        <v>20.379999999999995</v>
      </c>
      <c r="E103" s="4" cm="1">
        <f t="array" aca="1" ref="E103" ca="1">$B103-INDIRECT(ADDRESS(ROW()-E$2,2))</f>
        <v>7.6800000000000068</v>
      </c>
      <c r="F103" s="3">
        <v>22.900000000008021</v>
      </c>
      <c r="G103" s="3">
        <v>11062.16</v>
      </c>
      <c r="H103" s="3">
        <f t="shared" si="1"/>
        <v>11085.060000000009</v>
      </c>
      <c r="I103" s="3"/>
      <c r="J103" s="3"/>
      <c r="K103" s="3"/>
    </row>
    <row r="104" spans="1:11">
      <c r="A104" s="3">
        <v>42439</v>
      </c>
      <c r="B104" s="3">
        <v>205.18</v>
      </c>
      <c r="C104" s="4" cm="1">
        <f t="array" aca="1" ref="C104" ca="1">$B104-INDIRECT(ADDRESS(ROW()-C$2,2))</f>
        <v>18.830000000000013</v>
      </c>
      <c r="D104" s="4" cm="1">
        <f t="array" aca="1" ref="D104" ca="1">$B104-INDIRECT(ADDRESS(ROW()-D$2,2))</f>
        <v>9.4399999999999977</v>
      </c>
      <c r="E104" s="4" cm="1">
        <f t="array" aca="1" ref="E104" ca="1">$B104-INDIRECT(ADDRESS(ROW()-E$2,2))</f>
        <v>-0.10999999999998522</v>
      </c>
      <c r="F104" s="3">
        <v>22.900000000008021</v>
      </c>
      <c r="G104" s="3">
        <v>10874.54</v>
      </c>
      <c r="H104" s="3">
        <f t="shared" si="1"/>
        <v>10897.44000000001</v>
      </c>
      <c r="I104" s="3"/>
      <c r="J104" s="3"/>
      <c r="K104" s="3"/>
    </row>
    <row r="105" spans="1:11">
      <c r="A105" s="3">
        <v>42440</v>
      </c>
      <c r="B105" s="3">
        <v>207.5</v>
      </c>
      <c r="C105" s="4" cm="1">
        <f t="array" aca="1" ref="C105" ca="1">$B105-INDIRECT(ADDRESS(ROW()-C$2,2))</f>
        <v>19.159999999999997</v>
      </c>
      <c r="D105" s="4" cm="1">
        <f t="array" aca="1" ref="D105" ca="1">$B105-INDIRECT(ADDRESS(ROW()-D$2,2))</f>
        <v>6.460000000000008</v>
      </c>
      <c r="E105" s="4" cm="1">
        <f t="array" aca="1" ref="E105" ca="1">$B105-INDIRECT(ADDRESS(ROW()-E$2,2))</f>
        <v>4.9000000000000057</v>
      </c>
      <c r="F105" s="3">
        <v>22.900000000008021</v>
      </c>
      <c r="G105" s="3">
        <v>10997.5</v>
      </c>
      <c r="H105" s="3">
        <f t="shared" si="1"/>
        <v>11020.400000000009</v>
      </c>
      <c r="I105" s="3"/>
      <c r="J105" s="3"/>
      <c r="K105" s="3"/>
    </row>
    <row r="106" spans="1:11">
      <c r="A106" s="3">
        <v>42443</v>
      </c>
      <c r="B106" s="3">
        <v>215.15</v>
      </c>
      <c r="C106" s="4" cm="1">
        <f t="array" aca="1" ref="C106" ca="1">$B106-INDIRECT(ADDRESS(ROW()-C$2,2))</f>
        <v>19.409999999999997</v>
      </c>
      <c r="D106" s="4" cm="1">
        <f t="array" aca="1" ref="D106" ca="1">$B106-INDIRECT(ADDRESS(ROW()-D$2,2))</f>
        <v>9.8600000000000136</v>
      </c>
      <c r="E106" s="4" cm="1">
        <f t="array" aca="1" ref="E106" ca="1">$B106-INDIRECT(ADDRESS(ROW()-E$2,2))</f>
        <v>6.4300000000000068</v>
      </c>
      <c r="F106" s="3">
        <v>22.900000000008021</v>
      </c>
      <c r="G106" s="3">
        <v>11402.95</v>
      </c>
      <c r="H106" s="3">
        <f t="shared" si="1"/>
        <v>11425.850000000009</v>
      </c>
      <c r="I106" s="3"/>
      <c r="J106" s="3"/>
      <c r="K106" s="3"/>
    </row>
    <row r="107" spans="1:11">
      <c r="A107" s="3">
        <v>42444</v>
      </c>
      <c r="B107" s="3">
        <v>218.34</v>
      </c>
      <c r="C107" s="4" cm="1">
        <f t="array" aca="1" ref="C107" ca="1">$B107-INDIRECT(ADDRESS(ROW()-C$2,2))</f>
        <v>17.300000000000011</v>
      </c>
      <c r="D107" s="4" cm="1">
        <f t="array" aca="1" ref="D107" ca="1">$B107-INDIRECT(ADDRESS(ROW()-D$2,2))</f>
        <v>15.740000000000009</v>
      </c>
      <c r="E107" s="4" cm="1">
        <f t="array" aca="1" ref="E107" ca="1">$B107-INDIRECT(ADDRESS(ROW()-E$2,2))</f>
        <v>13.159999999999997</v>
      </c>
      <c r="F107" s="3">
        <v>22.900000000008021</v>
      </c>
      <c r="G107" s="3">
        <v>11572.02</v>
      </c>
      <c r="H107" s="3">
        <f t="shared" si="1"/>
        <v>11594.920000000009</v>
      </c>
      <c r="I107" s="3"/>
      <c r="J107" s="3"/>
      <c r="K107" s="3"/>
    </row>
    <row r="108" spans="1:11">
      <c r="A108" s="3">
        <v>42445</v>
      </c>
      <c r="B108" s="3">
        <v>221.93</v>
      </c>
      <c r="C108" s="4" cm="1">
        <f t="array" aca="1" ref="C108" ca="1">$B108-INDIRECT(ADDRESS(ROW()-C$2,2))</f>
        <v>16.640000000000015</v>
      </c>
      <c r="D108" s="4" cm="1">
        <f t="array" aca="1" ref="D108" ca="1">$B108-INDIRECT(ADDRESS(ROW()-D$2,2))</f>
        <v>13.210000000000008</v>
      </c>
      <c r="E108" s="4" cm="1">
        <f t="array" aca="1" ref="E108" ca="1">$B108-INDIRECT(ADDRESS(ROW()-E$2,2))</f>
        <v>14.430000000000007</v>
      </c>
      <c r="F108" s="3">
        <v>22.900000000008021</v>
      </c>
      <c r="G108" s="3">
        <v>11762.29</v>
      </c>
      <c r="H108" s="3">
        <f t="shared" si="1"/>
        <v>11785.19000000001</v>
      </c>
      <c r="I108" s="3"/>
      <c r="J108" s="3"/>
      <c r="K108" s="3"/>
    </row>
    <row r="109" spans="1:11">
      <c r="A109" s="3">
        <v>42446</v>
      </c>
      <c r="B109" s="3">
        <v>226.38</v>
      </c>
      <c r="C109" s="4" cm="1">
        <f t="array" aca="1" ref="C109" ca="1">$B109-INDIRECT(ADDRESS(ROW()-C$2,2))</f>
        <v>23.78</v>
      </c>
      <c r="D109" s="4" cm="1">
        <f t="array" aca="1" ref="D109" ca="1">$B109-INDIRECT(ADDRESS(ROW()-D$2,2))</f>
        <v>21.199999999999989</v>
      </c>
      <c r="E109" s="4" cm="1">
        <f t="array" aca="1" ref="E109" ca="1">$B109-INDIRECT(ADDRESS(ROW()-E$2,2))</f>
        <v>11.22999999999999</v>
      </c>
      <c r="F109" s="3">
        <v>22.900000000008021</v>
      </c>
      <c r="G109" s="3">
        <v>11998.14</v>
      </c>
      <c r="H109" s="3">
        <f t="shared" si="1"/>
        <v>12021.040000000008</v>
      </c>
      <c r="I109" s="3"/>
      <c r="J109" s="3"/>
      <c r="K109" s="3"/>
    </row>
    <row r="110" spans="1:11">
      <c r="A110" s="3">
        <v>42447</v>
      </c>
      <c r="B110" s="3">
        <v>232.74</v>
      </c>
      <c r="C110" s="4" cm="1">
        <f t="array" aca="1" ref="C110" ca="1">$B110-INDIRECT(ADDRESS(ROW()-C$2,2))</f>
        <v>24.02000000000001</v>
      </c>
      <c r="D110" s="4" cm="1">
        <f t="array" aca="1" ref="D110" ca="1">$B110-INDIRECT(ADDRESS(ROW()-D$2,2))</f>
        <v>25.240000000000009</v>
      </c>
      <c r="E110" s="4" cm="1">
        <f t="array" aca="1" ref="E110" ca="1">$B110-INDIRECT(ADDRESS(ROW()-E$2,2))</f>
        <v>14.400000000000006</v>
      </c>
      <c r="F110" s="3">
        <v>22.900000000008021</v>
      </c>
      <c r="G110" s="3">
        <v>12335.220000000001</v>
      </c>
      <c r="H110" s="3">
        <f t="shared" si="1"/>
        <v>12358.12000000001</v>
      </c>
      <c r="I110" s="3"/>
      <c r="J110" s="3"/>
      <c r="K110" s="3"/>
    </row>
    <row r="111" spans="1:11">
      <c r="A111" s="3">
        <v>42450</v>
      </c>
      <c r="B111" s="3">
        <v>238.32</v>
      </c>
      <c r="C111" s="4" cm="1">
        <f t="array" aca="1" ref="C111" ca="1">$B111-INDIRECT(ADDRESS(ROW()-C$2,2))</f>
        <v>33.139999999999986</v>
      </c>
      <c r="D111" s="4" cm="1">
        <f t="array" aca="1" ref="D111" ca="1">$B111-INDIRECT(ADDRESS(ROW()-D$2,2))</f>
        <v>23.169999999999987</v>
      </c>
      <c r="E111" s="4" cm="1">
        <f t="array" aca="1" ref="E111" ca="1">$B111-INDIRECT(ADDRESS(ROW()-E$2,2))</f>
        <v>16.389999999999986</v>
      </c>
      <c r="F111" s="3">
        <v>22.900000000008021</v>
      </c>
      <c r="G111" s="3">
        <v>12630.96</v>
      </c>
      <c r="H111" s="3">
        <f t="shared" ref="H111:H174" si="2">G111+F111</f>
        <v>12653.860000000008</v>
      </c>
      <c r="I111" s="3"/>
      <c r="J111" s="3"/>
      <c r="K111" s="3"/>
    </row>
    <row r="112" spans="1:11">
      <c r="A112" s="3">
        <v>42451</v>
      </c>
      <c r="B112" s="3">
        <v>234.24</v>
      </c>
      <c r="C112" s="4" cm="1">
        <f t="array" aca="1" ref="C112" ca="1">$B112-INDIRECT(ADDRESS(ROW()-C$2,2))</f>
        <v>26.740000000000009</v>
      </c>
      <c r="D112" s="4" cm="1">
        <f t="array" aca="1" ref="D112" ca="1">$B112-INDIRECT(ADDRESS(ROW()-D$2,2))</f>
        <v>15.900000000000006</v>
      </c>
      <c r="E112" s="4" cm="1">
        <f t="array" aca="1" ref="E112" ca="1">$B112-INDIRECT(ADDRESS(ROW()-E$2,2))</f>
        <v>7.8600000000000136</v>
      </c>
      <c r="F112" s="3">
        <v>22.900000000008021</v>
      </c>
      <c r="G112" s="3">
        <v>12414.720000000001</v>
      </c>
      <c r="H112" s="3">
        <f t="shared" si="2"/>
        <v>12437.62000000001</v>
      </c>
      <c r="I112" s="3"/>
      <c r="J112" s="3"/>
      <c r="K112" s="3"/>
    </row>
    <row r="113" spans="1:11">
      <c r="A113" s="3">
        <v>42452</v>
      </c>
      <c r="B113" s="3">
        <v>222.58</v>
      </c>
      <c r="C113" s="4" cm="1">
        <f t="array" aca="1" ref="C113" ca="1">$B113-INDIRECT(ADDRESS(ROW()-C$2,2))</f>
        <v>7.4300000000000068</v>
      </c>
      <c r="D113" s="4" cm="1">
        <f t="array" aca="1" ref="D113" ca="1">$B113-INDIRECT(ADDRESS(ROW()-D$2,2))</f>
        <v>0.65000000000000568</v>
      </c>
      <c r="E113" s="4" cm="1">
        <f t="array" aca="1" ref="E113" ca="1">$B113-INDIRECT(ADDRESS(ROW()-E$2,2))</f>
        <v>-10.159999999999997</v>
      </c>
      <c r="F113" s="3">
        <v>22.900000000008021</v>
      </c>
      <c r="G113" s="3">
        <v>11796.74</v>
      </c>
      <c r="H113" s="3">
        <f t="shared" si="2"/>
        <v>11819.640000000009</v>
      </c>
      <c r="I113" s="3"/>
      <c r="J113" s="3"/>
      <c r="K113" s="3"/>
    </row>
    <row r="114" spans="1:11">
      <c r="A114" s="3">
        <v>42453</v>
      </c>
      <c r="B114" s="3">
        <v>227.75</v>
      </c>
      <c r="C114" s="4" cm="1">
        <f t="array" aca="1" ref="C114" ca="1">$B114-INDIRECT(ADDRESS(ROW()-C$2,2))</f>
        <v>9.4099999999999966</v>
      </c>
      <c r="D114" s="4" cm="1">
        <f t="array" aca="1" ref="D114" ca="1">$B114-INDIRECT(ADDRESS(ROW()-D$2,2))</f>
        <v>1.3700000000000045</v>
      </c>
      <c r="E114" s="4" cm="1">
        <f t="array" aca="1" ref="E114" ca="1">$B114-INDIRECT(ADDRESS(ROW()-E$2,2))</f>
        <v>-10.569999999999993</v>
      </c>
      <c r="F114" s="3">
        <v>22.900000000008021</v>
      </c>
      <c r="G114" s="3">
        <v>12070.75</v>
      </c>
      <c r="H114" s="3">
        <f t="shared" si="2"/>
        <v>12093.650000000009</v>
      </c>
      <c r="I114" s="3"/>
      <c r="J114" s="3"/>
      <c r="K114" s="3"/>
    </row>
    <row r="115" spans="1:11">
      <c r="A115" s="3">
        <v>42457</v>
      </c>
      <c r="B115" s="3">
        <v>230.26</v>
      </c>
      <c r="C115" s="4" cm="1">
        <f t="array" aca="1" ref="C115" ca="1">$B115-INDIRECT(ADDRESS(ROW()-C$2,2))</f>
        <v>8.3299999999999841</v>
      </c>
      <c r="D115" s="4" cm="1">
        <f t="array" aca="1" ref="D115" ca="1">$B115-INDIRECT(ADDRESS(ROW()-D$2,2))</f>
        <v>-2.4800000000000182</v>
      </c>
      <c r="E115" s="4" cm="1">
        <f t="array" aca="1" ref="E115" ca="1">$B115-INDIRECT(ADDRESS(ROW()-E$2,2))</f>
        <v>-3.9800000000000182</v>
      </c>
      <c r="F115" s="3">
        <v>12226.680000000008</v>
      </c>
      <c r="G115" s="3">
        <v>0</v>
      </c>
      <c r="H115" s="3">
        <f t="shared" si="2"/>
        <v>12226.680000000008</v>
      </c>
      <c r="I115" s="3"/>
      <c r="J115" s="3"/>
      <c r="K115" s="3"/>
    </row>
    <row r="116" spans="1:11">
      <c r="A116" s="3">
        <v>42458</v>
      </c>
      <c r="B116" s="3">
        <v>230.13</v>
      </c>
      <c r="C116" s="4" cm="1">
        <f t="array" aca="1" ref="C116" ca="1">$B116-INDIRECT(ADDRESS(ROW()-C$2,2))</f>
        <v>3.75</v>
      </c>
      <c r="D116" s="4" cm="1">
        <f t="array" aca="1" ref="D116" ca="1">$B116-INDIRECT(ADDRESS(ROW()-D$2,2))</f>
        <v>-8.1899999999999977</v>
      </c>
      <c r="E116" s="4" cm="1">
        <f t="array" aca="1" ref="E116" ca="1">$B116-INDIRECT(ADDRESS(ROW()-E$2,2))</f>
        <v>7.5499999999999829</v>
      </c>
      <c r="F116" s="3">
        <v>12226.680000000008</v>
      </c>
      <c r="G116" s="3">
        <v>0</v>
      </c>
      <c r="H116" s="3">
        <f t="shared" si="2"/>
        <v>12226.680000000008</v>
      </c>
      <c r="I116" s="3"/>
      <c r="J116" s="3"/>
      <c r="K116" s="3"/>
    </row>
    <row r="117" spans="1:11">
      <c r="A117" s="3">
        <v>42459</v>
      </c>
      <c r="B117" s="3">
        <v>226.89</v>
      </c>
      <c r="C117" s="4" cm="1">
        <f t="array" aca="1" ref="C117" ca="1">$B117-INDIRECT(ADDRESS(ROW()-C$2,2))</f>
        <v>-5.8500000000000227</v>
      </c>
      <c r="D117" s="4" cm="1">
        <f t="array" aca="1" ref="D117" ca="1">$B117-INDIRECT(ADDRESS(ROW()-D$2,2))</f>
        <v>-7.3500000000000227</v>
      </c>
      <c r="E117" s="4" cm="1">
        <f t="array" aca="1" ref="E117" ca="1">$B117-INDIRECT(ADDRESS(ROW()-E$2,2))</f>
        <v>-0.86000000000001364</v>
      </c>
      <c r="F117" s="3">
        <v>12226.680000000008</v>
      </c>
      <c r="G117" s="3">
        <v>0</v>
      </c>
      <c r="H117" s="3">
        <f t="shared" si="2"/>
        <v>12226.680000000008</v>
      </c>
      <c r="I117" s="3"/>
      <c r="J117" s="3"/>
      <c r="K117" s="3"/>
    </row>
    <row r="118" spans="1:11">
      <c r="A118" s="3">
        <v>42460</v>
      </c>
      <c r="B118" s="3">
        <v>229.77</v>
      </c>
      <c r="C118" s="4" cm="1">
        <f t="array" aca="1" ref="C118" ca="1">$B118-INDIRECT(ADDRESS(ROW()-C$2,2))</f>
        <v>-8.5499999999999829</v>
      </c>
      <c r="D118" s="4" cm="1">
        <f t="array" aca="1" ref="D118" ca="1">$B118-INDIRECT(ADDRESS(ROW()-D$2,2))</f>
        <v>7.1899999999999977</v>
      </c>
      <c r="E118" s="4" cm="1">
        <f t="array" aca="1" ref="E118" ca="1">$B118-INDIRECT(ADDRESS(ROW()-E$2,2))</f>
        <v>-0.48999999999998067</v>
      </c>
      <c r="F118" s="3">
        <v>12226.680000000008</v>
      </c>
      <c r="G118" s="3">
        <v>0</v>
      </c>
      <c r="H118" s="3">
        <f t="shared" si="2"/>
        <v>12226.680000000008</v>
      </c>
      <c r="I118" s="3"/>
      <c r="J118" s="3"/>
      <c r="K118" s="3"/>
    </row>
    <row r="119" spans="1:11">
      <c r="A119" s="3">
        <v>42461</v>
      </c>
      <c r="B119" s="3">
        <v>237.59</v>
      </c>
      <c r="C119" s="4" cm="1">
        <f t="array" aca="1" ref="C119" ca="1">$B119-INDIRECT(ADDRESS(ROW()-C$2,2))</f>
        <v>3.3499999999999943</v>
      </c>
      <c r="D119" s="4" cm="1">
        <f t="array" aca="1" ref="D119" ca="1">$B119-INDIRECT(ADDRESS(ROW()-D$2,2))</f>
        <v>9.8400000000000034</v>
      </c>
      <c r="E119" s="4" cm="1">
        <f t="array" aca="1" ref="E119" ca="1">$B119-INDIRECT(ADDRESS(ROW()-E$2,2))</f>
        <v>7.460000000000008</v>
      </c>
      <c r="F119" s="3">
        <v>12226.680000000008</v>
      </c>
      <c r="G119" s="3">
        <v>0</v>
      </c>
      <c r="H119" s="3">
        <f t="shared" si="2"/>
        <v>12226.680000000008</v>
      </c>
      <c r="I119" s="3"/>
      <c r="J119" s="3"/>
      <c r="K119" s="3"/>
    </row>
    <row r="120" spans="1:11">
      <c r="A120" s="3">
        <v>42464</v>
      </c>
      <c r="B120" s="3">
        <v>246.99</v>
      </c>
      <c r="C120" s="4" cm="1">
        <f t="array" aca="1" ref="C120" ca="1">$B120-INDIRECT(ADDRESS(ROW()-C$2,2))</f>
        <v>24.409999999999997</v>
      </c>
      <c r="D120" s="4" cm="1">
        <f t="array" aca="1" ref="D120" ca="1">$B120-INDIRECT(ADDRESS(ROW()-D$2,2))</f>
        <v>16.730000000000018</v>
      </c>
      <c r="E120" s="4" cm="1">
        <f t="array" aca="1" ref="E120" ca="1">$B120-INDIRECT(ADDRESS(ROW()-E$2,2))</f>
        <v>20.100000000000023</v>
      </c>
      <c r="F120" s="3">
        <v>12226.680000000008</v>
      </c>
      <c r="G120" s="3">
        <v>0</v>
      </c>
      <c r="H120" s="3">
        <f t="shared" si="2"/>
        <v>12226.680000000008</v>
      </c>
      <c r="I120" s="3"/>
      <c r="J120" s="3"/>
      <c r="K120" s="3"/>
    </row>
    <row r="121" spans="1:11">
      <c r="A121" s="3">
        <v>42465</v>
      </c>
      <c r="B121" s="3">
        <v>255.47</v>
      </c>
      <c r="C121" s="4" cm="1">
        <f t="array" aca="1" ref="C121" ca="1">$B121-INDIRECT(ADDRESS(ROW()-C$2,2))</f>
        <v>27.72</v>
      </c>
      <c r="D121" s="4" cm="1">
        <f t="array" aca="1" ref="D121" ca="1">$B121-INDIRECT(ADDRESS(ROW()-D$2,2))</f>
        <v>25.340000000000003</v>
      </c>
      <c r="E121" s="4" cm="1">
        <f t="array" aca="1" ref="E121" ca="1">$B121-INDIRECT(ADDRESS(ROW()-E$2,2))</f>
        <v>25.699999999999989</v>
      </c>
      <c r="F121" s="3">
        <v>12226.680000000008</v>
      </c>
      <c r="G121" s="3">
        <v>0</v>
      </c>
      <c r="H121" s="3">
        <f t="shared" si="2"/>
        <v>12226.680000000008</v>
      </c>
      <c r="I121" s="3"/>
      <c r="J121" s="3"/>
      <c r="K121" s="3"/>
    </row>
    <row r="122" spans="1:11">
      <c r="A122" s="3">
        <v>42466</v>
      </c>
      <c r="B122" s="3">
        <v>265.42</v>
      </c>
      <c r="C122" s="4" cm="1">
        <f t="array" aca="1" ref="C122" ca="1">$B122-INDIRECT(ADDRESS(ROW()-C$2,2))</f>
        <v>35.160000000000025</v>
      </c>
      <c r="D122" s="4" cm="1">
        <f t="array" aca="1" ref="D122" ca="1">$B122-INDIRECT(ADDRESS(ROW()-D$2,2))</f>
        <v>38.53000000000003</v>
      </c>
      <c r="E122" s="4" cm="1">
        <f t="array" aca="1" ref="E122" ca="1">$B122-INDIRECT(ADDRESS(ROW()-E$2,2))</f>
        <v>27.830000000000013</v>
      </c>
      <c r="F122" s="3">
        <v>12226.680000000008</v>
      </c>
      <c r="G122" s="3">
        <v>0</v>
      </c>
      <c r="H122" s="3">
        <f t="shared" si="2"/>
        <v>12226.680000000008</v>
      </c>
      <c r="I122" s="3"/>
      <c r="J122" s="3"/>
      <c r="K122" s="3"/>
    </row>
    <row r="123" spans="1:11">
      <c r="A123" s="3">
        <v>42467</v>
      </c>
      <c r="B123" s="3">
        <v>257.2</v>
      </c>
      <c r="C123" s="4" cm="1">
        <f t="array" aca="1" ref="C123" ca="1">$B123-INDIRECT(ADDRESS(ROW()-C$2,2))</f>
        <v>27.069999999999993</v>
      </c>
      <c r="D123" s="4" cm="1">
        <f t="array" aca="1" ref="D123" ca="1">$B123-INDIRECT(ADDRESS(ROW()-D$2,2))</f>
        <v>27.429999999999978</v>
      </c>
      <c r="E123" s="4" cm="1">
        <f t="array" aca="1" ref="E123" ca="1">$B123-INDIRECT(ADDRESS(ROW()-E$2,2))</f>
        <v>10.20999999999998</v>
      </c>
      <c r="F123" s="3">
        <v>12226.680000000008</v>
      </c>
      <c r="G123" s="3">
        <v>0</v>
      </c>
      <c r="H123" s="3">
        <f t="shared" si="2"/>
        <v>12226.680000000008</v>
      </c>
      <c r="I123" s="3"/>
      <c r="J123" s="3"/>
      <c r="K123" s="3"/>
    </row>
    <row r="124" spans="1:11">
      <c r="A124" s="3">
        <v>42468</v>
      </c>
      <c r="B124" s="3">
        <v>250.07</v>
      </c>
      <c r="C124" s="4" cm="1">
        <f t="array" aca="1" ref="C124" ca="1">$B124-INDIRECT(ADDRESS(ROW()-C$2,2))</f>
        <v>23.180000000000007</v>
      </c>
      <c r="D124" s="4" cm="1">
        <f t="array" aca="1" ref="D124" ca="1">$B124-INDIRECT(ADDRESS(ROW()-D$2,2))</f>
        <v>12.47999999999999</v>
      </c>
      <c r="E124" s="4" cm="1">
        <f t="array" aca="1" ref="E124" ca="1">$B124-INDIRECT(ADDRESS(ROW()-E$2,2))</f>
        <v>-5.4000000000000057</v>
      </c>
      <c r="F124" s="3">
        <v>12226.680000000008</v>
      </c>
      <c r="G124" s="3">
        <v>0</v>
      </c>
      <c r="H124" s="3">
        <f t="shared" si="2"/>
        <v>12226.680000000008</v>
      </c>
      <c r="I124" s="3"/>
      <c r="J124" s="3"/>
      <c r="K124" s="3"/>
    </row>
    <row r="125" spans="1:11">
      <c r="A125" s="3">
        <v>42471</v>
      </c>
      <c r="B125" s="3">
        <v>249.92</v>
      </c>
      <c r="C125" s="4" cm="1">
        <f t="array" aca="1" ref="C125" ca="1">$B125-INDIRECT(ADDRESS(ROW()-C$2,2))</f>
        <v>20.149999999999977</v>
      </c>
      <c r="D125" s="4" cm="1">
        <f t="array" aca="1" ref="D125" ca="1">$B125-INDIRECT(ADDRESS(ROW()-D$2,2))</f>
        <v>2.9299999999999784</v>
      </c>
      <c r="E125" s="4" cm="1">
        <f t="array" aca="1" ref="E125" ca="1">$B125-INDIRECT(ADDRESS(ROW()-E$2,2))</f>
        <v>-15.500000000000028</v>
      </c>
      <c r="F125" s="3">
        <v>12226.680000000008</v>
      </c>
      <c r="G125" s="3">
        <v>0</v>
      </c>
      <c r="H125" s="3">
        <f t="shared" si="2"/>
        <v>12226.680000000008</v>
      </c>
      <c r="I125" s="3"/>
      <c r="J125" s="3"/>
      <c r="K125" s="3"/>
    </row>
    <row r="126" spans="1:11">
      <c r="A126" s="3">
        <v>42472</v>
      </c>
      <c r="B126" s="3">
        <v>247.82</v>
      </c>
      <c r="C126" s="4" cm="1">
        <f t="array" aca="1" ref="C126" ca="1">$B126-INDIRECT(ADDRESS(ROW()-C$2,2))</f>
        <v>10.22999999999999</v>
      </c>
      <c r="D126" s="4" cm="1">
        <f t="array" aca="1" ref="D126" ca="1">$B126-INDIRECT(ADDRESS(ROW()-D$2,2))</f>
        <v>-7.6500000000000057</v>
      </c>
      <c r="E126" s="4" cm="1">
        <f t="array" aca="1" ref="E126" ca="1">$B126-INDIRECT(ADDRESS(ROW()-E$2,2))</f>
        <v>-9.3799999999999955</v>
      </c>
      <c r="F126" s="3">
        <v>12226.680000000008</v>
      </c>
      <c r="G126" s="3">
        <v>0</v>
      </c>
      <c r="H126" s="3">
        <f t="shared" si="2"/>
        <v>12226.680000000008</v>
      </c>
      <c r="I126" s="3"/>
      <c r="J126" s="3"/>
      <c r="K126" s="3"/>
    </row>
    <row r="127" spans="1:11">
      <c r="A127" s="3">
        <v>42473</v>
      </c>
      <c r="B127" s="3">
        <v>254.53</v>
      </c>
      <c r="C127" s="4" cm="1">
        <f t="array" aca="1" ref="C127" ca="1">$B127-INDIRECT(ADDRESS(ROW()-C$2,2))</f>
        <v>7.539999999999992</v>
      </c>
      <c r="D127" s="4" cm="1">
        <f t="array" aca="1" ref="D127" ca="1">$B127-INDIRECT(ADDRESS(ROW()-D$2,2))</f>
        <v>-10.890000000000015</v>
      </c>
      <c r="E127" s="4" cm="1">
        <f t="array" aca="1" ref="E127" ca="1">$B127-INDIRECT(ADDRESS(ROW()-E$2,2))</f>
        <v>4.460000000000008</v>
      </c>
      <c r="F127" s="3">
        <v>12226.680000000008</v>
      </c>
      <c r="G127" s="3">
        <v>0</v>
      </c>
      <c r="H127" s="3">
        <f t="shared" si="2"/>
        <v>12226.680000000008</v>
      </c>
      <c r="I127" s="3"/>
      <c r="J127" s="3"/>
      <c r="K127" s="3"/>
    </row>
    <row r="128" spans="1:11">
      <c r="A128" s="3">
        <v>42474</v>
      </c>
      <c r="B128" s="3">
        <v>251.86</v>
      </c>
      <c r="C128" s="4" cm="1">
        <f t="array" aca="1" ref="C128" ca="1">$B128-INDIRECT(ADDRESS(ROW()-C$2,2))</f>
        <v>-3.6099999999999852</v>
      </c>
      <c r="D128" s="4" cm="1">
        <f t="array" aca="1" ref="D128" ca="1">$B128-INDIRECT(ADDRESS(ROW()-D$2,2))</f>
        <v>-5.339999999999975</v>
      </c>
      <c r="E128" s="4" cm="1">
        <f t="array" aca="1" ref="E128" ca="1">$B128-INDIRECT(ADDRESS(ROW()-E$2,2))</f>
        <v>1.9400000000000261</v>
      </c>
      <c r="F128" s="3">
        <v>12226.680000000008</v>
      </c>
      <c r="G128" s="3">
        <v>0</v>
      </c>
      <c r="H128" s="3">
        <f t="shared" si="2"/>
        <v>12226.680000000008</v>
      </c>
      <c r="I128" s="3"/>
      <c r="J128" s="3"/>
      <c r="K128" s="3"/>
    </row>
    <row r="129" spans="1:11">
      <c r="A129" s="3">
        <v>42475</v>
      </c>
      <c r="B129" s="3">
        <v>254.51</v>
      </c>
      <c r="C129" s="4" cm="1">
        <f t="array" aca="1" ref="C129" ca="1">$B129-INDIRECT(ADDRESS(ROW()-C$2,2))</f>
        <v>-10.910000000000025</v>
      </c>
      <c r="D129" s="4" cm="1">
        <f t="array" aca="1" ref="D129" ca="1">$B129-INDIRECT(ADDRESS(ROW()-D$2,2))</f>
        <v>4.4399999999999977</v>
      </c>
      <c r="E129" s="4" cm="1">
        <f t="array" aca="1" ref="E129" ca="1">$B129-INDIRECT(ADDRESS(ROW()-E$2,2))</f>
        <v>6.6899999999999977</v>
      </c>
      <c r="F129" s="3">
        <v>10.199999999999136</v>
      </c>
      <c r="G129" s="3">
        <v>12216.48</v>
      </c>
      <c r="H129" s="3">
        <f t="shared" si="2"/>
        <v>12226.679999999998</v>
      </c>
      <c r="I129" s="3"/>
      <c r="J129" s="3"/>
      <c r="K129" s="3"/>
    </row>
    <row r="130" spans="1:11">
      <c r="A130" s="3">
        <v>42478</v>
      </c>
      <c r="B130" s="3">
        <v>253.88</v>
      </c>
      <c r="C130" s="4" cm="1">
        <f t="array" aca="1" ref="C130" ca="1">$B130-INDIRECT(ADDRESS(ROW()-C$2,2))</f>
        <v>-3.3199999999999932</v>
      </c>
      <c r="D130" s="4" cm="1">
        <f t="array" aca="1" ref="D130" ca="1">$B130-INDIRECT(ADDRESS(ROW()-D$2,2))</f>
        <v>3.960000000000008</v>
      </c>
      <c r="E130" s="4" cm="1">
        <f t="array" aca="1" ref="E130" ca="1">$B130-INDIRECT(ADDRESS(ROW()-E$2,2))</f>
        <v>-0.65000000000000568</v>
      </c>
      <c r="F130" s="3">
        <v>10.199999999999136</v>
      </c>
      <c r="G130" s="3">
        <v>12186.24</v>
      </c>
      <c r="H130" s="3">
        <f t="shared" si="2"/>
        <v>12196.439999999999</v>
      </c>
      <c r="I130" s="3"/>
      <c r="J130" s="3"/>
      <c r="K130" s="3"/>
    </row>
    <row r="131" spans="1:11">
      <c r="A131" s="3">
        <v>42479</v>
      </c>
      <c r="B131" s="3">
        <v>247.37</v>
      </c>
      <c r="C131" s="4" cm="1">
        <f t="array" aca="1" ref="C131" ca="1">$B131-INDIRECT(ADDRESS(ROW()-C$2,2))</f>
        <v>-2.6999999999999886</v>
      </c>
      <c r="D131" s="4" cm="1">
        <f t="array" aca="1" ref="D131" ca="1">$B131-INDIRECT(ADDRESS(ROW()-D$2,2))</f>
        <v>-0.44999999999998863</v>
      </c>
      <c r="E131" s="4" cm="1">
        <f t="array" aca="1" ref="E131" ca="1">$B131-INDIRECT(ADDRESS(ROW()-E$2,2))</f>
        <v>-4.4900000000000091</v>
      </c>
      <c r="F131" s="3">
        <v>10.199999999999136</v>
      </c>
      <c r="G131" s="3">
        <v>11873.76</v>
      </c>
      <c r="H131" s="3">
        <f t="shared" si="2"/>
        <v>11883.96</v>
      </c>
      <c r="I131" s="3"/>
      <c r="J131" s="3"/>
      <c r="K131" s="3"/>
    </row>
    <row r="132" spans="1:11">
      <c r="A132" s="3">
        <v>42480</v>
      </c>
      <c r="B132" s="3">
        <v>249.97</v>
      </c>
      <c r="C132" s="4" cm="1">
        <f t="array" aca="1" ref="C132" ca="1">$B132-INDIRECT(ADDRESS(ROW()-C$2,2))</f>
        <v>5.0000000000011369E-2</v>
      </c>
      <c r="D132" s="4" cm="1">
        <f t="array" aca="1" ref="D132" ca="1">$B132-INDIRECT(ADDRESS(ROW()-D$2,2))</f>
        <v>-4.5600000000000023</v>
      </c>
      <c r="E132" s="4" cm="1">
        <f t="array" aca="1" ref="E132" ca="1">$B132-INDIRECT(ADDRESS(ROW()-E$2,2))</f>
        <v>-4.539999999999992</v>
      </c>
      <c r="F132" s="3">
        <v>12008.759999999998</v>
      </c>
      <c r="G132" s="3">
        <v>0</v>
      </c>
      <c r="H132" s="3">
        <f t="shared" si="2"/>
        <v>12008.759999999998</v>
      </c>
      <c r="I132" s="3"/>
      <c r="J132" s="3"/>
      <c r="K132" s="3"/>
    </row>
    <row r="133" spans="1:11">
      <c r="A133" s="3">
        <v>42481</v>
      </c>
      <c r="B133" s="3">
        <v>248.29</v>
      </c>
      <c r="C133" s="4" cm="1">
        <f t="array" aca="1" ref="C133" ca="1">$B133-INDIRECT(ADDRESS(ROW()-C$2,2))</f>
        <v>0.46999999999999886</v>
      </c>
      <c r="D133" s="4" cm="1">
        <f t="array" aca="1" ref="D133" ca="1">$B133-INDIRECT(ADDRESS(ROW()-D$2,2))</f>
        <v>-3.5700000000000216</v>
      </c>
      <c r="E133" s="4" cm="1">
        <f t="array" aca="1" ref="E133" ca="1">$B133-INDIRECT(ADDRESS(ROW()-E$2,2))</f>
        <v>-5.5900000000000034</v>
      </c>
      <c r="F133" s="3">
        <v>12008.759999999998</v>
      </c>
      <c r="G133" s="3">
        <v>0</v>
      </c>
      <c r="H133" s="3">
        <f t="shared" si="2"/>
        <v>12008.759999999998</v>
      </c>
      <c r="I133" s="3"/>
      <c r="J133" s="3"/>
      <c r="K133" s="3"/>
    </row>
    <row r="134" spans="1:11">
      <c r="A134" s="3">
        <v>42482</v>
      </c>
      <c r="B134" s="3">
        <v>253.75</v>
      </c>
      <c r="C134" s="4" cm="1">
        <f t="array" aca="1" ref="C134" ca="1">$B134-INDIRECT(ADDRESS(ROW()-C$2,2))</f>
        <v>-0.78000000000000114</v>
      </c>
      <c r="D134" s="4" cm="1">
        <f t="array" aca="1" ref="D134" ca="1">$B134-INDIRECT(ADDRESS(ROW()-D$2,2))</f>
        <v>-0.75999999999999091</v>
      </c>
      <c r="E134" s="4" cm="1">
        <f t="array" aca="1" ref="E134" ca="1">$B134-INDIRECT(ADDRESS(ROW()-E$2,2))</f>
        <v>6.3799999999999955</v>
      </c>
      <c r="F134" s="3">
        <v>12008.759999999998</v>
      </c>
      <c r="G134" s="3">
        <v>0</v>
      </c>
      <c r="H134" s="3">
        <f t="shared" si="2"/>
        <v>12008.759999999998</v>
      </c>
      <c r="I134" s="3"/>
      <c r="J134" s="3"/>
      <c r="K134" s="3"/>
    </row>
    <row r="135" spans="1:11">
      <c r="A135" s="3">
        <v>42485</v>
      </c>
      <c r="B135" s="3">
        <v>251.82</v>
      </c>
      <c r="C135" s="4" cm="1">
        <f t="array" aca="1" ref="C135" ca="1">$B135-INDIRECT(ADDRESS(ROW()-C$2,2))</f>
        <v>-4.0000000000020464E-2</v>
      </c>
      <c r="D135" s="4" cm="1">
        <f t="array" aca="1" ref="D135" ca="1">$B135-INDIRECT(ADDRESS(ROW()-D$2,2))</f>
        <v>-2.0600000000000023</v>
      </c>
      <c r="E135" s="4" cm="1">
        <f t="array" aca="1" ref="E135" ca="1">$B135-INDIRECT(ADDRESS(ROW()-E$2,2))</f>
        <v>1.8499999999999943</v>
      </c>
      <c r="F135" s="3">
        <v>12008.759999999998</v>
      </c>
      <c r="G135" s="3">
        <v>0</v>
      </c>
      <c r="H135" s="3">
        <f t="shared" si="2"/>
        <v>12008.759999999998</v>
      </c>
      <c r="I135" s="3"/>
      <c r="J135" s="3"/>
      <c r="K135" s="3"/>
    </row>
    <row r="136" spans="1:11">
      <c r="A136" s="3">
        <v>42486</v>
      </c>
      <c r="B136" s="3">
        <v>253.74</v>
      </c>
      <c r="C136" s="4" cm="1">
        <f t="array" aca="1" ref="C136" ca="1">$B136-INDIRECT(ADDRESS(ROW()-C$2,2))</f>
        <v>-0.76999999999998181</v>
      </c>
      <c r="D136" s="4" cm="1">
        <f t="array" aca="1" ref="D136" ca="1">$B136-INDIRECT(ADDRESS(ROW()-D$2,2))</f>
        <v>6.3700000000000045</v>
      </c>
      <c r="E136" s="4" cm="1">
        <f t="array" aca="1" ref="E136" ca="1">$B136-INDIRECT(ADDRESS(ROW()-E$2,2))</f>
        <v>5.4500000000000171</v>
      </c>
      <c r="F136" s="3">
        <v>82.980000000006839</v>
      </c>
      <c r="G136" s="3">
        <v>11925.78</v>
      </c>
      <c r="H136" s="3">
        <f t="shared" si="2"/>
        <v>12008.760000000007</v>
      </c>
      <c r="I136" s="3"/>
      <c r="J136" s="3"/>
      <c r="K136" s="3"/>
    </row>
    <row r="137" spans="1:11">
      <c r="A137" s="3">
        <v>42487</v>
      </c>
      <c r="B137" s="3">
        <v>251.47</v>
      </c>
      <c r="C137" s="4" cm="1">
        <f t="array" aca="1" ref="C137" ca="1">$B137-INDIRECT(ADDRESS(ROW()-C$2,2))</f>
        <v>-2.4099999999999966</v>
      </c>
      <c r="D137" s="4" cm="1">
        <f t="array" aca="1" ref="D137" ca="1">$B137-INDIRECT(ADDRESS(ROW()-D$2,2))</f>
        <v>1.5</v>
      </c>
      <c r="E137" s="4" cm="1">
        <f t="array" aca="1" ref="E137" ca="1">$B137-INDIRECT(ADDRESS(ROW()-E$2,2))</f>
        <v>-2.2800000000000011</v>
      </c>
      <c r="F137" s="3">
        <v>82.980000000006839</v>
      </c>
      <c r="G137" s="3">
        <v>11819.09</v>
      </c>
      <c r="H137" s="3">
        <f t="shared" si="2"/>
        <v>11902.070000000007</v>
      </c>
      <c r="I137" s="3"/>
      <c r="J137" s="3"/>
      <c r="K137" s="3"/>
    </row>
    <row r="138" spans="1:11">
      <c r="A138" s="3">
        <v>42488</v>
      </c>
      <c r="B138" s="3">
        <v>247.71</v>
      </c>
      <c r="C138" s="4" cm="1">
        <f t="array" aca="1" ref="C138" ca="1">$B138-INDIRECT(ADDRESS(ROW()-C$2,2))</f>
        <v>0.34000000000000341</v>
      </c>
      <c r="D138" s="4" cm="1">
        <f t="array" aca="1" ref="D138" ca="1">$B138-INDIRECT(ADDRESS(ROW()-D$2,2))</f>
        <v>-0.57999999999998408</v>
      </c>
      <c r="E138" s="4" cm="1">
        <f t="array" aca="1" ref="E138" ca="1">$B138-INDIRECT(ADDRESS(ROW()-E$2,2))</f>
        <v>-4.1099999999999852</v>
      </c>
      <c r="F138" s="3">
        <v>11725.350000000008</v>
      </c>
      <c r="G138" s="3">
        <v>0</v>
      </c>
      <c r="H138" s="3">
        <f t="shared" si="2"/>
        <v>11725.350000000008</v>
      </c>
      <c r="I138" s="3"/>
      <c r="J138" s="3"/>
      <c r="K138" s="3"/>
    </row>
    <row r="139" spans="1:11">
      <c r="A139" s="3">
        <v>42489</v>
      </c>
      <c r="B139" s="3">
        <v>240.76</v>
      </c>
      <c r="C139" s="4" cm="1">
        <f t="array" aca="1" ref="C139" ca="1">$B139-INDIRECT(ADDRESS(ROW()-C$2,2))</f>
        <v>-9.210000000000008</v>
      </c>
      <c r="D139" s="4" cm="1">
        <f t="array" aca="1" ref="D139" ca="1">$B139-INDIRECT(ADDRESS(ROW()-D$2,2))</f>
        <v>-12.990000000000009</v>
      </c>
      <c r="E139" s="4" cm="1">
        <f t="array" aca="1" ref="E139" ca="1">$B139-INDIRECT(ADDRESS(ROW()-E$2,2))</f>
        <v>-12.980000000000018</v>
      </c>
      <c r="F139" s="3">
        <v>11725.350000000008</v>
      </c>
      <c r="G139" s="3">
        <v>0</v>
      </c>
      <c r="H139" s="3">
        <f t="shared" si="2"/>
        <v>11725.350000000008</v>
      </c>
      <c r="I139" s="3"/>
      <c r="J139" s="3"/>
      <c r="K139" s="3"/>
    </row>
    <row r="140" spans="1:11">
      <c r="A140" s="3">
        <v>42492</v>
      </c>
      <c r="B140" s="3">
        <v>241.8</v>
      </c>
      <c r="C140" s="4" cm="1">
        <f t="array" aca="1" ref="C140" ca="1">$B140-INDIRECT(ADDRESS(ROW()-C$2,2))</f>
        <v>-6.4899999999999807</v>
      </c>
      <c r="D140" s="4" cm="1">
        <f t="array" aca="1" ref="D140" ca="1">$B140-INDIRECT(ADDRESS(ROW()-D$2,2))</f>
        <v>-10.019999999999982</v>
      </c>
      <c r="E140" s="4" cm="1">
        <f t="array" aca="1" ref="E140" ca="1">$B140-INDIRECT(ADDRESS(ROW()-E$2,2))</f>
        <v>-9.6699999999999875</v>
      </c>
      <c r="F140" s="3">
        <v>11725.350000000008</v>
      </c>
      <c r="G140" s="3">
        <v>0</v>
      </c>
      <c r="H140" s="3">
        <f t="shared" si="2"/>
        <v>11725.350000000008</v>
      </c>
      <c r="I140" s="3"/>
      <c r="J140" s="3"/>
      <c r="K140" s="3"/>
    </row>
    <row r="141" spans="1:11">
      <c r="A141" s="3">
        <v>42493</v>
      </c>
      <c r="B141" s="3">
        <v>232.32</v>
      </c>
      <c r="C141" s="4" cm="1">
        <f t="array" aca="1" ref="C141" ca="1">$B141-INDIRECT(ADDRESS(ROW()-C$2,2))</f>
        <v>-21.430000000000007</v>
      </c>
      <c r="D141" s="4" cm="1">
        <f t="array" aca="1" ref="D141" ca="1">$B141-INDIRECT(ADDRESS(ROW()-D$2,2))</f>
        <v>-21.420000000000016</v>
      </c>
      <c r="E141" s="4" cm="1">
        <f t="array" aca="1" ref="E141" ca="1">$B141-INDIRECT(ADDRESS(ROW()-E$2,2))</f>
        <v>-15.390000000000015</v>
      </c>
      <c r="F141" s="3">
        <v>11725.350000000008</v>
      </c>
      <c r="G141" s="3">
        <v>0</v>
      </c>
      <c r="H141" s="3">
        <f t="shared" si="2"/>
        <v>11725.350000000008</v>
      </c>
      <c r="I141" s="3"/>
      <c r="J141" s="3"/>
      <c r="K141" s="3"/>
    </row>
    <row r="142" spans="1:11">
      <c r="A142" s="3">
        <v>42494</v>
      </c>
      <c r="B142" s="3">
        <v>222.56</v>
      </c>
      <c r="C142" s="4" cm="1">
        <f t="array" aca="1" ref="C142" ca="1">$B142-INDIRECT(ADDRESS(ROW()-C$2,2))</f>
        <v>-29.259999999999991</v>
      </c>
      <c r="D142" s="4" cm="1">
        <f t="array" aca="1" ref="D142" ca="1">$B142-INDIRECT(ADDRESS(ROW()-D$2,2))</f>
        <v>-28.909999999999997</v>
      </c>
      <c r="E142" s="4" cm="1">
        <f t="array" aca="1" ref="E142" ca="1">$B142-INDIRECT(ADDRESS(ROW()-E$2,2))</f>
        <v>-18.199999999999989</v>
      </c>
      <c r="F142" s="3">
        <v>11725.350000000008</v>
      </c>
      <c r="G142" s="3">
        <v>0</v>
      </c>
      <c r="H142" s="3">
        <f t="shared" si="2"/>
        <v>11725.350000000008</v>
      </c>
      <c r="I142" s="3"/>
      <c r="J142" s="3"/>
      <c r="K142" s="3"/>
    </row>
    <row r="143" spans="1:11">
      <c r="A143" s="3">
        <v>42495</v>
      </c>
      <c r="B143" s="3">
        <v>211.53</v>
      </c>
      <c r="C143" s="4" cm="1">
        <f t="array" aca="1" ref="C143" ca="1">$B143-INDIRECT(ADDRESS(ROW()-C$2,2))</f>
        <v>-42.210000000000008</v>
      </c>
      <c r="D143" s="4" cm="1">
        <f t="array" aca="1" ref="D143" ca="1">$B143-INDIRECT(ADDRESS(ROW()-D$2,2))</f>
        <v>-36.180000000000007</v>
      </c>
      <c r="E143" s="4" cm="1">
        <f t="array" aca="1" ref="E143" ca="1">$B143-INDIRECT(ADDRESS(ROW()-E$2,2))</f>
        <v>-30.27000000000001</v>
      </c>
      <c r="F143" s="3">
        <v>11725.350000000008</v>
      </c>
      <c r="G143" s="3">
        <v>0</v>
      </c>
      <c r="H143" s="3">
        <f t="shared" si="2"/>
        <v>11725.350000000008</v>
      </c>
      <c r="I143" s="3"/>
      <c r="J143" s="3"/>
      <c r="K143" s="3"/>
    </row>
    <row r="144" spans="1:11">
      <c r="A144" s="3">
        <v>42496</v>
      </c>
      <c r="B144" s="3">
        <v>214.93</v>
      </c>
      <c r="C144" s="4" cm="1">
        <f t="array" aca="1" ref="C144" ca="1">$B144-INDIRECT(ADDRESS(ROW()-C$2,2))</f>
        <v>-36.539999999999992</v>
      </c>
      <c r="D144" s="4" cm="1">
        <f t="array" aca="1" ref="D144" ca="1">$B144-INDIRECT(ADDRESS(ROW()-D$2,2))</f>
        <v>-25.829999999999984</v>
      </c>
      <c r="E144" s="4" cm="1">
        <f t="array" aca="1" ref="E144" ca="1">$B144-INDIRECT(ADDRESS(ROW()-E$2,2))</f>
        <v>-17.389999999999986</v>
      </c>
      <c r="F144" s="3">
        <v>11725.350000000008</v>
      </c>
      <c r="G144" s="3">
        <v>0</v>
      </c>
      <c r="H144" s="3">
        <f t="shared" si="2"/>
        <v>11725.350000000008</v>
      </c>
      <c r="I144" s="3"/>
      <c r="J144" s="3"/>
      <c r="K144" s="3"/>
    </row>
    <row r="145" spans="1:11">
      <c r="A145" s="3">
        <v>42499</v>
      </c>
      <c r="B145" s="3">
        <v>208.92</v>
      </c>
      <c r="C145" s="4" cm="1">
        <f t="array" aca="1" ref="C145" ca="1">$B145-INDIRECT(ADDRESS(ROW()-C$2,2))</f>
        <v>-38.79000000000002</v>
      </c>
      <c r="D145" s="4" cm="1">
        <f t="array" aca="1" ref="D145" ca="1">$B145-INDIRECT(ADDRESS(ROW()-D$2,2))</f>
        <v>-32.880000000000024</v>
      </c>
      <c r="E145" s="4" cm="1">
        <f t="array" aca="1" ref="E145" ca="1">$B145-INDIRECT(ADDRESS(ROW()-E$2,2))</f>
        <v>-13.640000000000015</v>
      </c>
      <c r="F145" s="3">
        <v>11725.350000000008</v>
      </c>
      <c r="G145" s="3">
        <v>0</v>
      </c>
      <c r="H145" s="3">
        <f t="shared" si="2"/>
        <v>11725.350000000008</v>
      </c>
      <c r="I145" s="3"/>
      <c r="J145" s="3"/>
      <c r="K145" s="3"/>
    </row>
    <row r="146" spans="1:11">
      <c r="A146" s="3">
        <v>42500</v>
      </c>
      <c r="B146" s="3">
        <v>208.69</v>
      </c>
      <c r="C146" s="4" cm="1">
        <f t="array" aca="1" ref="C146" ca="1">$B146-INDIRECT(ADDRESS(ROW()-C$2,2))</f>
        <v>-32.069999999999993</v>
      </c>
      <c r="D146" s="4" cm="1">
        <f t="array" aca="1" ref="D146" ca="1">$B146-INDIRECT(ADDRESS(ROW()-D$2,2))</f>
        <v>-23.629999999999995</v>
      </c>
      <c r="E146" s="4" cm="1">
        <f t="array" aca="1" ref="E146" ca="1">$B146-INDIRECT(ADDRESS(ROW()-E$2,2))</f>
        <v>-2.8400000000000034</v>
      </c>
      <c r="F146" s="3">
        <v>11725.350000000008</v>
      </c>
      <c r="G146" s="3">
        <v>0</v>
      </c>
      <c r="H146" s="3">
        <f t="shared" si="2"/>
        <v>11725.350000000008</v>
      </c>
      <c r="I146" s="3"/>
      <c r="J146" s="3"/>
      <c r="K146" s="3"/>
    </row>
    <row r="147" spans="1:11">
      <c r="A147" s="3">
        <v>42501</v>
      </c>
      <c r="B147" s="3">
        <v>208.96</v>
      </c>
      <c r="C147" s="4" cm="1">
        <f t="array" aca="1" ref="C147" ca="1">$B147-INDIRECT(ADDRESS(ROW()-C$2,2))</f>
        <v>-32.840000000000003</v>
      </c>
      <c r="D147" s="4" cm="1">
        <f t="array" aca="1" ref="D147" ca="1">$B147-INDIRECT(ADDRESS(ROW()-D$2,2))</f>
        <v>-13.599999999999994</v>
      </c>
      <c r="E147" s="4" cm="1">
        <f t="array" aca="1" ref="E147" ca="1">$B147-INDIRECT(ADDRESS(ROW()-E$2,2))</f>
        <v>-5.9699999999999989</v>
      </c>
      <c r="F147" s="3">
        <v>11725.350000000008</v>
      </c>
      <c r="G147" s="3">
        <v>0</v>
      </c>
      <c r="H147" s="3">
        <f t="shared" si="2"/>
        <v>11725.350000000008</v>
      </c>
      <c r="I147" s="3"/>
      <c r="J147" s="3"/>
      <c r="K147" s="3"/>
    </row>
    <row r="148" spans="1:11">
      <c r="A148" s="3">
        <v>42502</v>
      </c>
      <c r="B148" s="3">
        <v>207.28</v>
      </c>
      <c r="C148" s="4" cm="1">
        <f t="array" aca="1" ref="C148" ca="1">$B148-INDIRECT(ADDRESS(ROW()-C$2,2))</f>
        <v>-25.039999999999992</v>
      </c>
      <c r="D148" s="4" cm="1">
        <f t="array" aca="1" ref="D148" ca="1">$B148-INDIRECT(ADDRESS(ROW()-D$2,2))</f>
        <v>-4.25</v>
      </c>
      <c r="E148" s="4" cm="1">
        <f t="array" aca="1" ref="E148" ca="1">$B148-INDIRECT(ADDRESS(ROW()-E$2,2))</f>
        <v>-1.6399999999999864</v>
      </c>
      <c r="F148" s="3">
        <v>11725.350000000008</v>
      </c>
      <c r="G148" s="3">
        <v>0</v>
      </c>
      <c r="H148" s="3">
        <f t="shared" si="2"/>
        <v>11725.350000000008</v>
      </c>
      <c r="I148" s="3"/>
      <c r="J148" s="3"/>
      <c r="K148" s="3"/>
    </row>
    <row r="149" spans="1:11">
      <c r="A149" s="3">
        <v>42503</v>
      </c>
      <c r="B149" s="3">
        <v>207.61</v>
      </c>
      <c r="C149" s="4" cm="1">
        <f t="array" aca="1" ref="C149" ca="1">$B149-INDIRECT(ADDRESS(ROW()-C$2,2))</f>
        <v>-14.949999999999989</v>
      </c>
      <c r="D149" s="4" cm="1">
        <f t="array" aca="1" ref="D149" ca="1">$B149-INDIRECT(ADDRESS(ROW()-D$2,2))</f>
        <v>-7.3199999999999932</v>
      </c>
      <c r="E149" s="4" cm="1">
        <f t="array" aca="1" ref="E149" ca="1">$B149-INDIRECT(ADDRESS(ROW()-E$2,2))</f>
        <v>-1.0799999999999841</v>
      </c>
      <c r="F149" s="3">
        <v>11725.350000000008</v>
      </c>
      <c r="G149" s="3">
        <v>0</v>
      </c>
      <c r="H149" s="3">
        <f t="shared" si="2"/>
        <v>11725.350000000008</v>
      </c>
      <c r="I149" s="3"/>
      <c r="J149" s="3"/>
      <c r="K149" s="3"/>
    </row>
    <row r="150" spans="1:11">
      <c r="A150" s="3">
        <v>42506</v>
      </c>
      <c r="B150" s="3">
        <v>208.29</v>
      </c>
      <c r="C150" s="4" cm="1">
        <f t="array" aca="1" ref="C150" ca="1">$B150-INDIRECT(ADDRESS(ROW()-C$2,2))</f>
        <v>-3.2400000000000091</v>
      </c>
      <c r="D150" s="4" cm="1">
        <f t="array" aca="1" ref="D150" ca="1">$B150-INDIRECT(ADDRESS(ROW()-D$2,2))</f>
        <v>-0.62999999999999545</v>
      </c>
      <c r="E150" s="4" cm="1">
        <f t="array" aca="1" ref="E150" ca="1">$B150-INDIRECT(ADDRESS(ROW()-E$2,2))</f>
        <v>-0.67000000000001592</v>
      </c>
      <c r="F150" s="3">
        <v>11725.350000000008</v>
      </c>
      <c r="G150" s="3">
        <v>0</v>
      </c>
      <c r="H150" s="3">
        <f t="shared" si="2"/>
        <v>11725.350000000008</v>
      </c>
      <c r="I150" s="3"/>
      <c r="J150" s="3"/>
      <c r="K150" s="3"/>
    </row>
    <row r="151" spans="1:11">
      <c r="A151" s="3">
        <v>42507</v>
      </c>
      <c r="B151" s="3">
        <v>204.66</v>
      </c>
      <c r="C151" s="4" cm="1">
        <f t="array" aca="1" ref="C151" ca="1">$B151-INDIRECT(ADDRESS(ROW()-C$2,2))</f>
        <v>-10.27000000000001</v>
      </c>
      <c r="D151" s="4" cm="1">
        <f t="array" aca="1" ref="D151" ca="1">$B151-INDIRECT(ADDRESS(ROW()-D$2,2))</f>
        <v>-4.0300000000000011</v>
      </c>
      <c r="E151" s="4" cm="1">
        <f t="array" aca="1" ref="E151" ca="1">$B151-INDIRECT(ADDRESS(ROW()-E$2,2))</f>
        <v>-2.6200000000000045</v>
      </c>
      <c r="F151" s="3">
        <v>11725.350000000008</v>
      </c>
      <c r="G151" s="3">
        <v>0</v>
      </c>
      <c r="H151" s="3">
        <f t="shared" si="2"/>
        <v>11725.350000000008</v>
      </c>
      <c r="I151" s="3"/>
      <c r="J151" s="3"/>
      <c r="K151" s="3"/>
    </row>
    <row r="152" spans="1:11">
      <c r="A152" s="3">
        <v>42508</v>
      </c>
      <c r="B152" s="3">
        <v>211.17</v>
      </c>
      <c r="C152" s="4" cm="1">
        <f t="array" aca="1" ref="C152" ca="1">$B152-INDIRECT(ADDRESS(ROW()-C$2,2))</f>
        <v>2.25</v>
      </c>
      <c r="D152" s="4" cm="1">
        <f t="array" aca="1" ref="D152" ca="1">$B152-INDIRECT(ADDRESS(ROW()-D$2,2))</f>
        <v>2.2099999999999795</v>
      </c>
      <c r="E152" s="4" cm="1">
        <f t="array" aca="1" ref="E152" ca="1">$B152-INDIRECT(ADDRESS(ROW()-E$2,2))</f>
        <v>3.5599999999999739</v>
      </c>
      <c r="F152" s="3">
        <v>11725.350000000008</v>
      </c>
      <c r="G152" s="3">
        <v>0</v>
      </c>
      <c r="H152" s="3">
        <f t="shared" si="2"/>
        <v>11725.350000000008</v>
      </c>
      <c r="I152" s="3"/>
      <c r="J152" s="3"/>
      <c r="K152" s="3"/>
    </row>
    <row r="153" spans="1:11">
      <c r="A153" s="3">
        <v>42509</v>
      </c>
      <c r="B153" s="3">
        <v>215.21</v>
      </c>
      <c r="C153" s="4" cm="1">
        <f t="array" aca="1" ref="C153" ca="1">$B153-INDIRECT(ADDRESS(ROW()-C$2,2))</f>
        <v>6.5200000000000102</v>
      </c>
      <c r="D153" s="4" cm="1">
        <f t="array" aca="1" ref="D153" ca="1">$B153-INDIRECT(ADDRESS(ROW()-D$2,2))</f>
        <v>7.9300000000000068</v>
      </c>
      <c r="E153" s="4" cm="1">
        <f t="array" aca="1" ref="E153" ca="1">$B153-INDIRECT(ADDRESS(ROW()-E$2,2))</f>
        <v>6.9200000000000159</v>
      </c>
      <c r="F153" s="3">
        <v>11725.350000000008</v>
      </c>
      <c r="G153" s="3">
        <v>0</v>
      </c>
      <c r="H153" s="3">
        <f t="shared" si="2"/>
        <v>11725.350000000008</v>
      </c>
      <c r="I153" s="3"/>
      <c r="J153" s="3"/>
      <c r="K153" s="3"/>
    </row>
    <row r="154" spans="1:11">
      <c r="A154" s="3">
        <v>42510</v>
      </c>
      <c r="B154" s="3">
        <v>220.28</v>
      </c>
      <c r="C154" s="4" cm="1">
        <f t="array" aca="1" ref="C154" ca="1">$B154-INDIRECT(ADDRESS(ROW()-C$2,2))</f>
        <v>11.319999999999993</v>
      </c>
      <c r="D154" s="4" cm="1">
        <f t="array" aca="1" ref="D154" ca="1">$B154-INDIRECT(ADDRESS(ROW()-D$2,2))</f>
        <v>12.669999999999987</v>
      </c>
      <c r="E154" s="4" cm="1">
        <f t="array" aca="1" ref="E154" ca="1">$B154-INDIRECT(ADDRESS(ROW()-E$2,2))</f>
        <v>15.620000000000005</v>
      </c>
      <c r="F154" s="3">
        <v>11725.350000000008</v>
      </c>
      <c r="G154" s="3">
        <v>0</v>
      </c>
      <c r="H154" s="3">
        <f t="shared" si="2"/>
        <v>11725.350000000008</v>
      </c>
      <c r="I154" s="3"/>
      <c r="J154" s="3"/>
      <c r="K154" s="3"/>
    </row>
    <row r="155" spans="1:11">
      <c r="A155" s="3">
        <v>42513</v>
      </c>
      <c r="B155" s="3">
        <v>216.22</v>
      </c>
      <c r="C155" s="4" cm="1">
        <f t="array" aca="1" ref="C155" ca="1">$B155-INDIRECT(ADDRESS(ROW()-C$2,2))</f>
        <v>8.9399999999999977</v>
      </c>
      <c r="D155" s="4" cm="1">
        <f t="array" aca="1" ref="D155" ca="1">$B155-INDIRECT(ADDRESS(ROW()-D$2,2))</f>
        <v>7.9300000000000068</v>
      </c>
      <c r="E155" s="4" cm="1">
        <f t="array" aca="1" ref="E155" ca="1">$B155-INDIRECT(ADDRESS(ROW()-E$2,2))</f>
        <v>5.0500000000000114</v>
      </c>
      <c r="F155" s="3">
        <v>11725.350000000008</v>
      </c>
      <c r="G155" s="3">
        <v>0</v>
      </c>
      <c r="H155" s="3">
        <f t="shared" si="2"/>
        <v>11725.350000000008</v>
      </c>
      <c r="I155" s="3"/>
      <c r="J155" s="3"/>
      <c r="K155" s="3"/>
    </row>
    <row r="156" spans="1:11">
      <c r="A156" s="3">
        <v>42514</v>
      </c>
      <c r="B156" s="3">
        <v>217.91</v>
      </c>
      <c r="C156" s="4" cm="1">
        <f t="array" aca="1" ref="C156" ca="1">$B156-INDIRECT(ADDRESS(ROW()-C$2,2))</f>
        <v>10.299999999999983</v>
      </c>
      <c r="D156" s="4" cm="1">
        <f t="array" aca="1" ref="D156" ca="1">$B156-INDIRECT(ADDRESS(ROW()-D$2,2))</f>
        <v>13.25</v>
      </c>
      <c r="E156" s="4" cm="1">
        <f t="array" aca="1" ref="E156" ca="1">$B156-INDIRECT(ADDRESS(ROW()-E$2,2))</f>
        <v>2.6999999999999886</v>
      </c>
      <c r="F156" s="3">
        <v>11725.350000000008</v>
      </c>
      <c r="G156" s="3">
        <v>0</v>
      </c>
      <c r="H156" s="3">
        <f t="shared" si="2"/>
        <v>11725.350000000008</v>
      </c>
      <c r="I156" s="3"/>
      <c r="J156" s="3"/>
      <c r="K156" s="3"/>
    </row>
    <row r="157" spans="1:11">
      <c r="A157" s="3">
        <v>42515</v>
      </c>
      <c r="B157" s="3">
        <v>219.58</v>
      </c>
      <c r="C157" s="4" cm="1">
        <f t="array" aca="1" ref="C157" ca="1">$B157-INDIRECT(ADDRESS(ROW()-C$2,2))</f>
        <v>11.29000000000002</v>
      </c>
      <c r="D157" s="4" cm="1">
        <f t="array" aca="1" ref="D157" ca="1">$B157-INDIRECT(ADDRESS(ROW()-D$2,2))</f>
        <v>8.410000000000025</v>
      </c>
      <c r="E157" s="4" cm="1">
        <f t="array" aca="1" ref="E157" ca="1">$B157-INDIRECT(ADDRESS(ROW()-E$2,2))</f>
        <v>-0.69999999999998863</v>
      </c>
      <c r="F157" s="3">
        <v>11725.350000000008</v>
      </c>
      <c r="G157" s="3">
        <v>0</v>
      </c>
      <c r="H157" s="3">
        <f t="shared" si="2"/>
        <v>11725.350000000008</v>
      </c>
      <c r="I157" s="3"/>
      <c r="J157" s="3"/>
      <c r="K157" s="3"/>
    </row>
    <row r="158" spans="1:11">
      <c r="A158" s="3">
        <v>42516</v>
      </c>
      <c r="B158" s="3">
        <v>225.12</v>
      </c>
      <c r="C158" s="4" cm="1">
        <f t="array" aca="1" ref="C158" ca="1">$B158-INDIRECT(ADDRESS(ROW()-C$2,2))</f>
        <v>20.460000000000008</v>
      </c>
      <c r="D158" s="4" cm="1">
        <f t="array" aca="1" ref="D158" ca="1">$B158-INDIRECT(ADDRESS(ROW()-D$2,2))</f>
        <v>9.9099999999999966</v>
      </c>
      <c r="E158" s="4" cm="1">
        <f t="array" aca="1" ref="E158" ca="1">$B158-INDIRECT(ADDRESS(ROW()-E$2,2))</f>
        <v>8.9000000000000057</v>
      </c>
      <c r="F158" s="3">
        <v>11725.350000000008</v>
      </c>
      <c r="G158" s="3">
        <v>0</v>
      </c>
      <c r="H158" s="3">
        <f t="shared" si="2"/>
        <v>11725.350000000008</v>
      </c>
      <c r="I158" s="3"/>
      <c r="J158" s="3"/>
      <c r="K158" s="3"/>
    </row>
    <row r="159" spans="1:11">
      <c r="A159" s="3">
        <v>42517</v>
      </c>
      <c r="B159" s="3">
        <v>223.04</v>
      </c>
      <c r="C159" s="4" cm="1">
        <f t="array" aca="1" ref="C159" ca="1">$B159-INDIRECT(ADDRESS(ROW()-C$2,2))</f>
        <v>11.870000000000005</v>
      </c>
      <c r="D159" s="4" cm="1">
        <f t="array" aca="1" ref="D159" ca="1">$B159-INDIRECT(ADDRESS(ROW()-D$2,2))</f>
        <v>2.7599999999999909</v>
      </c>
      <c r="E159" s="4" cm="1">
        <f t="array" aca="1" ref="E159" ca="1">$B159-INDIRECT(ADDRESS(ROW()-E$2,2))</f>
        <v>5.1299999999999955</v>
      </c>
      <c r="F159" s="3">
        <v>11725.350000000008</v>
      </c>
      <c r="G159" s="3">
        <v>0</v>
      </c>
      <c r="H159" s="3">
        <f t="shared" si="2"/>
        <v>11725.350000000008</v>
      </c>
      <c r="I159" s="3"/>
      <c r="J159" s="3"/>
      <c r="K159" s="3"/>
    </row>
    <row r="160" spans="1:11">
      <c r="A160" s="3">
        <v>42521</v>
      </c>
      <c r="B160" s="3">
        <v>223.23</v>
      </c>
      <c r="C160" s="4" cm="1">
        <f t="array" aca="1" ref="C160" ca="1">$B160-INDIRECT(ADDRESS(ROW()-C$2,2))</f>
        <v>8.0199999999999818</v>
      </c>
      <c r="D160" s="4" cm="1">
        <f t="array" aca="1" ref="D160" ca="1">$B160-INDIRECT(ADDRESS(ROW()-D$2,2))</f>
        <v>7.0099999999999909</v>
      </c>
      <c r="E160" s="4" cm="1">
        <f t="array" aca="1" ref="E160" ca="1">$B160-INDIRECT(ADDRESS(ROW()-E$2,2))</f>
        <v>3.6499999999999773</v>
      </c>
      <c r="F160" s="3">
        <v>11725.350000000008</v>
      </c>
      <c r="G160" s="3">
        <v>0</v>
      </c>
      <c r="H160" s="3">
        <f t="shared" si="2"/>
        <v>11725.350000000008</v>
      </c>
      <c r="I160" s="3"/>
      <c r="J160" s="3"/>
      <c r="K160" s="3"/>
    </row>
    <row r="161" spans="1:11">
      <c r="A161" s="3">
        <v>42522</v>
      </c>
      <c r="B161" s="3">
        <v>219.56</v>
      </c>
      <c r="C161" s="4" cm="1">
        <f t="array" aca="1" ref="C161" ca="1">$B161-INDIRECT(ADDRESS(ROW()-C$2,2))</f>
        <v>-0.71999999999999886</v>
      </c>
      <c r="D161" s="4" cm="1">
        <f t="array" aca="1" ref="D161" ca="1">$B161-INDIRECT(ADDRESS(ROW()-D$2,2))</f>
        <v>1.6500000000000057</v>
      </c>
      <c r="E161" s="4" cm="1">
        <f t="array" aca="1" ref="E161" ca="1">$B161-INDIRECT(ADDRESS(ROW()-E$2,2))</f>
        <v>-5.5600000000000023</v>
      </c>
      <c r="F161" s="3">
        <v>11725.350000000008</v>
      </c>
      <c r="G161" s="3">
        <v>0</v>
      </c>
      <c r="H161" s="3">
        <f t="shared" si="2"/>
        <v>11725.350000000008</v>
      </c>
      <c r="I161" s="3"/>
      <c r="J161" s="3"/>
      <c r="K161" s="3"/>
    </row>
    <row r="162" spans="1:11">
      <c r="A162" s="3">
        <v>42523</v>
      </c>
      <c r="B162" s="3">
        <v>218.96</v>
      </c>
      <c r="C162" s="4" cm="1">
        <f t="array" aca="1" ref="C162" ca="1">$B162-INDIRECT(ADDRESS(ROW()-C$2,2))</f>
        <v>2.7400000000000091</v>
      </c>
      <c r="D162" s="4" cm="1">
        <f t="array" aca="1" ref="D162" ca="1">$B162-INDIRECT(ADDRESS(ROW()-D$2,2))</f>
        <v>-0.62000000000000455</v>
      </c>
      <c r="E162" s="4" cm="1">
        <f t="array" aca="1" ref="E162" ca="1">$B162-INDIRECT(ADDRESS(ROW()-E$2,2))</f>
        <v>-4.0799999999999841</v>
      </c>
      <c r="F162" s="3">
        <v>11725.350000000008</v>
      </c>
      <c r="G162" s="3">
        <v>0</v>
      </c>
      <c r="H162" s="3">
        <f t="shared" si="2"/>
        <v>11725.350000000008</v>
      </c>
      <c r="I162" s="3"/>
      <c r="J162" s="3"/>
      <c r="K162" s="3"/>
    </row>
    <row r="163" spans="1:11">
      <c r="A163" s="3">
        <v>42524</v>
      </c>
      <c r="B163" s="3">
        <v>218.99</v>
      </c>
      <c r="C163" s="4" cm="1">
        <f t="array" aca="1" ref="C163" ca="1">$B163-INDIRECT(ADDRESS(ROW()-C$2,2))</f>
        <v>1.0800000000000125</v>
      </c>
      <c r="D163" s="4" cm="1">
        <f t="array" aca="1" ref="D163" ca="1">$B163-INDIRECT(ADDRESS(ROW()-D$2,2))</f>
        <v>-6.1299999999999955</v>
      </c>
      <c r="E163" s="4" cm="1">
        <f t="array" aca="1" ref="E163" ca="1">$B163-INDIRECT(ADDRESS(ROW()-E$2,2))</f>
        <v>-4.2399999999999807</v>
      </c>
      <c r="F163" s="3">
        <v>11725.350000000008</v>
      </c>
      <c r="G163" s="3">
        <v>0</v>
      </c>
      <c r="H163" s="3">
        <f t="shared" si="2"/>
        <v>11725.350000000008</v>
      </c>
      <c r="I163" s="3"/>
      <c r="J163" s="3"/>
      <c r="K163" s="3"/>
    </row>
    <row r="164" spans="1:11">
      <c r="A164" s="3">
        <v>42527</v>
      </c>
      <c r="B164" s="3">
        <v>220.68</v>
      </c>
      <c r="C164" s="4" cm="1">
        <f t="array" aca="1" ref="C164" ca="1">$B164-INDIRECT(ADDRESS(ROW()-C$2,2))</f>
        <v>1.0999999999999943</v>
      </c>
      <c r="D164" s="4" cm="1">
        <f t="array" aca="1" ref="D164" ca="1">$B164-INDIRECT(ADDRESS(ROW()-D$2,2))</f>
        <v>-2.3599999999999852</v>
      </c>
      <c r="E164" s="4" cm="1">
        <f t="array" aca="1" ref="E164" ca="1">$B164-INDIRECT(ADDRESS(ROW()-E$2,2))</f>
        <v>1.1200000000000045</v>
      </c>
      <c r="F164" s="3">
        <v>11725.350000000008</v>
      </c>
      <c r="G164" s="3">
        <v>0</v>
      </c>
      <c r="H164" s="3">
        <f t="shared" si="2"/>
        <v>11725.350000000008</v>
      </c>
      <c r="I164" s="3"/>
      <c r="J164" s="3"/>
      <c r="K164" s="3"/>
    </row>
    <row r="165" spans="1:11">
      <c r="A165" s="3">
        <v>42528</v>
      </c>
      <c r="B165" s="3">
        <v>232.34</v>
      </c>
      <c r="C165" s="4" cm="1">
        <f t="array" aca="1" ref="C165" ca="1">$B165-INDIRECT(ADDRESS(ROW()-C$2,2))</f>
        <v>7.2199999999999989</v>
      </c>
      <c r="D165" s="4" cm="1">
        <f t="array" aca="1" ref="D165" ca="1">$B165-INDIRECT(ADDRESS(ROW()-D$2,2))</f>
        <v>9.1100000000000136</v>
      </c>
      <c r="E165" s="4" cm="1">
        <f t="array" aca="1" ref="E165" ca="1">$B165-INDIRECT(ADDRESS(ROW()-E$2,2))</f>
        <v>13.379999999999995</v>
      </c>
      <c r="F165" s="3">
        <v>11725.350000000008</v>
      </c>
      <c r="G165" s="3">
        <v>0</v>
      </c>
      <c r="H165" s="3">
        <f t="shared" si="2"/>
        <v>11725.350000000008</v>
      </c>
      <c r="I165" s="3"/>
      <c r="J165" s="3"/>
      <c r="K165" s="3"/>
    </row>
    <row r="166" spans="1:11">
      <c r="A166" s="3">
        <v>42529</v>
      </c>
      <c r="B166" s="3">
        <v>235.52</v>
      </c>
      <c r="C166" s="4" cm="1">
        <f t="array" aca="1" ref="C166" ca="1">$B166-INDIRECT(ADDRESS(ROW()-C$2,2))</f>
        <v>12.480000000000018</v>
      </c>
      <c r="D166" s="4" cm="1">
        <f t="array" aca="1" ref="D166" ca="1">$B166-INDIRECT(ADDRESS(ROW()-D$2,2))</f>
        <v>15.960000000000008</v>
      </c>
      <c r="E166" s="4" cm="1">
        <f t="array" aca="1" ref="E166" ca="1">$B166-INDIRECT(ADDRESS(ROW()-E$2,2))</f>
        <v>16.53</v>
      </c>
      <c r="F166" s="3">
        <v>11725.350000000008</v>
      </c>
      <c r="G166" s="3">
        <v>0</v>
      </c>
      <c r="H166" s="3">
        <f t="shared" si="2"/>
        <v>11725.350000000008</v>
      </c>
      <c r="I166" s="3"/>
      <c r="J166" s="3"/>
      <c r="K166" s="3"/>
    </row>
    <row r="167" spans="1:11">
      <c r="A167" s="3">
        <v>42530</v>
      </c>
      <c r="B167" s="3">
        <v>229.36</v>
      </c>
      <c r="C167" s="4" cm="1">
        <f t="array" aca="1" ref="C167" ca="1">$B167-INDIRECT(ADDRESS(ROW()-C$2,2))</f>
        <v>6.1300000000000239</v>
      </c>
      <c r="D167" s="4" cm="1">
        <f t="array" aca="1" ref="D167" ca="1">$B167-INDIRECT(ADDRESS(ROW()-D$2,2))</f>
        <v>10.400000000000006</v>
      </c>
      <c r="E167" s="4" cm="1">
        <f t="array" aca="1" ref="E167" ca="1">$B167-INDIRECT(ADDRESS(ROW()-E$2,2))</f>
        <v>8.6800000000000068</v>
      </c>
      <c r="F167" s="3">
        <v>11725.350000000008</v>
      </c>
      <c r="G167" s="3">
        <v>0</v>
      </c>
      <c r="H167" s="3">
        <f t="shared" si="2"/>
        <v>11725.350000000008</v>
      </c>
      <c r="I167" s="3"/>
      <c r="J167" s="3"/>
      <c r="K167" s="3"/>
    </row>
    <row r="168" spans="1:11">
      <c r="A168" s="3">
        <v>42531</v>
      </c>
      <c r="B168" s="3">
        <v>218.79</v>
      </c>
      <c r="C168" s="4" cm="1">
        <f t="array" aca="1" ref="C168" ca="1">$B168-INDIRECT(ADDRESS(ROW()-C$2,2))</f>
        <v>-0.77000000000001023</v>
      </c>
      <c r="D168" s="4" cm="1">
        <f t="array" aca="1" ref="D168" ca="1">$B168-INDIRECT(ADDRESS(ROW()-D$2,2))</f>
        <v>-0.20000000000001705</v>
      </c>
      <c r="E168" s="4" cm="1">
        <f t="array" aca="1" ref="E168" ca="1">$B168-INDIRECT(ADDRESS(ROW()-E$2,2))</f>
        <v>-13.550000000000011</v>
      </c>
      <c r="F168" s="3">
        <v>11725.350000000008</v>
      </c>
      <c r="G168" s="3">
        <v>0</v>
      </c>
      <c r="H168" s="3">
        <f t="shared" si="2"/>
        <v>11725.350000000008</v>
      </c>
      <c r="I168" s="3"/>
      <c r="J168" s="3"/>
      <c r="K168" s="3"/>
    </row>
    <row r="169" spans="1:11">
      <c r="A169" s="3">
        <v>42534</v>
      </c>
      <c r="B169" s="3">
        <v>217.87</v>
      </c>
      <c r="C169" s="4" cm="1">
        <f t="array" aca="1" ref="C169" ca="1">$B169-INDIRECT(ADDRESS(ROW()-C$2,2))</f>
        <v>-1.0900000000000034</v>
      </c>
      <c r="D169" s="4" cm="1">
        <f t="array" aca="1" ref="D169" ca="1">$B169-INDIRECT(ADDRESS(ROW()-D$2,2))</f>
        <v>-2.8100000000000023</v>
      </c>
      <c r="E169" s="4" cm="1">
        <f t="array" aca="1" ref="E169" ca="1">$B169-INDIRECT(ADDRESS(ROW()-E$2,2))</f>
        <v>-17.650000000000006</v>
      </c>
      <c r="F169" s="3">
        <v>11725.350000000008</v>
      </c>
      <c r="G169" s="3">
        <v>0</v>
      </c>
      <c r="H169" s="3">
        <f t="shared" si="2"/>
        <v>11725.350000000008</v>
      </c>
      <c r="I169" s="3"/>
      <c r="J169" s="3"/>
      <c r="K169" s="3"/>
    </row>
    <row r="170" spans="1:11">
      <c r="A170" s="3">
        <v>42535</v>
      </c>
      <c r="B170" s="3">
        <v>214.96</v>
      </c>
      <c r="C170" s="4" cm="1">
        <f t="array" aca="1" ref="C170" ca="1">$B170-INDIRECT(ADDRESS(ROW()-C$2,2))</f>
        <v>-4.0300000000000011</v>
      </c>
      <c r="D170" s="4" cm="1">
        <f t="array" aca="1" ref="D170" ca="1">$B170-INDIRECT(ADDRESS(ROW()-D$2,2))</f>
        <v>-17.379999999999995</v>
      </c>
      <c r="E170" s="4" cm="1">
        <f t="array" aca="1" ref="E170" ca="1">$B170-INDIRECT(ADDRESS(ROW()-E$2,2))</f>
        <v>-14.400000000000006</v>
      </c>
      <c r="F170" s="3">
        <v>11725.350000000008</v>
      </c>
      <c r="G170" s="3">
        <v>0</v>
      </c>
      <c r="H170" s="3">
        <f t="shared" si="2"/>
        <v>11725.350000000008</v>
      </c>
      <c r="I170" s="3"/>
      <c r="J170" s="3"/>
      <c r="K170" s="3"/>
    </row>
    <row r="171" spans="1:11">
      <c r="A171" s="3">
        <v>42536</v>
      </c>
      <c r="B171" s="3">
        <v>217.7</v>
      </c>
      <c r="C171" s="4" cm="1">
        <f t="array" aca="1" ref="C171" ca="1">$B171-INDIRECT(ADDRESS(ROW()-C$2,2))</f>
        <v>-2.9800000000000182</v>
      </c>
      <c r="D171" s="4" cm="1">
        <f t="array" aca="1" ref="D171" ca="1">$B171-INDIRECT(ADDRESS(ROW()-D$2,2))</f>
        <v>-17.820000000000022</v>
      </c>
      <c r="E171" s="4" cm="1">
        <f t="array" aca="1" ref="E171" ca="1">$B171-INDIRECT(ADDRESS(ROW()-E$2,2))</f>
        <v>-1.0900000000000034</v>
      </c>
      <c r="F171" s="3">
        <v>11725.350000000008</v>
      </c>
      <c r="G171" s="3">
        <v>0</v>
      </c>
      <c r="H171" s="3">
        <f t="shared" si="2"/>
        <v>11725.350000000008</v>
      </c>
      <c r="I171" s="3"/>
      <c r="J171" s="3"/>
      <c r="K171" s="3"/>
    </row>
    <row r="172" spans="1:11">
      <c r="A172" s="3">
        <v>42537</v>
      </c>
      <c r="B172" s="3">
        <v>217.93</v>
      </c>
      <c r="C172" s="4" cm="1">
        <f t="array" aca="1" ref="C172" ca="1">$B172-INDIRECT(ADDRESS(ROW()-C$2,2))</f>
        <v>-14.409999999999997</v>
      </c>
      <c r="D172" s="4" cm="1">
        <f t="array" aca="1" ref="D172" ca="1">$B172-INDIRECT(ADDRESS(ROW()-D$2,2))</f>
        <v>-11.430000000000007</v>
      </c>
      <c r="E172" s="4" cm="1">
        <f t="array" aca="1" ref="E172" ca="1">$B172-INDIRECT(ADDRESS(ROW()-E$2,2))</f>
        <v>6.0000000000002274E-2</v>
      </c>
      <c r="F172" s="3">
        <v>11725.350000000008</v>
      </c>
      <c r="G172" s="3">
        <v>0</v>
      </c>
      <c r="H172" s="3">
        <f t="shared" si="2"/>
        <v>11725.350000000008</v>
      </c>
      <c r="I172" s="3"/>
      <c r="J172" s="3"/>
      <c r="K172" s="3"/>
    </row>
    <row r="173" spans="1:11">
      <c r="A173" s="3">
        <v>42538</v>
      </c>
      <c r="B173" s="3">
        <v>215.47</v>
      </c>
      <c r="C173" s="4" cm="1">
        <f t="array" aca="1" ref="C173" ca="1">$B173-INDIRECT(ADDRESS(ROW()-C$2,2))</f>
        <v>-20.050000000000011</v>
      </c>
      <c r="D173" s="4" cm="1">
        <f t="array" aca="1" ref="D173" ca="1">$B173-INDIRECT(ADDRESS(ROW()-D$2,2))</f>
        <v>-3.3199999999999932</v>
      </c>
      <c r="E173" s="4" cm="1">
        <f t="array" aca="1" ref="E173" ca="1">$B173-INDIRECT(ADDRESS(ROW()-E$2,2))</f>
        <v>0.50999999999999091</v>
      </c>
      <c r="F173" s="3">
        <v>11725.350000000008</v>
      </c>
      <c r="G173" s="3">
        <v>0</v>
      </c>
      <c r="H173" s="3">
        <f t="shared" si="2"/>
        <v>11725.350000000008</v>
      </c>
      <c r="I173" s="3"/>
      <c r="J173" s="3"/>
      <c r="K173" s="3"/>
    </row>
    <row r="174" spans="1:11">
      <c r="A174" s="3">
        <v>42541</v>
      </c>
      <c r="B174" s="3">
        <v>219.7</v>
      </c>
      <c r="C174" s="4" cm="1">
        <f t="array" aca="1" ref="C174" ca="1">$B174-INDIRECT(ADDRESS(ROW()-C$2,2))</f>
        <v>-9.660000000000025</v>
      </c>
      <c r="D174" s="4" cm="1">
        <f t="array" aca="1" ref="D174" ca="1">$B174-INDIRECT(ADDRESS(ROW()-D$2,2))</f>
        <v>1.8299999999999841</v>
      </c>
      <c r="E174" s="4" cm="1">
        <f t="array" aca="1" ref="E174" ca="1">$B174-INDIRECT(ADDRESS(ROW()-E$2,2))</f>
        <v>2</v>
      </c>
      <c r="F174" s="3">
        <v>81.250000000000796</v>
      </c>
      <c r="G174" s="3">
        <v>11644.099999999999</v>
      </c>
      <c r="H174" s="3">
        <f t="shared" si="2"/>
        <v>11725.349999999999</v>
      </c>
      <c r="I174" s="3"/>
      <c r="J174" s="3"/>
      <c r="K174" s="3"/>
    </row>
    <row r="175" spans="1:11">
      <c r="A175" s="3">
        <v>42542</v>
      </c>
      <c r="B175" s="3">
        <v>219.61</v>
      </c>
      <c r="C175" s="4" cm="1">
        <f t="array" aca="1" ref="C175" ca="1">$B175-INDIRECT(ADDRESS(ROW()-C$2,2))</f>
        <v>0.8200000000000216</v>
      </c>
      <c r="D175" s="4" cm="1">
        <f t="array" aca="1" ref="D175" ca="1">$B175-INDIRECT(ADDRESS(ROW()-D$2,2))</f>
        <v>4.6500000000000057</v>
      </c>
      <c r="E175" s="4" cm="1">
        <f t="array" aca="1" ref="E175" ca="1">$B175-INDIRECT(ADDRESS(ROW()-E$2,2))</f>
        <v>1.6800000000000068</v>
      </c>
      <c r="F175" s="3">
        <v>81.250000000000796</v>
      </c>
      <c r="G175" s="3">
        <v>11639.33</v>
      </c>
      <c r="H175" s="3">
        <f t="shared" ref="H175:H238" si="3">G175+F175</f>
        <v>11720.58</v>
      </c>
      <c r="I175" s="3"/>
      <c r="J175" s="3"/>
      <c r="K175" s="3"/>
    </row>
    <row r="176" spans="1:11">
      <c r="A176" s="3">
        <v>42543</v>
      </c>
      <c r="B176" s="3">
        <v>196.66</v>
      </c>
      <c r="C176" s="4" cm="1">
        <f t="array" aca="1" ref="C176" ca="1">$B176-INDIRECT(ADDRESS(ROW()-C$2,2))</f>
        <v>-21.210000000000008</v>
      </c>
      <c r="D176" s="4" cm="1">
        <f t="array" aca="1" ref="D176" ca="1">$B176-INDIRECT(ADDRESS(ROW()-D$2,2))</f>
        <v>-21.039999999999992</v>
      </c>
      <c r="E176" s="4" cm="1">
        <f t="array" aca="1" ref="E176" ca="1">$B176-INDIRECT(ADDRESS(ROW()-E$2,2))</f>
        <v>-18.810000000000002</v>
      </c>
      <c r="F176" s="3">
        <v>81.250000000000796</v>
      </c>
      <c r="G176" s="3">
        <v>10422.98</v>
      </c>
      <c r="H176" s="3">
        <f t="shared" si="3"/>
        <v>10504.23</v>
      </c>
      <c r="I176" s="3"/>
      <c r="J176" s="3"/>
      <c r="K176" s="3"/>
    </row>
    <row r="177" spans="1:11">
      <c r="A177" s="3">
        <v>42544</v>
      </c>
      <c r="B177" s="3">
        <v>196.4</v>
      </c>
      <c r="C177" s="4" cm="1">
        <f t="array" aca="1" ref="C177" ca="1">$B177-INDIRECT(ADDRESS(ROW()-C$2,2))</f>
        <v>-18.560000000000002</v>
      </c>
      <c r="D177" s="4" cm="1">
        <f t="array" aca="1" ref="D177" ca="1">$B177-INDIRECT(ADDRESS(ROW()-D$2,2))</f>
        <v>-21.53</v>
      </c>
      <c r="E177" s="4" cm="1">
        <f t="array" aca="1" ref="E177" ca="1">$B177-INDIRECT(ADDRESS(ROW()-E$2,2))</f>
        <v>-23.299999999999983</v>
      </c>
      <c r="F177" s="3">
        <v>81.250000000000796</v>
      </c>
      <c r="G177" s="3">
        <v>10409.200000000001</v>
      </c>
      <c r="H177" s="3">
        <f t="shared" si="3"/>
        <v>10490.45</v>
      </c>
      <c r="I177" s="3"/>
      <c r="J177" s="3"/>
      <c r="K177" s="3"/>
    </row>
    <row r="178" spans="1:11">
      <c r="A178" s="3">
        <v>42545</v>
      </c>
      <c r="B178" s="3">
        <v>193.15</v>
      </c>
      <c r="C178" s="4" cm="1">
        <f t="array" aca="1" ref="C178" ca="1">$B178-INDIRECT(ADDRESS(ROW()-C$2,2))</f>
        <v>-24.549999999999983</v>
      </c>
      <c r="D178" s="4" cm="1">
        <f t="array" aca="1" ref="D178" ca="1">$B178-INDIRECT(ADDRESS(ROW()-D$2,2))</f>
        <v>-22.319999999999993</v>
      </c>
      <c r="E178" s="4" cm="1">
        <f t="array" aca="1" ref="E178" ca="1">$B178-INDIRECT(ADDRESS(ROW()-E$2,2))</f>
        <v>-26.460000000000008</v>
      </c>
      <c r="F178" s="3">
        <v>81.250000000000796</v>
      </c>
      <c r="G178" s="3">
        <v>10236.950000000001</v>
      </c>
      <c r="H178" s="3">
        <f t="shared" si="3"/>
        <v>10318.200000000001</v>
      </c>
      <c r="I178" s="3"/>
      <c r="J178" s="3"/>
      <c r="K178" s="3"/>
    </row>
    <row r="179" spans="1:11">
      <c r="A179" s="3">
        <v>42548</v>
      </c>
      <c r="B179" s="3">
        <v>198.55</v>
      </c>
      <c r="C179" s="4" cm="1">
        <f t="array" aca="1" ref="C179" ca="1">$B179-INDIRECT(ADDRESS(ROW()-C$2,2))</f>
        <v>-19.379999999999995</v>
      </c>
      <c r="D179" s="4" cm="1">
        <f t="array" aca="1" ref="D179" ca="1">$B179-INDIRECT(ADDRESS(ROW()-D$2,2))</f>
        <v>-21.149999999999977</v>
      </c>
      <c r="E179" s="4" cm="1">
        <f t="array" aca="1" ref="E179" ca="1">$B179-INDIRECT(ADDRESS(ROW()-E$2,2))</f>
        <v>1.8900000000000148</v>
      </c>
      <c r="F179" s="3">
        <v>81.250000000000796</v>
      </c>
      <c r="G179" s="3">
        <v>10523.150000000001</v>
      </c>
      <c r="H179" s="3">
        <f t="shared" si="3"/>
        <v>10604.400000000001</v>
      </c>
      <c r="I179" s="3"/>
      <c r="J179" s="3"/>
      <c r="K179" s="3"/>
    </row>
    <row r="180" spans="1:11">
      <c r="A180" s="3">
        <v>42549</v>
      </c>
      <c r="B180" s="3">
        <v>201.79</v>
      </c>
      <c r="C180" s="4" cm="1">
        <f t="array" aca="1" ref="C180" ca="1">$B180-INDIRECT(ADDRESS(ROW()-C$2,2))</f>
        <v>-13.680000000000007</v>
      </c>
      <c r="D180" s="4" cm="1">
        <f t="array" aca="1" ref="D180" ca="1">$B180-INDIRECT(ADDRESS(ROW()-D$2,2))</f>
        <v>-17.820000000000022</v>
      </c>
      <c r="E180" s="4" cm="1">
        <f t="array" aca="1" ref="E180" ca="1">$B180-INDIRECT(ADDRESS(ROW()-E$2,2))</f>
        <v>5.3899999999999864</v>
      </c>
      <c r="F180" s="3">
        <v>81.250000000000796</v>
      </c>
      <c r="G180" s="3">
        <v>10694.869999999999</v>
      </c>
      <c r="H180" s="3">
        <f t="shared" si="3"/>
        <v>10776.119999999999</v>
      </c>
      <c r="I180" s="3"/>
      <c r="J180" s="3"/>
      <c r="K180" s="3"/>
    </row>
    <row r="181" spans="1:11">
      <c r="A181" s="3">
        <v>42550</v>
      </c>
      <c r="B181" s="3">
        <v>210.19</v>
      </c>
      <c r="C181" s="4" cm="1">
        <f t="array" aca="1" ref="C181" ca="1">$B181-INDIRECT(ADDRESS(ROW()-C$2,2))</f>
        <v>-9.5099999999999909</v>
      </c>
      <c r="D181" s="4" cm="1">
        <f t="array" aca="1" ref="D181" ca="1">$B181-INDIRECT(ADDRESS(ROW()-D$2,2))</f>
        <v>13.530000000000001</v>
      </c>
      <c r="E181" s="4" cm="1">
        <f t="array" aca="1" ref="E181" ca="1">$B181-INDIRECT(ADDRESS(ROW()-E$2,2))</f>
        <v>17.039999999999992</v>
      </c>
      <c r="F181" s="3">
        <v>81.250000000000796</v>
      </c>
      <c r="G181" s="3">
        <v>11140.07</v>
      </c>
      <c r="H181" s="3">
        <f t="shared" si="3"/>
        <v>11221.32</v>
      </c>
      <c r="I181" s="3"/>
      <c r="J181" s="3"/>
      <c r="K181" s="3"/>
    </row>
    <row r="182" spans="1:11">
      <c r="A182" s="3">
        <v>42551</v>
      </c>
      <c r="B182" s="3">
        <v>212.28</v>
      </c>
      <c r="C182" s="4" cm="1">
        <f t="array" aca="1" ref="C182" ca="1">$B182-INDIRECT(ADDRESS(ROW()-C$2,2))</f>
        <v>-7.3300000000000125</v>
      </c>
      <c r="D182" s="4" cm="1">
        <f t="array" aca="1" ref="D182" ca="1">$B182-INDIRECT(ADDRESS(ROW()-D$2,2))</f>
        <v>15.879999999999995</v>
      </c>
      <c r="E182" s="4" cm="1">
        <f t="array" aca="1" ref="E182" ca="1">$B182-INDIRECT(ADDRESS(ROW()-E$2,2))</f>
        <v>13.72999999999999</v>
      </c>
      <c r="F182" s="3">
        <v>81.250000000000796</v>
      </c>
      <c r="G182" s="3">
        <v>11250.84</v>
      </c>
      <c r="H182" s="3">
        <f t="shared" si="3"/>
        <v>11332.09</v>
      </c>
      <c r="I182" s="3"/>
      <c r="J182" s="3"/>
      <c r="K182" s="3"/>
    </row>
    <row r="183" spans="1:11">
      <c r="A183" s="3">
        <v>42552</v>
      </c>
      <c r="B183" s="3">
        <v>216.5</v>
      </c>
      <c r="C183" s="4" cm="1">
        <f t="array" aca="1" ref="C183" ca="1">$B183-INDIRECT(ADDRESS(ROW()-C$2,2))</f>
        <v>19.840000000000003</v>
      </c>
      <c r="D183" s="4" cm="1">
        <f t="array" aca="1" ref="D183" ca="1">$B183-INDIRECT(ADDRESS(ROW()-D$2,2))</f>
        <v>23.349999999999994</v>
      </c>
      <c r="E183" s="4" cm="1">
        <f t="array" aca="1" ref="E183" ca="1">$B183-INDIRECT(ADDRESS(ROW()-E$2,2))</f>
        <v>14.710000000000008</v>
      </c>
      <c r="F183" s="3">
        <v>81.250000000000796</v>
      </c>
      <c r="G183" s="3">
        <v>11474.5</v>
      </c>
      <c r="H183" s="3">
        <f t="shared" si="3"/>
        <v>11555.75</v>
      </c>
      <c r="I183" s="3"/>
      <c r="J183" s="3"/>
      <c r="K183" s="3"/>
    </row>
    <row r="184" spans="1:11">
      <c r="A184" s="3">
        <v>42556</v>
      </c>
      <c r="B184" s="3">
        <v>213.98</v>
      </c>
      <c r="C184" s="4" cm="1">
        <f t="array" aca="1" ref="C184" ca="1">$B184-INDIRECT(ADDRESS(ROW()-C$2,2))</f>
        <v>17.579999999999984</v>
      </c>
      <c r="D184" s="4" cm="1">
        <f t="array" aca="1" ref="D184" ca="1">$B184-INDIRECT(ADDRESS(ROW()-D$2,2))</f>
        <v>15.429999999999978</v>
      </c>
      <c r="E184" s="4" cm="1">
        <f t="array" aca="1" ref="E184" ca="1">$B184-INDIRECT(ADDRESS(ROW()-E$2,2))</f>
        <v>3.789999999999992</v>
      </c>
      <c r="F184" s="3">
        <v>81.250000000000796</v>
      </c>
      <c r="G184" s="3">
        <v>11340.939999999999</v>
      </c>
      <c r="H184" s="3">
        <f t="shared" si="3"/>
        <v>11422.189999999999</v>
      </c>
      <c r="I184" s="3"/>
      <c r="J184" s="3"/>
      <c r="K184" s="3"/>
    </row>
    <row r="185" spans="1:11">
      <c r="A185" s="3">
        <v>42557</v>
      </c>
      <c r="B185" s="3">
        <v>214.44</v>
      </c>
      <c r="C185" s="4" cm="1">
        <f t="array" aca="1" ref="C185" ca="1">$B185-INDIRECT(ADDRESS(ROW()-C$2,2))</f>
        <v>21.289999999999992</v>
      </c>
      <c r="D185" s="4" cm="1">
        <f t="array" aca="1" ref="D185" ca="1">$B185-INDIRECT(ADDRESS(ROW()-D$2,2))</f>
        <v>12.650000000000006</v>
      </c>
      <c r="E185" s="4" cm="1">
        <f t="array" aca="1" ref="E185" ca="1">$B185-INDIRECT(ADDRESS(ROW()-E$2,2))</f>
        <v>2.1599999999999966</v>
      </c>
      <c r="F185" s="3">
        <v>81.250000000000796</v>
      </c>
      <c r="G185" s="3">
        <v>11365.32</v>
      </c>
      <c r="H185" s="3">
        <f t="shared" si="3"/>
        <v>11446.57</v>
      </c>
      <c r="I185" s="3"/>
      <c r="J185" s="3"/>
      <c r="K185" s="3"/>
    </row>
    <row r="186" spans="1:11">
      <c r="A186" s="3">
        <v>42558</v>
      </c>
      <c r="B186" s="3">
        <v>215.94</v>
      </c>
      <c r="C186" s="4" cm="1">
        <f t="array" aca="1" ref="C186" ca="1">$B186-INDIRECT(ADDRESS(ROW()-C$2,2))</f>
        <v>17.389999999999986</v>
      </c>
      <c r="D186" s="4" cm="1">
        <f t="array" aca="1" ref="D186" ca="1">$B186-INDIRECT(ADDRESS(ROW()-D$2,2))</f>
        <v>5.75</v>
      </c>
      <c r="E186" s="4" cm="1">
        <f t="array" aca="1" ref="E186" ca="1">$B186-INDIRECT(ADDRESS(ROW()-E$2,2))</f>
        <v>-0.56000000000000227</v>
      </c>
      <c r="F186" s="3">
        <v>81.250000000000796</v>
      </c>
      <c r="G186" s="3">
        <v>11444.82</v>
      </c>
      <c r="H186" s="3">
        <f t="shared" si="3"/>
        <v>11526.07</v>
      </c>
      <c r="I186" s="3"/>
      <c r="J186" s="3"/>
      <c r="K186" s="3"/>
    </row>
    <row r="187" spans="1:11">
      <c r="A187" s="3">
        <v>42559</v>
      </c>
      <c r="B187" s="3">
        <v>216.78</v>
      </c>
      <c r="C187" s="4" cm="1">
        <f t="array" aca="1" ref="C187" ca="1">$B187-INDIRECT(ADDRESS(ROW()-C$2,2))</f>
        <v>14.990000000000009</v>
      </c>
      <c r="D187" s="4" cm="1">
        <f t="array" aca="1" ref="D187" ca="1">$B187-INDIRECT(ADDRESS(ROW()-D$2,2))</f>
        <v>4.5</v>
      </c>
      <c r="E187" s="4" cm="1">
        <f t="array" aca="1" ref="E187" ca="1">$B187-INDIRECT(ADDRESS(ROW()-E$2,2))</f>
        <v>2.8000000000000114</v>
      </c>
      <c r="F187" s="3">
        <v>81.250000000000796</v>
      </c>
      <c r="G187" s="3">
        <v>11489.34</v>
      </c>
      <c r="H187" s="3">
        <f t="shared" si="3"/>
        <v>11570.59</v>
      </c>
      <c r="I187" s="3"/>
      <c r="J187" s="3"/>
      <c r="K187" s="3"/>
    </row>
    <row r="188" spans="1:11">
      <c r="A188" s="3">
        <v>42562</v>
      </c>
      <c r="B188" s="3">
        <v>224.78</v>
      </c>
      <c r="C188" s="4" cm="1">
        <f t="array" aca="1" ref="C188" ca="1">$B188-INDIRECT(ADDRESS(ROW()-C$2,2))</f>
        <v>14.590000000000003</v>
      </c>
      <c r="D188" s="4" cm="1">
        <f t="array" aca="1" ref="D188" ca="1">$B188-INDIRECT(ADDRESS(ROW()-D$2,2))</f>
        <v>8.2800000000000011</v>
      </c>
      <c r="E188" s="4" cm="1">
        <f t="array" aca="1" ref="E188" ca="1">$B188-INDIRECT(ADDRESS(ROW()-E$2,2))</f>
        <v>10.340000000000003</v>
      </c>
      <c r="F188" s="3">
        <v>81.250000000000796</v>
      </c>
      <c r="G188" s="3">
        <v>11913.34</v>
      </c>
      <c r="H188" s="3">
        <f t="shared" si="3"/>
        <v>11994.59</v>
      </c>
      <c r="I188" s="3"/>
      <c r="J188" s="3"/>
      <c r="K188" s="3"/>
    </row>
    <row r="189" spans="1:11">
      <c r="A189" s="3">
        <v>42563</v>
      </c>
      <c r="B189" s="3">
        <v>224.65</v>
      </c>
      <c r="C189" s="4" cm="1">
        <f t="array" aca="1" ref="C189" ca="1">$B189-INDIRECT(ADDRESS(ROW()-C$2,2))</f>
        <v>12.370000000000005</v>
      </c>
      <c r="D189" s="4" cm="1">
        <f t="array" aca="1" ref="D189" ca="1">$B189-INDIRECT(ADDRESS(ROW()-D$2,2))</f>
        <v>10.670000000000016</v>
      </c>
      <c r="E189" s="4" cm="1">
        <f t="array" aca="1" ref="E189" ca="1">$B189-INDIRECT(ADDRESS(ROW()-E$2,2))</f>
        <v>8.710000000000008</v>
      </c>
      <c r="F189" s="3">
        <v>81.250000000000796</v>
      </c>
      <c r="G189" s="3">
        <v>11906.45</v>
      </c>
      <c r="H189" s="3">
        <f t="shared" si="3"/>
        <v>11987.7</v>
      </c>
      <c r="I189" s="3"/>
      <c r="J189" s="3"/>
      <c r="K189" s="3"/>
    </row>
    <row r="190" spans="1:11">
      <c r="A190" s="3">
        <v>42564</v>
      </c>
      <c r="B190" s="3">
        <v>222.53</v>
      </c>
      <c r="C190" s="4" cm="1">
        <f t="array" aca="1" ref="C190" ca="1">$B190-INDIRECT(ADDRESS(ROW()-C$2,2))</f>
        <v>6.0300000000000011</v>
      </c>
      <c r="D190" s="4" cm="1">
        <f t="array" aca="1" ref="D190" ca="1">$B190-INDIRECT(ADDRESS(ROW()-D$2,2))</f>
        <v>8.0900000000000034</v>
      </c>
      <c r="E190" s="4" cm="1">
        <f t="array" aca="1" ref="E190" ca="1">$B190-INDIRECT(ADDRESS(ROW()-E$2,2))</f>
        <v>5.75</v>
      </c>
      <c r="F190" s="3">
        <v>81.250000000000796</v>
      </c>
      <c r="G190" s="3">
        <v>11794.09</v>
      </c>
      <c r="H190" s="3">
        <f t="shared" si="3"/>
        <v>11875.34</v>
      </c>
      <c r="I190" s="3"/>
      <c r="J190" s="3"/>
      <c r="K190" s="3"/>
    </row>
    <row r="191" spans="1:11">
      <c r="A191" s="3">
        <v>42565</v>
      </c>
      <c r="B191" s="3">
        <v>221.53</v>
      </c>
      <c r="C191" s="4" cm="1">
        <f t="array" aca="1" ref="C191" ca="1">$B191-INDIRECT(ADDRESS(ROW()-C$2,2))</f>
        <v>7.5500000000000114</v>
      </c>
      <c r="D191" s="4" cm="1">
        <f t="array" aca="1" ref="D191" ca="1">$B191-INDIRECT(ADDRESS(ROW()-D$2,2))</f>
        <v>5.5900000000000034</v>
      </c>
      <c r="E191" s="4" cm="1">
        <f t="array" aca="1" ref="E191" ca="1">$B191-INDIRECT(ADDRESS(ROW()-E$2,2))</f>
        <v>-3.25</v>
      </c>
      <c r="F191" s="3">
        <v>81.250000000000796</v>
      </c>
      <c r="G191" s="3">
        <v>11741.09</v>
      </c>
      <c r="H191" s="3">
        <f t="shared" si="3"/>
        <v>11822.34</v>
      </c>
      <c r="I191" s="3"/>
      <c r="J191" s="3"/>
      <c r="K191" s="3"/>
    </row>
    <row r="192" spans="1:11">
      <c r="A192" s="3">
        <v>42566</v>
      </c>
      <c r="B192" s="3">
        <v>220.4</v>
      </c>
      <c r="C192" s="4" cm="1">
        <f t="array" aca="1" ref="C192" ca="1">$B192-INDIRECT(ADDRESS(ROW()-C$2,2))</f>
        <v>5.960000000000008</v>
      </c>
      <c r="D192" s="4" cm="1">
        <f t="array" aca="1" ref="D192" ca="1">$B192-INDIRECT(ADDRESS(ROW()-D$2,2))</f>
        <v>3.6200000000000045</v>
      </c>
      <c r="E192" s="4" cm="1">
        <f t="array" aca="1" ref="E192" ca="1">$B192-INDIRECT(ADDRESS(ROW()-E$2,2))</f>
        <v>-4.25</v>
      </c>
      <c r="F192" s="3">
        <v>81.250000000000796</v>
      </c>
      <c r="G192" s="3">
        <v>11681.2</v>
      </c>
      <c r="H192" s="3">
        <f t="shared" si="3"/>
        <v>11762.45</v>
      </c>
      <c r="I192" s="3"/>
      <c r="J192" s="3"/>
      <c r="K192" s="3"/>
    </row>
    <row r="193" spans="1:11">
      <c r="A193" s="3">
        <v>42569</v>
      </c>
      <c r="B193" s="3">
        <v>226.25</v>
      </c>
      <c r="C193" s="4" cm="1">
        <f t="array" aca="1" ref="C193" ca="1">$B193-INDIRECT(ADDRESS(ROW()-C$2,2))</f>
        <v>10.310000000000002</v>
      </c>
      <c r="D193" s="4" cm="1">
        <f t="array" aca="1" ref="D193" ca="1">$B193-INDIRECT(ADDRESS(ROW()-D$2,2))</f>
        <v>1.4699999999999989</v>
      </c>
      <c r="E193" s="4" cm="1">
        <f t="array" aca="1" ref="E193" ca="1">$B193-INDIRECT(ADDRESS(ROW()-E$2,2))</f>
        <v>3.7199999999999989</v>
      </c>
      <c r="F193" s="3">
        <v>81.250000000000796</v>
      </c>
      <c r="G193" s="3">
        <v>11991.25</v>
      </c>
      <c r="H193" s="3">
        <f t="shared" si="3"/>
        <v>12072.5</v>
      </c>
      <c r="I193" s="3"/>
      <c r="J193" s="3"/>
      <c r="K193" s="3"/>
    </row>
    <row r="194" spans="1:11">
      <c r="A194" s="3">
        <v>42570</v>
      </c>
      <c r="B194" s="3">
        <v>225.26</v>
      </c>
      <c r="C194" s="4" cm="1">
        <f t="array" aca="1" ref="C194" ca="1">$B194-INDIRECT(ADDRESS(ROW()-C$2,2))</f>
        <v>8.4799999999999898</v>
      </c>
      <c r="D194" s="4" cm="1">
        <f t="array" aca="1" ref="D194" ca="1">$B194-INDIRECT(ADDRESS(ROW()-D$2,2))</f>
        <v>0.60999999999998522</v>
      </c>
      <c r="E194" s="4" cm="1">
        <f t="array" aca="1" ref="E194" ca="1">$B194-INDIRECT(ADDRESS(ROW()-E$2,2))</f>
        <v>3.7299999999999898</v>
      </c>
      <c r="F194" s="3">
        <v>81.250000000000796</v>
      </c>
      <c r="G194" s="3">
        <v>11938.779999999999</v>
      </c>
      <c r="H194" s="3">
        <f t="shared" si="3"/>
        <v>12020.029999999999</v>
      </c>
      <c r="I194" s="3"/>
      <c r="J194" s="3"/>
      <c r="K194" s="3"/>
    </row>
    <row r="195" spans="1:11">
      <c r="A195" s="3">
        <v>42571</v>
      </c>
      <c r="B195" s="3">
        <v>228.36</v>
      </c>
      <c r="C195" s="4" cm="1">
        <f t="array" aca="1" ref="C195" ca="1">$B195-INDIRECT(ADDRESS(ROW()-C$2,2))</f>
        <v>3.5800000000000125</v>
      </c>
      <c r="D195" s="4" cm="1">
        <f t="array" aca="1" ref="D195" ca="1">$B195-INDIRECT(ADDRESS(ROW()-D$2,2))</f>
        <v>5.8300000000000125</v>
      </c>
      <c r="E195" s="4" cm="1">
        <f t="array" aca="1" ref="E195" ca="1">$B195-INDIRECT(ADDRESS(ROW()-E$2,2))</f>
        <v>7.960000000000008</v>
      </c>
      <c r="F195" s="3">
        <v>81.250000000000796</v>
      </c>
      <c r="G195" s="3">
        <v>12103.08</v>
      </c>
      <c r="H195" s="3">
        <f t="shared" si="3"/>
        <v>12184.33</v>
      </c>
      <c r="I195" s="3"/>
      <c r="J195" s="3"/>
      <c r="K195" s="3"/>
    </row>
    <row r="196" spans="1:11">
      <c r="A196" s="3">
        <v>42572</v>
      </c>
      <c r="B196" s="3">
        <v>220.5</v>
      </c>
      <c r="C196" s="4" cm="1">
        <f t="array" aca="1" ref="C196" ca="1">$B196-INDIRECT(ADDRESS(ROW()-C$2,2))</f>
        <v>-4.1500000000000057</v>
      </c>
      <c r="D196" s="4" cm="1">
        <f t="array" aca="1" ref="D196" ca="1">$B196-INDIRECT(ADDRESS(ROW()-D$2,2))</f>
        <v>-1.0300000000000011</v>
      </c>
      <c r="E196" s="4" cm="1">
        <f t="array" aca="1" ref="E196" ca="1">$B196-INDIRECT(ADDRESS(ROW()-E$2,2))</f>
        <v>-5.75</v>
      </c>
      <c r="F196" s="3">
        <v>81.250000000000796</v>
      </c>
      <c r="G196" s="3">
        <v>11686.5</v>
      </c>
      <c r="H196" s="3">
        <f t="shared" si="3"/>
        <v>11767.75</v>
      </c>
      <c r="I196" s="3"/>
      <c r="J196" s="3"/>
      <c r="K196" s="3"/>
    </row>
    <row r="197" spans="1:11">
      <c r="A197" s="3">
        <v>42573</v>
      </c>
      <c r="B197" s="3">
        <v>222.27</v>
      </c>
      <c r="C197" s="4" cm="1">
        <f t="array" aca="1" ref="C197" ca="1">$B197-INDIRECT(ADDRESS(ROW()-C$2,2))</f>
        <v>-0.25999999999999091</v>
      </c>
      <c r="D197" s="4" cm="1">
        <f t="array" aca="1" ref="D197" ca="1">$B197-INDIRECT(ADDRESS(ROW()-D$2,2))</f>
        <v>1.8700000000000045</v>
      </c>
      <c r="E197" s="4" cm="1">
        <f t="array" aca="1" ref="E197" ca="1">$B197-INDIRECT(ADDRESS(ROW()-E$2,2))</f>
        <v>-2.9899999999999807</v>
      </c>
      <c r="F197" s="3">
        <v>81.250000000000796</v>
      </c>
      <c r="G197" s="3">
        <v>11780.310000000001</v>
      </c>
      <c r="H197" s="3">
        <f t="shared" si="3"/>
        <v>11861.560000000001</v>
      </c>
      <c r="I197" s="3"/>
      <c r="J197" s="3"/>
      <c r="K197" s="3"/>
    </row>
    <row r="198" spans="1:11">
      <c r="A198" s="3">
        <v>42576</v>
      </c>
      <c r="B198" s="3">
        <v>230.01</v>
      </c>
      <c r="C198" s="4" cm="1">
        <f t="array" aca="1" ref="C198" ca="1">$B198-INDIRECT(ADDRESS(ROW()-C$2,2))</f>
        <v>8.4799999999999898</v>
      </c>
      <c r="D198" s="4" cm="1">
        <f t="array" aca="1" ref="D198" ca="1">$B198-INDIRECT(ADDRESS(ROW()-D$2,2))</f>
        <v>3.7599999999999909</v>
      </c>
      <c r="E198" s="4" cm="1">
        <f t="array" aca="1" ref="E198" ca="1">$B198-INDIRECT(ADDRESS(ROW()-E$2,2))</f>
        <v>1.6499999999999773</v>
      </c>
      <c r="F198" s="3">
        <v>81.250000000000796</v>
      </c>
      <c r="G198" s="3">
        <v>12190.529999999999</v>
      </c>
      <c r="H198" s="3">
        <f t="shared" si="3"/>
        <v>12271.779999999999</v>
      </c>
      <c r="I198" s="3"/>
      <c r="J198" s="3"/>
      <c r="K198" s="3"/>
    </row>
    <row r="199" spans="1:11">
      <c r="A199" s="3">
        <v>42577</v>
      </c>
      <c r="B199" s="3">
        <v>229.51</v>
      </c>
      <c r="C199" s="4" cm="1">
        <f t="array" aca="1" ref="C199" ca="1">$B199-INDIRECT(ADDRESS(ROW()-C$2,2))</f>
        <v>9.1099999999999852</v>
      </c>
      <c r="D199" s="4" cm="1">
        <f t="array" aca="1" ref="D199" ca="1">$B199-INDIRECT(ADDRESS(ROW()-D$2,2))</f>
        <v>4.25</v>
      </c>
      <c r="E199" s="4" cm="1">
        <f t="array" aca="1" ref="E199" ca="1">$B199-INDIRECT(ADDRESS(ROW()-E$2,2))</f>
        <v>9.0099999999999909</v>
      </c>
      <c r="F199" s="3">
        <v>81.250000000000796</v>
      </c>
      <c r="G199" s="3">
        <v>12164.029999999999</v>
      </c>
      <c r="H199" s="3">
        <f t="shared" si="3"/>
        <v>12245.279999999999</v>
      </c>
      <c r="I199" s="3"/>
      <c r="J199" s="3"/>
      <c r="K199" s="3"/>
    </row>
    <row r="200" spans="1:11">
      <c r="A200" s="3">
        <v>42578</v>
      </c>
      <c r="B200" s="3">
        <v>228.49</v>
      </c>
      <c r="C200" s="4" cm="1">
        <f t="array" aca="1" ref="C200" ca="1">$B200-INDIRECT(ADDRESS(ROW()-C$2,2))</f>
        <v>2.2400000000000091</v>
      </c>
      <c r="D200" s="4" cm="1">
        <f t="array" aca="1" ref="D200" ca="1">$B200-INDIRECT(ADDRESS(ROW()-D$2,2))</f>
        <v>0.12999999999999545</v>
      </c>
      <c r="E200" s="4" cm="1">
        <f t="array" aca="1" ref="E200" ca="1">$B200-INDIRECT(ADDRESS(ROW()-E$2,2))</f>
        <v>6.2199999999999989</v>
      </c>
      <c r="F200" s="3">
        <v>81.250000000000796</v>
      </c>
      <c r="G200" s="3">
        <v>12109.970000000001</v>
      </c>
      <c r="H200" s="3">
        <f t="shared" si="3"/>
        <v>12191.220000000001</v>
      </c>
      <c r="I200" s="3"/>
      <c r="J200" s="3"/>
      <c r="K200" s="3"/>
    </row>
    <row r="201" spans="1:11">
      <c r="A201" s="3">
        <v>42579</v>
      </c>
      <c r="B201" s="3">
        <v>230.61</v>
      </c>
      <c r="C201" s="4" cm="1">
        <f t="array" aca="1" ref="C201" ca="1">$B201-INDIRECT(ADDRESS(ROW()-C$2,2))</f>
        <v>5.3500000000000227</v>
      </c>
      <c r="D201" s="4" cm="1">
        <f t="array" aca="1" ref="D201" ca="1">$B201-INDIRECT(ADDRESS(ROW()-D$2,2))</f>
        <v>10.110000000000014</v>
      </c>
      <c r="E201" s="4" cm="1">
        <f t="array" aca="1" ref="E201" ca="1">$B201-INDIRECT(ADDRESS(ROW()-E$2,2))</f>
        <v>0.60000000000002274</v>
      </c>
      <c r="F201" s="3">
        <v>81.250000000000796</v>
      </c>
      <c r="G201" s="3">
        <v>12222.33</v>
      </c>
      <c r="H201" s="3">
        <f t="shared" si="3"/>
        <v>12303.58</v>
      </c>
      <c r="I201" s="3"/>
      <c r="J201" s="3"/>
      <c r="K201" s="3"/>
    </row>
    <row r="202" spans="1:11">
      <c r="A202" s="3">
        <v>42580</v>
      </c>
      <c r="B202" s="3">
        <v>234.79</v>
      </c>
      <c r="C202" s="4" cm="1">
        <f t="array" aca="1" ref="C202" ca="1">$B202-INDIRECT(ADDRESS(ROW()-C$2,2))</f>
        <v>6.4299999999999784</v>
      </c>
      <c r="D202" s="4" cm="1">
        <f t="array" aca="1" ref="D202" ca="1">$B202-INDIRECT(ADDRESS(ROW()-D$2,2))</f>
        <v>12.519999999999982</v>
      </c>
      <c r="E202" s="4" cm="1">
        <f t="array" aca="1" ref="E202" ca="1">$B202-INDIRECT(ADDRESS(ROW()-E$2,2))</f>
        <v>5.2800000000000011</v>
      </c>
      <c r="F202" s="3">
        <v>81.250000000000796</v>
      </c>
      <c r="G202" s="3">
        <v>12443.869999999999</v>
      </c>
      <c r="H202" s="3">
        <f t="shared" si="3"/>
        <v>12525.119999999999</v>
      </c>
      <c r="I202" s="3"/>
      <c r="J202" s="3"/>
      <c r="K202" s="3"/>
    </row>
    <row r="203" spans="1:11">
      <c r="A203" s="3">
        <v>42583</v>
      </c>
      <c r="B203" s="3">
        <v>230.01</v>
      </c>
      <c r="C203" s="4" cm="1">
        <f t="array" aca="1" ref="C203" ca="1">$B203-INDIRECT(ADDRESS(ROW()-C$2,2))</f>
        <v>9.5099999999999909</v>
      </c>
      <c r="D203" s="4" cm="1">
        <f t="array" aca="1" ref="D203" ca="1">$B203-INDIRECT(ADDRESS(ROW()-D$2,2))</f>
        <v>0</v>
      </c>
      <c r="E203" s="4" cm="1">
        <f t="array" aca="1" ref="E203" ca="1">$B203-INDIRECT(ADDRESS(ROW()-E$2,2))</f>
        <v>1.5199999999999818</v>
      </c>
      <c r="F203" s="3">
        <v>81.250000000000796</v>
      </c>
      <c r="G203" s="3">
        <v>12190.529999999999</v>
      </c>
      <c r="H203" s="3">
        <f t="shared" si="3"/>
        <v>12271.779999999999</v>
      </c>
      <c r="I203" s="3"/>
      <c r="J203" s="3"/>
      <c r="K203" s="3"/>
    </row>
    <row r="204" spans="1:11">
      <c r="A204" s="3">
        <v>42584</v>
      </c>
      <c r="B204" s="3">
        <v>227.2</v>
      </c>
      <c r="C204" s="4" cm="1">
        <f t="array" aca="1" ref="C204" ca="1">$B204-INDIRECT(ADDRESS(ROW()-C$2,2))</f>
        <v>4.9299999999999784</v>
      </c>
      <c r="D204" s="4" cm="1">
        <f t="array" aca="1" ref="D204" ca="1">$B204-INDIRECT(ADDRESS(ROW()-D$2,2))</f>
        <v>-2.3100000000000023</v>
      </c>
      <c r="E204" s="4" cm="1">
        <f t="array" aca="1" ref="E204" ca="1">$B204-INDIRECT(ADDRESS(ROW()-E$2,2))</f>
        <v>-3.410000000000025</v>
      </c>
      <c r="F204" s="3">
        <v>12122.849999999999</v>
      </c>
      <c r="G204" s="3">
        <v>0</v>
      </c>
      <c r="H204" s="3">
        <f t="shared" si="3"/>
        <v>12122.849999999999</v>
      </c>
      <c r="I204" s="3"/>
      <c r="J204" s="3"/>
      <c r="K204" s="3"/>
    </row>
    <row r="205" spans="1:11">
      <c r="A205" s="3">
        <v>42585</v>
      </c>
      <c r="B205" s="3">
        <v>225.79</v>
      </c>
      <c r="C205" s="4" cm="1">
        <f t="array" aca="1" ref="C205" ca="1">$B205-INDIRECT(ADDRESS(ROW()-C$2,2))</f>
        <v>-4.2199999999999989</v>
      </c>
      <c r="D205" s="4" cm="1">
        <f t="array" aca="1" ref="D205" ca="1">$B205-INDIRECT(ADDRESS(ROW()-D$2,2))</f>
        <v>-2.7000000000000171</v>
      </c>
      <c r="E205" s="4" cm="1">
        <f t="array" aca="1" ref="E205" ca="1">$B205-INDIRECT(ADDRESS(ROW()-E$2,2))</f>
        <v>-9</v>
      </c>
      <c r="F205" s="3">
        <v>12122.849999999999</v>
      </c>
      <c r="G205" s="3">
        <v>0</v>
      </c>
      <c r="H205" s="3">
        <f t="shared" si="3"/>
        <v>12122.849999999999</v>
      </c>
      <c r="I205" s="3"/>
      <c r="J205" s="3"/>
      <c r="K205" s="3"/>
    </row>
    <row r="206" spans="1:11">
      <c r="A206" s="3">
        <v>42586</v>
      </c>
      <c r="B206" s="3">
        <v>230.61</v>
      </c>
      <c r="C206" s="4" cm="1">
        <f t="array" aca="1" ref="C206" ca="1">$B206-INDIRECT(ADDRESS(ROW()-C$2,2))</f>
        <v>1.1000000000000227</v>
      </c>
      <c r="D206" s="4" cm="1">
        <f t="array" aca="1" ref="D206" ca="1">$B206-INDIRECT(ADDRESS(ROW()-D$2,2))</f>
        <v>0</v>
      </c>
      <c r="E206" s="4" cm="1">
        <f t="array" aca="1" ref="E206" ca="1">$B206-INDIRECT(ADDRESS(ROW()-E$2,2))</f>
        <v>0.60000000000002274</v>
      </c>
      <c r="F206" s="3">
        <v>12122.849999999999</v>
      </c>
      <c r="G206" s="3">
        <v>0</v>
      </c>
      <c r="H206" s="3">
        <f t="shared" si="3"/>
        <v>12122.849999999999</v>
      </c>
      <c r="I206" s="3"/>
      <c r="J206" s="3"/>
      <c r="K206" s="3"/>
    </row>
    <row r="207" spans="1:11">
      <c r="A207" s="3">
        <v>42587</v>
      </c>
      <c r="B207" s="3">
        <v>230.03</v>
      </c>
      <c r="C207" s="4" cm="1">
        <f t="array" aca="1" ref="C207" ca="1">$B207-INDIRECT(ADDRESS(ROW()-C$2,2))</f>
        <v>1.539999999999992</v>
      </c>
      <c r="D207" s="4" cm="1">
        <f t="array" aca="1" ref="D207" ca="1">$B207-INDIRECT(ADDRESS(ROW()-D$2,2))</f>
        <v>-4.7599999999999909</v>
      </c>
      <c r="E207" s="4" cm="1">
        <f t="array" aca="1" ref="E207" ca="1">$B207-INDIRECT(ADDRESS(ROW()-E$2,2))</f>
        <v>2.8300000000000125</v>
      </c>
      <c r="F207" s="3">
        <v>12122.849999999999</v>
      </c>
      <c r="G207" s="3">
        <v>0</v>
      </c>
      <c r="H207" s="3">
        <f t="shared" si="3"/>
        <v>12122.849999999999</v>
      </c>
      <c r="I207" s="3"/>
      <c r="J207" s="3"/>
      <c r="K207" s="3"/>
    </row>
    <row r="208" spans="1:11">
      <c r="A208" s="3">
        <v>42590</v>
      </c>
      <c r="B208" s="3">
        <v>226.16</v>
      </c>
      <c r="C208" s="4" cm="1">
        <f t="array" aca="1" ref="C208" ca="1">$B208-INDIRECT(ADDRESS(ROW()-C$2,2))</f>
        <v>-4.4500000000000171</v>
      </c>
      <c r="D208" s="4" cm="1">
        <f t="array" aca="1" ref="D208" ca="1">$B208-INDIRECT(ADDRESS(ROW()-D$2,2))</f>
        <v>-3.8499999999999943</v>
      </c>
      <c r="E208" s="4" cm="1">
        <f t="array" aca="1" ref="E208" ca="1">$B208-INDIRECT(ADDRESS(ROW()-E$2,2))</f>
        <v>0.37000000000000455</v>
      </c>
      <c r="F208" s="3">
        <v>12122.849999999999</v>
      </c>
      <c r="G208" s="3">
        <v>0</v>
      </c>
      <c r="H208" s="3">
        <f t="shared" si="3"/>
        <v>12122.849999999999</v>
      </c>
      <c r="I208" s="3"/>
      <c r="J208" s="3"/>
      <c r="K208" s="3"/>
    </row>
    <row r="209" spans="1:11">
      <c r="A209" s="3">
        <v>42591</v>
      </c>
      <c r="B209" s="3">
        <v>229.08</v>
      </c>
      <c r="C209" s="4" cm="1">
        <f t="array" aca="1" ref="C209" ca="1">$B209-INDIRECT(ADDRESS(ROW()-C$2,2))</f>
        <v>-5.7099999999999795</v>
      </c>
      <c r="D209" s="4" cm="1">
        <f t="array" aca="1" ref="D209" ca="1">$B209-INDIRECT(ADDRESS(ROW()-D$2,2))</f>
        <v>1.8800000000000239</v>
      </c>
      <c r="E209" s="4" cm="1">
        <f t="array" aca="1" ref="E209" ca="1">$B209-INDIRECT(ADDRESS(ROW()-E$2,2))</f>
        <v>-1.5300000000000011</v>
      </c>
      <c r="F209" s="3">
        <v>12122.849999999999</v>
      </c>
      <c r="G209" s="3">
        <v>0</v>
      </c>
      <c r="H209" s="3">
        <f t="shared" si="3"/>
        <v>12122.849999999999</v>
      </c>
      <c r="I209" s="3"/>
      <c r="J209" s="3"/>
      <c r="K209" s="3"/>
    </row>
    <row r="210" spans="1:11">
      <c r="A210" s="3">
        <v>42592</v>
      </c>
      <c r="B210" s="3">
        <v>225.65</v>
      </c>
      <c r="C210" s="4" cm="1">
        <f t="array" aca="1" ref="C210" ca="1">$B210-INDIRECT(ADDRESS(ROW()-C$2,2))</f>
        <v>-4.3599999999999852</v>
      </c>
      <c r="D210" s="4" cm="1">
        <f t="array" aca="1" ref="D210" ca="1">$B210-INDIRECT(ADDRESS(ROW()-D$2,2))</f>
        <v>-0.13999999999998636</v>
      </c>
      <c r="E210" s="4" cm="1">
        <f t="array" aca="1" ref="E210" ca="1">$B210-INDIRECT(ADDRESS(ROW()-E$2,2))</f>
        <v>-4.3799999999999955</v>
      </c>
      <c r="F210" s="3">
        <v>12122.849999999999</v>
      </c>
      <c r="G210" s="3">
        <v>0</v>
      </c>
      <c r="H210" s="3">
        <f t="shared" si="3"/>
        <v>12122.849999999999</v>
      </c>
      <c r="I210" s="3"/>
      <c r="J210" s="3"/>
      <c r="K210" s="3"/>
    </row>
    <row r="211" spans="1:11">
      <c r="A211" s="3">
        <v>42593</v>
      </c>
      <c r="B211" s="3">
        <v>224.91</v>
      </c>
      <c r="C211" s="4" cm="1">
        <f t="array" aca="1" ref="C211" ca="1">$B211-INDIRECT(ADDRESS(ROW()-C$2,2))</f>
        <v>-2.289999999999992</v>
      </c>
      <c r="D211" s="4" cm="1">
        <f t="array" aca="1" ref="D211" ca="1">$B211-INDIRECT(ADDRESS(ROW()-D$2,2))</f>
        <v>-5.7000000000000171</v>
      </c>
      <c r="E211" s="4" cm="1">
        <f t="array" aca="1" ref="E211" ca="1">$B211-INDIRECT(ADDRESS(ROW()-E$2,2))</f>
        <v>-1.25</v>
      </c>
      <c r="F211" s="3">
        <v>12122.849999999999</v>
      </c>
      <c r="G211" s="3">
        <v>0</v>
      </c>
      <c r="H211" s="3">
        <f t="shared" si="3"/>
        <v>12122.849999999999</v>
      </c>
      <c r="I211" s="3"/>
      <c r="J211" s="3"/>
      <c r="K211" s="3"/>
    </row>
    <row r="212" spans="1:11">
      <c r="A212" s="3">
        <v>42594</v>
      </c>
      <c r="B212" s="3">
        <v>225.61</v>
      </c>
      <c r="C212" s="4" cm="1">
        <f t="array" aca="1" ref="C212" ca="1">$B212-INDIRECT(ADDRESS(ROW()-C$2,2))</f>
        <v>-0.1799999999999784</v>
      </c>
      <c r="D212" s="4" cm="1">
        <f t="array" aca="1" ref="D212" ca="1">$B212-INDIRECT(ADDRESS(ROW()-D$2,2))</f>
        <v>-4.4199999999999875</v>
      </c>
      <c r="E212" s="4" cm="1">
        <f t="array" aca="1" ref="E212" ca="1">$B212-INDIRECT(ADDRESS(ROW()-E$2,2))</f>
        <v>-3.4699999999999989</v>
      </c>
      <c r="F212" s="3">
        <v>12122.849999999999</v>
      </c>
      <c r="G212" s="3">
        <v>0</v>
      </c>
      <c r="H212" s="3">
        <f t="shared" si="3"/>
        <v>12122.849999999999</v>
      </c>
      <c r="I212" s="3"/>
      <c r="J212" s="3"/>
      <c r="K212" s="3"/>
    </row>
    <row r="213" spans="1:11">
      <c r="A213" s="3">
        <v>42597</v>
      </c>
      <c r="B213" s="3">
        <v>225.59</v>
      </c>
      <c r="C213" s="4" cm="1">
        <f t="array" aca="1" ref="C213" ca="1">$B213-INDIRECT(ADDRESS(ROW()-C$2,2))</f>
        <v>-5.0200000000000102</v>
      </c>
      <c r="D213" s="4" cm="1">
        <f t="array" aca="1" ref="D213" ca="1">$B213-INDIRECT(ADDRESS(ROW()-D$2,2))</f>
        <v>-0.56999999999999318</v>
      </c>
      <c r="E213" s="4" cm="1">
        <f t="array" aca="1" ref="E213" ca="1">$B213-INDIRECT(ADDRESS(ROW()-E$2,2))</f>
        <v>-6.0000000000002274E-2</v>
      </c>
      <c r="F213" s="3">
        <v>12122.849999999999</v>
      </c>
      <c r="G213" s="3">
        <v>0</v>
      </c>
      <c r="H213" s="3">
        <f t="shared" si="3"/>
        <v>12122.849999999999</v>
      </c>
      <c r="I213" s="3"/>
      <c r="J213" s="3"/>
      <c r="K213" s="3"/>
    </row>
    <row r="214" spans="1:11">
      <c r="A214" s="3">
        <v>42598</v>
      </c>
      <c r="B214" s="3">
        <v>223.61</v>
      </c>
      <c r="C214" s="4" cm="1">
        <f t="array" aca="1" ref="C214" ca="1">$B214-INDIRECT(ADDRESS(ROW()-C$2,2))</f>
        <v>-6.4199999999999875</v>
      </c>
      <c r="D214" s="4" cm="1">
        <f t="array" aca="1" ref="D214" ca="1">$B214-INDIRECT(ADDRESS(ROW()-D$2,2))</f>
        <v>-5.4699999999999989</v>
      </c>
      <c r="E214" s="4" cm="1">
        <f t="array" aca="1" ref="E214" ca="1">$B214-INDIRECT(ADDRESS(ROW()-E$2,2))</f>
        <v>-1.2999999999999829</v>
      </c>
      <c r="F214" s="3">
        <v>12122.849999999999</v>
      </c>
      <c r="G214" s="3">
        <v>0</v>
      </c>
      <c r="H214" s="3">
        <f t="shared" si="3"/>
        <v>12122.849999999999</v>
      </c>
      <c r="I214" s="3"/>
      <c r="J214" s="3"/>
      <c r="K214" s="3"/>
    </row>
    <row r="215" spans="1:11">
      <c r="A215" s="3">
        <v>42599</v>
      </c>
      <c r="B215" s="3">
        <v>223.24</v>
      </c>
      <c r="C215" s="4" cm="1">
        <f t="array" aca="1" ref="C215" ca="1">$B215-INDIRECT(ADDRESS(ROW()-C$2,2))</f>
        <v>-2.9199999999999875</v>
      </c>
      <c r="D215" s="4" cm="1">
        <f t="array" aca="1" ref="D215" ca="1">$B215-INDIRECT(ADDRESS(ROW()-D$2,2))</f>
        <v>-2.4099999999999966</v>
      </c>
      <c r="E215" s="4" cm="1">
        <f t="array" aca="1" ref="E215" ca="1">$B215-INDIRECT(ADDRESS(ROW()-E$2,2))</f>
        <v>-2.3700000000000045</v>
      </c>
      <c r="F215" s="3">
        <v>12122.849999999999</v>
      </c>
      <c r="G215" s="3">
        <v>0</v>
      </c>
      <c r="H215" s="3">
        <f t="shared" si="3"/>
        <v>12122.849999999999</v>
      </c>
      <c r="I215" s="3"/>
      <c r="J215" s="3"/>
      <c r="K215" s="3"/>
    </row>
    <row r="216" spans="1:11">
      <c r="A216" s="3">
        <v>42600</v>
      </c>
      <c r="B216" s="3">
        <v>223.51</v>
      </c>
      <c r="C216" s="4" cm="1">
        <f t="array" aca="1" ref="C216" ca="1">$B216-INDIRECT(ADDRESS(ROW()-C$2,2))</f>
        <v>-5.5700000000000216</v>
      </c>
      <c r="D216" s="4" cm="1">
        <f t="array" aca="1" ref="D216" ca="1">$B216-INDIRECT(ADDRESS(ROW()-D$2,2))</f>
        <v>-1.4000000000000057</v>
      </c>
      <c r="E216" s="4" cm="1">
        <f t="array" aca="1" ref="E216" ca="1">$B216-INDIRECT(ADDRESS(ROW()-E$2,2))</f>
        <v>-2.0800000000000125</v>
      </c>
      <c r="F216" s="3">
        <v>12122.849999999999</v>
      </c>
      <c r="G216" s="3">
        <v>0</v>
      </c>
      <c r="H216" s="3">
        <f t="shared" si="3"/>
        <v>12122.849999999999</v>
      </c>
      <c r="I216" s="3"/>
      <c r="J216" s="3"/>
      <c r="K216" s="3"/>
    </row>
    <row r="217" spans="1:11">
      <c r="A217" s="3">
        <v>42601</v>
      </c>
      <c r="B217" s="3">
        <v>225</v>
      </c>
      <c r="C217" s="4" cm="1">
        <f t="array" aca="1" ref="C217" ca="1">$B217-INDIRECT(ADDRESS(ROW()-C$2,2))</f>
        <v>-0.65000000000000568</v>
      </c>
      <c r="D217" s="4" cm="1">
        <f t="array" aca="1" ref="D217" ca="1">$B217-INDIRECT(ADDRESS(ROW()-D$2,2))</f>
        <v>-0.61000000000001364</v>
      </c>
      <c r="E217" s="4" cm="1">
        <f t="array" aca="1" ref="E217" ca="1">$B217-INDIRECT(ADDRESS(ROW()-E$2,2))</f>
        <v>1.3899999999999864</v>
      </c>
      <c r="F217" s="3">
        <v>12122.849999999999</v>
      </c>
      <c r="G217" s="3">
        <v>0</v>
      </c>
      <c r="H217" s="3">
        <f t="shared" si="3"/>
        <v>12122.849999999999</v>
      </c>
      <c r="I217" s="3"/>
      <c r="J217" s="3"/>
      <c r="K217" s="3"/>
    </row>
    <row r="218" spans="1:11">
      <c r="A218" s="3">
        <v>42604</v>
      </c>
      <c r="B218" s="3">
        <v>222.93</v>
      </c>
      <c r="C218" s="4" cm="1">
        <f t="array" aca="1" ref="C218" ca="1">$B218-INDIRECT(ADDRESS(ROW()-C$2,2))</f>
        <v>-1.9799999999999898</v>
      </c>
      <c r="D218" s="4" cm="1">
        <f t="array" aca="1" ref="D218" ca="1">$B218-INDIRECT(ADDRESS(ROW()-D$2,2))</f>
        <v>-2.6599999999999966</v>
      </c>
      <c r="E218" s="4" cm="1">
        <f t="array" aca="1" ref="E218" ca="1">$B218-INDIRECT(ADDRESS(ROW()-E$2,2))</f>
        <v>-0.31000000000000227</v>
      </c>
      <c r="F218" s="3">
        <v>12122.849999999999</v>
      </c>
      <c r="G218" s="3">
        <v>0</v>
      </c>
      <c r="H218" s="3">
        <f t="shared" si="3"/>
        <v>12122.849999999999</v>
      </c>
      <c r="I218" s="3"/>
      <c r="J218" s="3"/>
      <c r="K218" s="3"/>
    </row>
    <row r="219" spans="1:11">
      <c r="A219" s="3">
        <v>42605</v>
      </c>
      <c r="B219" s="3">
        <v>224.84</v>
      </c>
      <c r="C219" s="4" cm="1">
        <f t="array" aca="1" ref="C219" ca="1">$B219-INDIRECT(ADDRESS(ROW()-C$2,2))</f>
        <v>-0.77000000000001023</v>
      </c>
      <c r="D219" s="4" cm="1">
        <f t="array" aca="1" ref="D219" ca="1">$B219-INDIRECT(ADDRESS(ROW()-D$2,2))</f>
        <v>1.2299999999999898</v>
      </c>
      <c r="E219" s="4" cm="1">
        <f t="array" aca="1" ref="E219" ca="1">$B219-INDIRECT(ADDRESS(ROW()-E$2,2))</f>
        <v>1.3300000000000125</v>
      </c>
      <c r="F219" s="3">
        <v>206.32999999999245</v>
      </c>
      <c r="G219" s="3">
        <v>11916.52</v>
      </c>
      <c r="H219" s="3">
        <f t="shared" si="3"/>
        <v>12122.849999999993</v>
      </c>
      <c r="I219" s="3"/>
      <c r="J219" s="3"/>
      <c r="K219" s="3"/>
    </row>
    <row r="220" spans="1:11">
      <c r="A220" s="3">
        <v>42606</v>
      </c>
      <c r="B220" s="3">
        <v>222.62</v>
      </c>
      <c r="C220" s="4" cm="1">
        <f t="array" aca="1" ref="C220" ca="1">$B220-INDIRECT(ADDRESS(ROW()-C$2,2))</f>
        <v>-2.9699999999999989</v>
      </c>
      <c r="D220" s="4" cm="1">
        <f t="array" aca="1" ref="D220" ca="1">$B220-INDIRECT(ADDRESS(ROW()-D$2,2))</f>
        <v>-0.62000000000000455</v>
      </c>
      <c r="E220" s="4" cm="1">
        <f t="array" aca="1" ref="E220" ca="1">$B220-INDIRECT(ADDRESS(ROW()-E$2,2))</f>
        <v>-2.3799999999999955</v>
      </c>
      <c r="F220" s="3">
        <v>206.32999999999245</v>
      </c>
      <c r="G220" s="3">
        <v>11798.86</v>
      </c>
      <c r="H220" s="3">
        <f t="shared" si="3"/>
        <v>12005.189999999993</v>
      </c>
      <c r="I220" s="3"/>
      <c r="J220" s="3"/>
      <c r="K220" s="3"/>
    </row>
    <row r="221" spans="1:11">
      <c r="A221" s="3">
        <v>42607</v>
      </c>
      <c r="B221" s="3">
        <v>220.96</v>
      </c>
      <c r="C221" s="4" cm="1">
        <f t="array" aca="1" ref="C221" ca="1">$B221-INDIRECT(ADDRESS(ROW()-C$2,2))</f>
        <v>-2.6500000000000057</v>
      </c>
      <c r="D221" s="4" cm="1">
        <f t="array" aca="1" ref="D221" ca="1">$B221-INDIRECT(ADDRESS(ROW()-D$2,2))</f>
        <v>-2.5499999999999829</v>
      </c>
      <c r="E221" s="4" cm="1">
        <f t="array" aca="1" ref="E221" ca="1">$B221-INDIRECT(ADDRESS(ROW()-E$2,2))</f>
        <v>-1.9699999999999989</v>
      </c>
      <c r="F221" s="3">
        <v>206.32999999999245</v>
      </c>
      <c r="G221" s="3">
        <v>11710.880000000001</v>
      </c>
      <c r="H221" s="3">
        <f t="shared" si="3"/>
        <v>11917.209999999994</v>
      </c>
      <c r="I221" s="3"/>
      <c r="J221" s="3"/>
      <c r="K221" s="3"/>
    </row>
    <row r="222" spans="1:11">
      <c r="A222" s="3">
        <v>42608</v>
      </c>
      <c r="B222" s="3">
        <v>219.99</v>
      </c>
      <c r="C222" s="4" cm="1">
        <f t="array" aca="1" ref="C222" ca="1">$B222-INDIRECT(ADDRESS(ROW()-C$2,2))</f>
        <v>-3.25</v>
      </c>
      <c r="D222" s="4" cm="1">
        <f t="array" aca="1" ref="D222" ca="1">$B222-INDIRECT(ADDRESS(ROW()-D$2,2))</f>
        <v>-5.0099999999999909</v>
      </c>
      <c r="E222" s="4" cm="1">
        <f t="array" aca="1" ref="E222" ca="1">$B222-INDIRECT(ADDRESS(ROW()-E$2,2))</f>
        <v>-4.8499999999999943</v>
      </c>
      <c r="F222" s="3">
        <v>206.32999999999245</v>
      </c>
      <c r="G222" s="3">
        <v>11659.470000000001</v>
      </c>
      <c r="H222" s="3">
        <f t="shared" si="3"/>
        <v>11865.799999999994</v>
      </c>
      <c r="I222" s="3"/>
      <c r="J222" s="3"/>
      <c r="K222" s="3"/>
    </row>
    <row r="223" spans="1:11">
      <c r="A223" s="3">
        <v>42611</v>
      </c>
      <c r="B223" s="3">
        <v>215.2</v>
      </c>
      <c r="C223" s="4" cm="1">
        <f t="array" aca="1" ref="C223" ca="1">$B223-INDIRECT(ADDRESS(ROW()-C$2,2))</f>
        <v>-8.3100000000000023</v>
      </c>
      <c r="D223" s="4" cm="1">
        <f t="array" aca="1" ref="D223" ca="1">$B223-INDIRECT(ADDRESS(ROW()-D$2,2))</f>
        <v>-7.7300000000000182</v>
      </c>
      <c r="E223" s="4" cm="1">
        <f t="array" aca="1" ref="E223" ca="1">$B223-INDIRECT(ADDRESS(ROW()-E$2,2))</f>
        <v>-7.4200000000000159</v>
      </c>
      <c r="F223" s="3">
        <v>206.32999999999245</v>
      </c>
      <c r="G223" s="3">
        <v>11405.599999999999</v>
      </c>
      <c r="H223" s="3">
        <f t="shared" si="3"/>
        <v>11611.929999999991</v>
      </c>
      <c r="I223" s="3"/>
      <c r="J223" s="3"/>
      <c r="K223" s="3"/>
    </row>
    <row r="224" spans="1:11">
      <c r="A224" s="3">
        <v>42612</v>
      </c>
      <c r="B224" s="3">
        <v>211.34</v>
      </c>
      <c r="C224" s="4" cm="1">
        <f t="array" aca="1" ref="C224" ca="1">$B224-INDIRECT(ADDRESS(ROW()-C$2,2))</f>
        <v>-13.659999999999997</v>
      </c>
      <c r="D224" s="4" cm="1">
        <f t="array" aca="1" ref="D224" ca="1">$B224-INDIRECT(ADDRESS(ROW()-D$2,2))</f>
        <v>-13.5</v>
      </c>
      <c r="E224" s="4" cm="1">
        <f t="array" aca="1" ref="E224" ca="1">$B224-INDIRECT(ADDRESS(ROW()-E$2,2))</f>
        <v>-9.6200000000000045</v>
      </c>
      <c r="F224" s="3">
        <v>206.32999999999245</v>
      </c>
      <c r="G224" s="3">
        <v>11201.02</v>
      </c>
      <c r="H224" s="3">
        <f t="shared" si="3"/>
        <v>11407.349999999993</v>
      </c>
      <c r="I224" s="3"/>
      <c r="J224" s="3"/>
      <c r="K224" s="3"/>
    </row>
    <row r="225" spans="1:11">
      <c r="A225" s="3">
        <v>42613</v>
      </c>
      <c r="B225" s="3">
        <v>212.01</v>
      </c>
      <c r="C225" s="4" cm="1">
        <f t="array" aca="1" ref="C225" ca="1">$B225-INDIRECT(ADDRESS(ROW()-C$2,2))</f>
        <v>-10.920000000000016</v>
      </c>
      <c r="D225" s="4" cm="1">
        <f t="array" aca="1" ref="D225" ca="1">$B225-INDIRECT(ADDRESS(ROW()-D$2,2))</f>
        <v>-10.610000000000014</v>
      </c>
      <c r="E225" s="4" cm="1">
        <f t="array" aca="1" ref="E225" ca="1">$B225-INDIRECT(ADDRESS(ROW()-E$2,2))</f>
        <v>-7.9800000000000182</v>
      </c>
      <c r="F225" s="3">
        <v>206.32999999999245</v>
      </c>
      <c r="G225" s="3">
        <v>11236.529999999999</v>
      </c>
      <c r="H225" s="3">
        <f t="shared" si="3"/>
        <v>11442.859999999991</v>
      </c>
      <c r="I225" s="3"/>
      <c r="J225" s="3"/>
      <c r="K225" s="3"/>
    </row>
    <row r="226" spans="1:11">
      <c r="A226" s="3">
        <v>42614</v>
      </c>
      <c r="B226" s="3">
        <v>200.77</v>
      </c>
      <c r="C226" s="4" cm="1">
        <f t="array" aca="1" ref="C226" ca="1">$B226-INDIRECT(ADDRESS(ROW()-C$2,2))</f>
        <v>-24.069999999999993</v>
      </c>
      <c r="D226" s="4" cm="1">
        <f t="array" aca="1" ref="D226" ca="1">$B226-INDIRECT(ADDRESS(ROW()-D$2,2))</f>
        <v>-20.189999999999998</v>
      </c>
      <c r="E226" s="4" cm="1">
        <f t="array" aca="1" ref="E226" ca="1">$B226-INDIRECT(ADDRESS(ROW()-E$2,2))</f>
        <v>-14.429999999999978</v>
      </c>
      <c r="F226" s="3">
        <v>206.32999999999245</v>
      </c>
      <c r="G226" s="3">
        <v>10640.810000000001</v>
      </c>
      <c r="H226" s="3">
        <f t="shared" si="3"/>
        <v>10847.139999999994</v>
      </c>
      <c r="I226" s="3"/>
      <c r="J226" s="3"/>
      <c r="K226" s="3"/>
    </row>
    <row r="227" spans="1:11">
      <c r="A227" s="3">
        <v>42615</v>
      </c>
      <c r="B227" s="3">
        <v>197.78</v>
      </c>
      <c r="C227" s="4" cm="1">
        <f t="array" aca="1" ref="C227" ca="1">$B227-INDIRECT(ADDRESS(ROW()-C$2,2))</f>
        <v>-24.840000000000003</v>
      </c>
      <c r="D227" s="4" cm="1">
        <f t="array" aca="1" ref="D227" ca="1">$B227-INDIRECT(ADDRESS(ROW()-D$2,2))</f>
        <v>-22.210000000000008</v>
      </c>
      <c r="E227" s="4" cm="1">
        <f t="array" aca="1" ref="E227" ca="1">$B227-INDIRECT(ADDRESS(ROW()-E$2,2))</f>
        <v>-13.560000000000002</v>
      </c>
      <c r="F227" s="3">
        <v>206.32999999999245</v>
      </c>
      <c r="G227" s="3">
        <v>10482.34</v>
      </c>
      <c r="H227" s="3">
        <f t="shared" si="3"/>
        <v>10688.669999999993</v>
      </c>
      <c r="I227" s="3"/>
      <c r="J227" s="3"/>
      <c r="K227" s="3"/>
    </row>
    <row r="228" spans="1:11">
      <c r="A228" s="3">
        <v>42619</v>
      </c>
      <c r="B228" s="3">
        <v>202.83</v>
      </c>
      <c r="C228" s="4" cm="1">
        <f t="array" aca="1" ref="C228" ca="1">$B228-INDIRECT(ADDRESS(ROW()-C$2,2))</f>
        <v>-18.129999999999995</v>
      </c>
      <c r="D228" s="4" cm="1">
        <f t="array" aca="1" ref="D228" ca="1">$B228-INDIRECT(ADDRESS(ROW()-D$2,2))</f>
        <v>-12.369999999999976</v>
      </c>
      <c r="E228" s="4" cm="1">
        <f t="array" aca="1" ref="E228" ca="1">$B228-INDIRECT(ADDRESS(ROW()-E$2,2))</f>
        <v>-9.1799999999999784</v>
      </c>
      <c r="F228" s="3">
        <v>206.32999999999245</v>
      </c>
      <c r="G228" s="3">
        <v>10749.99</v>
      </c>
      <c r="H228" s="3">
        <f t="shared" si="3"/>
        <v>10956.319999999992</v>
      </c>
      <c r="I228" s="3"/>
      <c r="J228" s="3"/>
      <c r="K228" s="3"/>
    </row>
    <row r="229" spans="1:11">
      <c r="A229" s="3">
        <v>42620</v>
      </c>
      <c r="B229" s="3">
        <v>201.71</v>
      </c>
      <c r="C229" s="4" cm="1">
        <f t="array" aca="1" ref="C229" ca="1">$B229-INDIRECT(ADDRESS(ROW()-C$2,2))</f>
        <v>-18.28</v>
      </c>
      <c r="D229" s="4" cm="1">
        <f t="array" aca="1" ref="D229" ca="1">$B229-INDIRECT(ADDRESS(ROW()-D$2,2))</f>
        <v>-9.6299999999999955</v>
      </c>
      <c r="E229" s="4" cm="1">
        <f t="array" aca="1" ref="E229" ca="1">$B229-INDIRECT(ADDRESS(ROW()-E$2,2))</f>
        <v>0.93999999999999773</v>
      </c>
      <c r="F229" s="3">
        <v>206.32999999999245</v>
      </c>
      <c r="G229" s="3">
        <v>10690.630000000001</v>
      </c>
      <c r="H229" s="3">
        <f t="shared" si="3"/>
        <v>10896.959999999994</v>
      </c>
      <c r="I229" s="3"/>
      <c r="J229" s="3"/>
      <c r="K229" s="3"/>
    </row>
    <row r="230" spans="1:11">
      <c r="A230" s="3">
        <v>42621</v>
      </c>
      <c r="B230" s="3">
        <v>197.36</v>
      </c>
      <c r="C230" s="4" cm="1">
        <f t="array" aca="1" ref="C230" ca="1">$B230-INDIRECT(ADDRESS(ROW()-C$2,2))</f>
        <v>-17.839999999999975</v>
      </c>
      <c r="D230" s="4" cm="1">
        <f t="array" aca="1" ref="D230" ca="1">$B230-INDIRECT(ADDRESS(ROW()-D$2,2))</f>
        <v>-14.649999999999977</v>
      </c>
      <c r="E230" s="4" cm="1">
        <f t="array" aca="1" ref="E230" ca="1">$B230-INDIRECT(ADDRESS(ROW()-E$2,2))</f>
        <v>-0.41999999999998749</v>
      </c>
      <c r="F230" s="3">
        <v>206.32999999999245</v>
      </c>
      <c r="G230" s="3">
        <v>10460.08</v>
      </c>
      <c r="H230" s="3">
        <f t="shared" si="3"/>
        <v>10666.409999999993</v>
      </c>
      <c r="I230" s="3"/>
      <c r="J230" s="3"/>
      <c r="K230" s="3"/>
    </row>
    <row r="231" spans="1:11">
      <c r="A231" s="3">
        <v>42622</v>
      </c>
      <c r="B231" s="3">
        <v>194.47</v>
      </c>
      <c r="C231" s="4" cm="1">
        <f t="array" aca="1" ref="C231" ca="1">$B231-INDIRECT(ADDRESS(ROW()-C$2,2))</f>
        <v>-16.870000000000005</v>
      </c>
      <c r="D231" s="4" cm="1">
        <f t="array" aca="1" ref="D231" ca="1">$B231-INDIRECT(ADDRESS(ROW()-D$2,2))</f>
        <v>-6.3000000000000114</v>
      </c>
      <c r="E231" s="4" cm="1">
        <f t="array" aca="1" ref="E231" ca="1">$B231-INDIRECT(ADDRESS(ROW()-E$2,2))</f>
        <v>-8.3600000000000136</v>
      </c>
      <c r="F231" s="3">
        <v>206.32999999999245</v>
      </c>
      <c r="G231" s="3">
        <v>10306.91</v>
      </c>
      <c r="H231" s="3">
        <f t="shared" si="3"/>
        <v>10513.239999999993</v>
      </c>
      <c r="I231" s="3"/>
      <c r="J231" s="3"/>
      <c r="K231" s="3"/>
    </row>
    <row r="232" spans="1:11">
      <c r="A232" s="3">
        <v>42625</v>
      </c>
      <c r="B232" s="3">
        <v>198.3</v>
      </c>
      <c r="C232" s="4" cm="1">
        <f t="array" aca="1" ref="C232" ca="1">$B232-INDIRECT(ADDRESS(ROW()-C$2,2))</f>
        <v>-13.70999999999998</v>
      </c>
      <c r="D232" s="4" cm="1">
        <f t="array" aca="1" ref="D232" ca="1">$B232-INDIRECT(ADDRESS(ROW()-D$2,2))</f>
        <v>0.52000000000001023</v>
      </c>
      <c r="E232" s="4" cm="1">
        <f t="array" aca="1" ref="E232" ca="1">$B232-INDIRECT(ADDRESS(ROW()-E$2,2))</f>
        <v>-3.4099999999999966</v>
      </c>
      <c r="F232" s="3">
        <v>206.32999999999245</v>
      </c>
      <c r="G232" s="3">
        <v>10509.900000000001</v>
      </c>
      <c r="H232" s="3">
        <f t="shared" si="3"/>
        <v>10716.229999999994</v>
      </c>
      <c r="I232" s="3"/>
      <c r="J232" s="3"/>
      <c r="K232" s="3"/>
    </row>
    <row r="233" spans="1:11">
      <c r="A233" s="3">
        <v>42626</v>
      </c>
      <c r="B233" s="3">
        <v>196.05</v>
      </c>
      <c r="C233" s="4" cm="1">
        <f t="array" aca="1" ref="C233" ca="1">$B233-INDIRECT(ADDRESS(ROW()-C$2,2))</f>
        <v>-4.7199999999999989</v>
      </c>
      <c r="D233" s="4" cm="1">
        <f t="array" aca="1" ref="D233" ca="1">$B233-INDIRECT(ADDRESS(ROW()-D$2,2))</f>
        <v>-6.7800000000000011</v>
      </c>
      <c r="E233" s="4" cm="1">
        <f t="array" aca="1" ref="E233" ca="1">$B233-INDIRECT(ADDRESS(ROW()-E$2,2))</f>
        <v>-1.3100000000000023</v>
      </c>
      <c r="F233" s="3">
        <v>206.32999999999245</v>
      </c>
      <c r="G233" s="3">
        <v>10390.650000000001</v>
      </c>
      <c r="H233" s="3">
        <f t="shared" si="3"/>
        <v>10596.979999999994</v>
      </c>
      <c r="I233" s="3"/>
      <c r="J233" s="3"/>
      <c r="K233" s="3"/>
    </row>
    <row r="234" spans="1:11">
      <c r="A234" s="3">
        <v>42627</v>
      </c>
      <c r="B234" s="3">
        <v>196.41</v>
      </c>
      <c r="C234" s="4" cm="1">
        <f t="array" aca="1" ref="C234" ca="1">$B234-INDIRECT(ADDRESS(ROW()-C$2,2))</f>
        <v>-1.3700000000000045</v>
      </c>
      <c r="D234" s="4" cm="1">
        <f t="array" aca="1" ref="D234" ca="1">$B234-INDIRECT(ADDRESS(ROW()-D$2,2))</f>
        <v>-5.3000000000000114</v>
      </c>
      <c r="E234" s="4" cm="1">
        <f t="array" aca="1" ref="E234" ca="1">$B234-INDIRECT(ADDRESS(ROW()-E$2,2))</f>
        <v>1.9399999999999977</v>
      </c>
      <c r="F234" s="3">
        <v>206.32999999999245</v>
      </c>
      <c r="G234" s="3">
        <v>10409.73</v>
      </c>
      <c r="H234" s="3">
        <f t="shared" si="3"/>
        <v>10616.059999999992</v>
      </c>
      <c r="I234" s="3"/>
      <c r="J234" s="3"/>
      <c r="K234" s="3"/>
    </row>
    <row r="235" spans="1:11">
      <c r="A235" s="3">
        <v>42628</v>
      </c>
      <c r="B235" s="3">
        <v>200.42</v>
      </c>
      <c r="C235" s="4" cm="1">
        <f t="array" aca="1" ref="C235" ca="1">$B235-INDIRECT(ADDRESS(ROW()-C$2,2))</f>
        <v>-2.410000000000025</v>
      </c>
      <c r="D235" s="4" cm="1">
        <f t="array" aca="1" ref="D235" ca="1">$B235-INDIRECT(ADDRESS(ROW()-D$2,2))</f>
        <v>3.0599999999999739</v>
      </c>
      <c r="E235" s="4" cm="1">
        <f t="array" aca="1" ref="E235" ca="1">$B235-INDIRECT(ADDRESS(ROW()-E$2,2))</f>
        <v>2.1199999999999761</v>
      </c>
      <c r="F235" s="3">
        <v>5.9099999999924648</v>
      </c>
      <c r="G235" s="3">
        <v>10822.679999999998</v>
      </c>
      <c r="H235" s="3">
        <f t="shared" si="3"/>
        <v>10828.589999999991</v>
      </c>
      <c r="I235" s="3"/>
      <c r="J235" s="3"/>
      <c r="K235" s="3"/>
    </row>
    <row r="236" spans="1:11">
      <c r="A236" s="3">
        <v>42629</v>
      </c>
      <c r="B236" s="3">
        <v>205.4</v>
      </c>
      <c r="C236" s="4" cm="1">
        <f t="array" aca="1" ref="C236" ca="1">$B236-INDIRECT(ADDRESS(ROW()-C$2,2))</f>
        <v>3.6899999999999977</v>
      </c>
      <c r="D236" s="4" cm="1">
        <f t="array" aca="1" ref="D236" ca="1">$B236-INDIRECT(ADDRESS(ROW()-D$2,2))</f>
        <v>10.930000000000007</v>
      </c>
      <c r="E236" s="4" cm="1">
        <f t="array" aca="1" ref="E236" ca="1">$B236-INDIRECT(ADDRESS(ROW()-E$2,2))</f>
        <v>9.3499999999999943</v>
      </c>
      <c r="F236" s="3">
        <v>5.9099999999924648</v>
      </c>
      <c r="G236" s="3">
        <v>11091.6</v>
      </c>
      <c r="H236" s="3">
        <f t="shared" si="3"/>
        <v>11097.509999999993</v>
      </c>
      <c r="I236" s="3"/>
      <c r="J236" s="3"/>
      <c r="K236" s="3"/>
    </row>
    <row r="237" spans="1:11">
      <c r="A237" s="3">
        <v>42632</v>
      </c>
      <c r="B237" s="3">
        <v>206.34</v>
      </c>
      <c r="C237" s="4" cm="1">
        <f t="array" aca="1" ref="C237" ca="1">$B237-INDIRECT(ADDRESS(ROW()-C$2,2))</f>
        <v>8.9799999999999898</v>
      </c>
      <c r="D237" s="4" cm="1">
        <f t="array" aca="1" ref="D237" ca="1">$B237-INDIRECT(ADDRESS(ROW()-D$2,2))</f>
        <v>8.039999999999992</v>
      </c>
      <c r="E237" s="4" cm="1">
        <f t="array" aca="1" ref="E237" ca="1">$B237-INDIRECT(ADDRESS(ROW()-E$2,2))</f>
        <v>9.9300000000000068</v>
      </c>
      <c r="F237" s="3">
        <v>5.9099999999924648</v>
      </c>
      <c r="G237" s="3">
        <v>11142.36</v>
      </c>
      <c r="H237" s="3">
        <f t="shared" si="3"/>
        <v>11148.269999999993</v>
      </c>
      <c r="I237" s="3"/>
      <c r="J237" s="3"/>
      <c r="K237" s="3"/>
    </row>
    <row r="238" spans="1:11">
      <c r="A238" s="3">
        <v>42633</v>
      </c>
      <c r="B238" s="3">
        <v>204.64</v>
      </c>
      <c r="C238" s="4" cm="1">
        <f t="array" aca="1" ref="C238" ca="1">$B238-INDIRECT(ADDRESS(ROW()-C$2,2))</f>
        <v>10.169999999999987</v>
      </c>
      <c r="D238" s="4" cm="1">
        <f t="array" aca="1" ref="D238" ca="1">$B238-INDIRECT(ADDRESS(ROW()-D$2,2))</f>
        <v>8.589999999999975</v>
      </c>
      <c r="E238" s="4" cm="1">
        <f t="array" aca="1" ref="E238" ca="1">$B238-INDIRECT(ADDRESS(ROW()-E$2,2))</f>
        <v>4.2199999999999989</v>
      </c>
      <c r="F238" s="3">
        <v>5.9099999999924648</v>
      </c>
      <c r="G238" s="3">
        <v>11050.56</v>
      </c>
      <c r="H238" s="3">
        <f t="shared" si="3"/>
        <v>11056.469999999992</v>
      </c>
      <c r="I238" s="3"/>
      <c r="J238" s="3"/>
      <c r="K238" s="3"/>
    </row>
    <row r="239" spans="1:11">
      <c r="A239" s="3">
        <v>42634</v>
      </c>
      <c r="B239" s="3">
        <v>205.22</v>
      </c>
      <c r="C239" s="4" cm="1">
        <f t="array" aca="1" ref="C239" ca="1">$B239-INDIRECT(ADDRESS(ROW()-C$2,2))</f>
        <v>6.9199999999999875</v>
      </c>
      <c r="D239" s="4" cm="1">
        <f t="array" aca="1" ref="D239" ca="1">$B239-INDIRECT(ADDRESS(ROW()-D$2,2))</f>
        <v>8.8100000000000023</v>
      </c>
      <c r="E239" s="4" cm="1">
        <f t="array" aca="1" ref="E239" ca="1">$B239-INDIRECT(ADDRESS(ROW()-E$2,2))</f>
        <v>-0.18000000000000682</v>
      </c>
      <c r="F239" s="3">
        <v>5.9099999999924648</v>
      </c>
      <c r="G239" s="3">
        <v>11081.88</v>
      </c>
      <c r="H239" s="3">
        <f t="shared" ref="H239:H302" si="4">G239+F239</f>
        <v>11087.789999999992</v>
      </c>
      <c r="I239" s="3"/>
      <c r="J239" s="3"/>
      <c r="K239" s="3"/>
    </row>
    <row r="240" spans="1:11">
      <c r="A240" s="3">
        <v>42635</v>
      </c>
      <c r="B240" s="3">
        <v>206.43</v>
      </c>
      <c r="C240" s="4" cm="1">
        <f t="array" aca="1" ref="C240" ca="1">$B240-INDIRECT(ADDRESS(ROW()-C$2,2))</f>
        <v>10.379999999999995</v>
      </c>
      <c r="D240" s="4" cm="1">
        <f t="array" aca="1" ref="D240" ca="1">$B240-INDIRECT(ADDRESS(ROW()-D$2,2))</f>
        <v>6.0100000000000193</v>
      </c>
      <c r="E240" s="4" cm="1">
        <f t="array" aca="1" ref="E240" ca="1">$B240-INDIRECT(ADDRESS(ROW()-E$2,2))</f>
        <v>9.0000000000003411E-2</v>
      </c>
      <c r="F240" s="3">
        <v>5.9099999999924648</v>
      </c>
      <c r="G240" s="3">
        <v>11147.220000000001</v>
      </c>
      <c r="H240" s="3">
        <f t="shared" si="4"/>
        <v>11153.129999999994</v>
      </c>
      <c r="I240" s="3"/>
      <c r="J240" s="3"/>
      <c r="K240" s="3"/>
    </row>
    <row r="241" spans="1:11">
      <c r="A241" s="3">
        <v>42636</v>
      </c>
      <c r="B241" s="3">
        <v>207.45</v>
      </c>
      <c r="C241" s="4" cm="1">
        <f t="array" aca="1" ref="C241" ca="1">$B241-INDIRECT(ADDRESS(ROW()-C$2,2))</f>
        <v>11.039999999999992</v>
      </c>
      <c r="D241" s="4" cm="1">
        <f t="array" aca="1" ref="D241" ca="1">$B241-INDIRECT(ADDRESS(ROW()-D$2,2))</f>
        <v>2.0499999999999829</v>
      </c>
      <c r="E241" s="4" cm="1">
        <f t="array" aca="1" ref="E241" ca="1">$B241-INDIRECT(ADDRESS(ROW()-E$2,2))</f>
        <v>2.8100000000000023</v>
      </c>
      <c r="F241" s="3">
        <v>5.9099999999924648</v>
      </c>
      <c r="G241" s="3">
        <v>11202.3</v>
      </c>
      <c r="H241" s="3">
        <f t="shared" si="4"/>
        <v>11208.209999999992</v>
      </c>
      <c r="I241" s="3"/>
      <c r="J241" s="3"/>
      <c r="K241" s="3"/>
    </row>
    <row r="242" spans="1:11">
      <c r="A242" s="3">
        <v>42639</v>
      </c>
      <c r="B242" s="3">
        <v>208.99</v>
      </c>
      <c r="C242" s="4" cm="1">
        <f t="array" aca="1" ref="C242" ca="1">$B242-INDIRECT(ADDRESS(ROW()-C$2,2))</f>
        <v>8.5700000000000216</v>
      </c>
      <c r="D242" s="4" cm="1">
        <f t="array" aca="1" ref="D242" ca="1">$B242-INDIRECT(ADDRESS(ROW()-D$2,2))</f>
        <v>2.6500000000000057</v>
      </c>
      <c r="E242" s="4" cm="1">
        <f t="array" aca="1" ref="E242" ca="1">$B242-INDIRECT(ADDRESS(ROW()-E$2,2))</f>
        <v>3.7700000000000102</v>
      </c>
      <c r="F242" s="3">
        <v>5.9099999999924648</v>
      </c>
      <c r="G242" s="3">
        <v>11285.460000000001</v>
      </c>
      <c r="H242" s="3">
        <f t="shared" si="4"/>
        <v>11291.369999999994</v>
      </c>
      <c r="I242" s="3"/>
      <c r="J242" s="3"/>
      <c r="K242" s="3"/>
    </row>
    <row r="243" spans="1:11">
      <c r="A243" s="3">
        <v>42640</v>
      </c>
      <c r="B243" s="3">
        <v>205.81</v>
      </c>
      <c r="C243" s="4" cm="1">
        <f t="array" aca="1" ref="C243" ca="1">$B243-INDIRECT(ADDRESS(ROW()-C$2,2))</f>
        <v>0.40999999999999659</v>
      </c>
      <c r="D243" s="4" cm="1">
        <f t="array" aca="1" ref="D243" ca="1">$B243-INDIRECT(ADDRESS(ROW()-D$2,2))</f>
        <v>1.1700000000000159</v>
      </c>
      <c r="E243" s="4" cm="1">
        <f t="array" aca="1" ref="E243" ca="1">$B243-INDIRECT(ADDRESS(ROW()-E$2,2))</f>
        <v>-0.62000000000000455</v>
      </c>
      <c r="F243" s="3">
        <v>5.9099999999924648</v>
      </c>
      <c r="G243" s="3">
        <v>11113.74</v>
      </c>
      <c r="H243" s="3">
        <f t="shared" si="4"/>
        <v>11119.649999999992</v>
      </c>
      <c r="I243" s="3"/>
      <c r="J243" s="3"/>
      <c r="K243" s="3"/>
    </row>
    <row r="244" spans="1:11">
      <c r="A244" s="3">
        <v>42641</v>
      </c>
      <c r="B244" s="3">
        <v>206.27</v>
      </c>
      <c r="C244" s="4" cm="1">
        <f t="array" aca="1" ref="C244" ca="1">$B244-INDIRECT(ADDRESS(ROW()-C$2,2))</f>
        <v>-6.9999999999993179E-2</v>
      </c>
      <c r="D244" s="4" cm="1">
        <f t="array" aca="1" ref="D244" ca="1">$B244-INDIRECT(ADDRESS(ROW()-D$2,2))</f>
        <v>1.0500000000000114</v>
      </c>
      <c r="E244" s="4" cm="1">
        <f t="array" aca="1" ref="E244" ca="1">$B244-INDIRECT(ADDRESS(ROW()-E$2,2))</f>
        <v>-1.1799999999999784</v>
      </c>
      <c r="F244" s="3">
        <v>5.9099999999924648</v>
      </c>
      <c r="G244" s="3">
        <v>11138.58</v>
      </c>
      <c r="H244" s="3">
        <f t="shared" si="4"/>
        <v>11144.489999999993</v>
      </c>
      <c r="I244" s="3"/>
      <c r="J244" s="3"/>
      <c r="K244" s="3"/>
    </row>
    <row r="245" spans="1:11">
      <c r="A245" s="3">
        <v>42642</v>
      </c>
      <c r="B245" s="3">
        <v>200.7</v>
      </c>
      <c r="C245" s="4" cm="1">
        <f t="array" aca="1" ref="C245" ca="1">$B245-INDIRECT(ADDRESS(ROW()-C$2,2))</f>
        <v>-3.9399999999999977</v>
      </c>
      <c r="D245" s="4" cm="1">
        <f t="array" aca="1" ref="D245" ca="1">$B245-INDIRECT(ADDRESS(ROW()-D$2,2))</f>
        <v>-5.7300000000000182</v>
      </c>
      <c r="E245" s="4" cm="1">
        <f t="array" aca="1" ref="E245" ca="1">$B245-INDIRECT(ADDRESS(ROW()-E$2,2))</f>
        <v>-8.2900000000000205</v>
      </c>
      <c r="F245" s="3">
        <v>5.9099999999924648</v>
      </c>
      <c r="G245" s="3">
        <v>10837.8</v>
      </c>
      <c r="H245" s="3">
        <f t="shared" si="4"/>
        <v>10843.709999999992</v>
      </c>
      <c r="I245" s="3"/>
      <c r="J245" s="3"/>
      <c r="K245" s="3"/>
    </row>
    <row r="246" spans="1:11">
      <c r="A246" s="3">
        <v>42643</v>
      </c>
      <c r="B246" s="3">
        <v>204.03</v>
      </c>
      <c r="C246" s="4" cm="1">
        <f t="array" aca="1" ref="C246" ca="1">$B246-INDIRECT(ADDRESS(ROW()-C$2,2))</f>
        <v>-1.1899999999999977</v>
      </c>
      <c r="D246" s="4" cm="1">
        <f t="array" aca="1" ref="D246" ca="1">$B246-INDIRECT(ADDRESS(ROW()-D$2,2))</f>
        <v>-3.4199999999999875</v>
      </c>
      <c r="E246" s="4" cm="1">
        <f t="array" aca="1" ref="E246" ca="1">$B246-INDIRECT(ADDRESS(ROW()-E$2,2))</f>
        <v>-1.7800000000000011</v>
      </c>
      <c r="F246" s="3">
        <v>5.9099999999924648</v>
      </c>
      <c r="G246" s="3">
        <v>11017.62</v>
      </c>
      <c r="H246" s="3">
        <f t="shared" si="4"/>
        <v>11023.529999999993</v>
      </c>
      <c r="I246" s="3"/>
      <c r="J246" s="3"/>
      <c r="K246" s="3"/>
    </row>
    <row r="247" spans="1:11">
      <c r="A247" s="3">
        <v>42646</v>
      </c>
      <c r="B247" s="3">
        <v>213.7</v>
      </c>
      <c r="C247" s="4" cm="1">
        <f t="array" aca="1" ref="C247" ca="1">$B247-INDIRECT(ADDRESS(ROW()-C$2,2))</f>
        <v>7.2699999999999818</v>
      </c>
      <c r="D247" s="4" cm="1">
        <f t="array" aca="1" ref="D247" ca="1">$B247-INDIRECT(ADDRESS(ROW()-D$2,2))</f>
        <v>4.7099999999999795</v>
      </c>
      <c r="E247" s="4" cm="1">
        <f t="array" aca="1" ref="E247" ca="1">$B247-INDIRECT(ADDRESS(ROW()-E$2,2))</f>
        <v>7.4299999999999784</v>
      </c>
      <c r="F247" s="3">
        <v>5.9099999999924648</v>
      </c>
      <c r="G247" s="3">
        <v>11539.8</v>
      </c>
      <c r="H247" s="3">
        <f t="shared" si="4"/>
        <v>11545.709999999992</v>
      </c>
      <c r="I247" s="3"/>
      <c r="J247" s="3"/>
      <c r="K247" s="3"/>
    </row>
    <row r="248" spans="1:11">
      <c r="A248" s="3">
        <v>42647</v>
      </c>
      <c r="B248" s="3">
        <v>211.41</v>
      </c>
      <c r="C248" s="4" cm="1">
        <f t="array" aca="1" ref="C248" ca="1">$B248-INDIRECT(ADDRESS(ROW()-C$2,2))</f>
        <v>3.960000000000008</v>
      </c>
      <c r="D248" s="4" cm="1">
        <f t="array" aca="1" ref="D248" ca="1">$B248-INDIRECT(ADDRESS(ROW()-D$2,2))</f>
        <v>5.5999999999999943</v>
      </c>
      <c r="E248" s="4" cm="1">
        <f t="array" aca="1" ref="E248" ca="1">$B248-INDIRECT(ADDRESS(ROW()-E$2,2))</f>
        <v>10.710000000000008</v>
      </c>
      <c r="F248" s="3">
        <v>5.9099999999924648</v>
      </c>
      <c r="G248" s="3">
        <v>11416.14</v>
      </c>
      <c r="H248" s="3">
        <f t="shared" si="4"/>
        <v>11422.049999999992</v>
      </c>
      <c r="I248" s="3"/>
      <c r="J248" s="3"/>
      <c r="K248" s="3"/>
    </row>
    <row r="249" spans="1:11">
      <c r="A249" s="3">
        <v>42648</v>
      </c>
      <c r="B249" s="3">
        <v>208.46</v>
      </c>
      <c r="C249" s="4" cm="1">
        <f t="array" aca="1" ref="C249" ca="1">$B249-INDIRECT(ADDRESS(ROW()-C$2,2))</f>
        <v>-0.53000000000000114</v>
      </c>
      <c r="D249" s="4" cm="1">
        <f t="array" aca="1" ref="D249" ca="1">$B249-INDIRECT(ADDRESS(ROW()-D$2,2))</f>
        <v>2.1899999999999977</v>
      </c>
      <c r="E249" s="4" cm="1">
        <f t="array" aca="1" ref="E249" ca="1">$B249-INDIRECT(ADDRESS(ROW()-E$2,2))</f>
        <v>4.4300000000000068</v>
      </c>
      <c r="F249" s="3">
        <v>5.9099999999924648</v>
      </c>
      <c r="G249" s="3">
        <v>11256.84</v>
      </c>
      <c r="H249" s="3">
        <f t="shared" si="4"/>
        <v>11262.749999999993</v>
      </c>
      <c r="I249" s="3"/>
      <c r="J249" s="3"/>
      <c r="K249" s="3"/>
    </row>
    <row r="250" spans="1:11">
      <c r="A250" s="3">
        <v>42649</v>
      </c>
      <c r="B250" s="3">
        <v>201</v>
      </c>
      <c r="C250" s="4" cm="1">
        <f t="array" aca="1" ref="C250" ca="1">$B250-INDIRECT(ADDRESS(ROW()-C$2,2))</f>
        <v>-4.8100000000000023</v>
      </c>
      <c r="D250" s="4" cm="1">
        <f t="array" aca="1" ref="D250" ca="1">$B250-INDIRECT(ADDRESS(ROW()-D$2,2))</f>
        <v>0.30000000000001137</v>
      </c>
      <c r="E250" s="4" cm="1">
        <f t="array" aca="1" ref="E250" ca="1">$B250-INDIRECT(ADDRESS(ROW()-E$2,2))</f>
        <v>-12.699999999999989</v>
      </c>
      <c r="F250" s="3">
        <v>5.9099999999924648</v>
      </c>
      <c r="G250" s="3">
        <v>10854</v>
      </c>
      <c r="H250" s="3">
        <f t="shared" si="4"/>
        <v>10859.909999999993</v>
      </c>
      <c r="I250" s="3"/>
      <c r="J250" s="3"/>
      <c r="K250" s="3"/>
    </row>
    <row r="251" spans="1:11">
      <c r="A251" s="3">
        <v>42650</v>
      </c>
      <c r="B251" s="3">
        <v>196.61</v>
      </c>
      <c r="C251" s="4" cm="1">
        <f t="array" aca="1" ref="C251" ca="1">$B251-INDIRECT(ADDRESS(ROW()-C$2,2))</f>
        <v>-9.6599999999999966</v>
      </c>
      <c r="D251" s="4" cm="1">
        <f t="array" aca="1" ref="D251" ca="1">$B251-INDIRECT(ADDRESS(ROW()-D$2,2))</f>
        <v>-7.4199999999999875</v>
      </c>
      <c r="E251" s="4" cm="1">
        <f t="array" aca="1" ref="E251" ca="1">$B251-INDIRECT(ADDRESS(ROW()-E$2,2))</f>
        <v>-14.799999999999983</v>
      </c>
      <c r="F251" s="3">
        <v>5.9099999999924648</v>
      </c>
      <c r="G251" s="3">
        <v>10616.94</v>
      </c>
      <c r="H251" s="3">
        <f t="shared" si="4"/>
        <v>10622.849999999993</v>
      </c>
      <c r="I251" s="3"/>
      <c r="J251" s="3"/>
      <c r="K251" s="3"/>
    </row>
    <row r="252" spans="1:11">
      <c r="A252" s="3">
        <v>42653</v>
      </c>
      <c r="B252" s="3">
        <v>200.95</v>
      </c>
      <c r="C252" s="4" cm="1">
        <f t="array" aca="1" ref="C252" ca="1">$B252-INDIRECT(ADDRESS(ROW()-C$2,2))</f>
        <v>0.25</v>
      </c>
      <c r="D252" s="4" cm="1">
        <f t="array" aca="1" ref="D252" ca="1">$B252-INDIRECT(ADDRESS(ROW()-D$2,2))</f>
        <v>-12.75</v>
      </c>
      <c r="E252" s="4" cm="1">
        <f t="array" aca="1" ref="E252" ca="1">$B252-INDIRECT(ADDRESS(ROW()-E$2,2))</f>
        <v>-7.5100000000000193</v>
      </c>
      <c r="F252" s="3">
        <v>10857.209999999992</v>
      </c>
      <c r="G252" s="3">
        <v>0</v>
      </c>
      <c r="H252" s="3">
        <f t="shared" si="4"/>
        <v>10857.209999999992</v>
      </c>
      <c r="I252" s="3"/>
      <c r="J252" s="3"/>
      <c r="K252" s="3"/>
    </row>
    <row r="253" spans="1:11">
      <c r="A253" s="3">
        <v>42654</v>
      </c>
      <c r="B253" s="3">
        <v>200.1</v>
      </c>
      <c r="C253" s="4" cm="1">
        <f t="array" aca="1" ref="C253" ca="1">$B253-INDIRECT(ADDRESS(ROW()-C$2,2))</f>
        <v>-3.9300000000000068</v>
      </c>
      <c r="D253" s="4" cm="1">
        <f t="array" aca="1" ref="D253" ca="1">$B253-INDIRECT(ADDRESS(ROW()-D$2,2))</f>
        <v>-11.310000000000002</v>
      </c>
      <c r="E253" s="4" cm="1">
        <f t="array" aca="1" ref="E253" ca="1">$B253-INDIRECT(ADDRESS(ROW()-E$2,2))</f>
        <v>-0.90000000000000568</v>
      </c>
      <c r="F253" s="3">
        <v>10857.209999999992</v>
      </c>
      <c r="G253" s="3">
        <v>0</v>
      </c>
      <c r="H253" s="3">
        <f t="shared" si="4"/>
        <v>10857.209999999992</v>
      </c>
      <c r="I253" s="3"/>
      <c r="J253" s="3"/>
      <c r="K253" s="3"/>
    </row>
    <row r="254" spans="1:11">
      <c r="A254" s="3">
        <v>42655</v>
      </c>
      <c r="B254" s="3">
        <v>201.51</v>
      </c>
      <c r="C254" s="4" cm="1">
        <f t="array" aca="1" ref="C254" ca="1">$B254-INDIRECT(ADDRESS(ROW()-C$2,2))</f>
        <v>-12.189999999999998</v>
      </c>
      <c r="D254" s="4" cm="1">
        <f t="array" aca="1" ref="D254" ca="1">$B254-INDIRECT(ADDRESS(ROW()-D$2,2))</f>
        <v>-6.9500000000000171</v>
      </c>
      <c r="E254" s="4" cm="1">
        <f t="array" aca="1" ref="E254" ca="1">$B254-INDIRECT(ADDRESS(ROW()-E$2,2))</f>
        <v>4.8999999999999773</v>
      </c>
      <c r="F254" s="3">
        <v>10857.209999999992</v>
      </c>
      <c r="G254" s="3">
        <v>0</v>
      </c>
      <c r="H254" s="3">
        <f t="shared" si="4"/>
        <v>10857.209999999992</v>
      </c>
      <c r="I254" s="3"/>
      <c r="J254" s="3"/>
      <c r="K254" s="3"/>
    </row>
    <row r="255" spans="1:11">
      <c r="A255" s="3">
        <v>42656</v>
      </c>
      <c r="B255" s="3">
        <v>200.24</v>
      </c>
      <c r="C255" s="4" cm="1">
        <f t="array" aca="1" ref="C255" ca="1">$B255-INDIRECT(ADDRESS(ROW()-C$2,2))</f>
        <v>-11.169999999999987</v>
      </c>
      <c r="D255" s="4" cm="1">
        <f t="array" aca="1" ref="D255" ca="1">$B255-INDIRECT(ADDRESS(ROW()-D$2,2))</f>
        <v>-0.75999999999999091</v>
      </c>
      <c r="E255" s="4" cm="1">
        <f t="array" aca="1" ref="E255" ca="1">$B255-INDIRECT(ADDRESS(ROW()-E$2,2))</f>
        <v>-0.70999999999997954</v>
      </c>
      <c r="F255" s="3">
        <v>10857.209999999992</v>
      </c>
      <c r="G255" s="3">
        <v>0</v>
      </c>
      <c r="H255" s="3">
        <f t="shared" si="4"/>
        <v>10857.209999999992</v>
      </c>
      <c r="I255" s="3"/>
      <c r="J255" s="3"/>
      <c r="K255" s="3"/>
    </row>
    <row r="256" spans="1:11">
      <c r="A256" s="3">
        <v>42657</v>
      </c>
      <c r="B256" s="3">
        <v>196.51</v>
      </c>
      <c r="C256" s="4" cm="1">
        <f t="array" aca="1" ref="C256" ca="1">$B256-INDIRECT(ADDRESS(ROW()-C$2,2))</f>
        <v>-11.950000000000017</v>
      </c>
      <c r="D256" s="4" cm="1">
        <f t="array" aca="1" ref="D256" ca="1">$B256-INDIRECT(ADDRESS(ROW()-D$2,2))</f>
        <v>-0.10000000000002274</v>
      </c>
      <c r="E256" s="4" cm="1">
        <f t="array" aca="1" ref="E256" ca="1">$B256-INDIRECT(ADDRESS(ROW()-E$2,2))</f>
        <v>-3.5900000000000034</v>
      </c>
      <c r="F256" s="3">
        <v>10857.209999999992</v>
      </c>
      <c r="G256" s="3">
        <v>0</v>
      </c>
      <c r="H256" s="3">
        <f t="shared" si="4"/>
        <v>10857.209999999992</v>
      </c>
      <c r="I256" s="3"/>
      <c r="J256" s="3"/>
      <c r="K256" s="3"/>
    </row>
    <row r="257" spans="1:11">
      <c r="A257" s="3">
        <v>42660</v>
      </c>
      <c r="B257" s="3">
        <v>193.96</v>
      </c>
      <c r="C257" s="4" cm="1">
        <f t="array" aca="1" ref="C257" ca="1">$B257-INDIRECT(ADDRESS(ROW()-C$2,2))</f>
        <v>-7.039999999999992</v>
      </c>
      <c r="D257" s="4" cm="1">
        <f t="array" aca="1" ref="D257" ca="1">$B257-INDIRECT(ADDRESS(ROW()-D$2,2))</f>
        <v>-6.9899999999999807</v>
      </c>
      <c r="E257" s="4" cm="1">
        <f t="array" aca="1" ref="E257" ca="1">$B257-INDIRECT(ADDRESS(ROW()-E$2,2))</f>
        <v>-7.5499999999999829</v>
      </c>
      <c r="F257" s="3">
        <v>10857.209999999992</v>
      </c>
      <c r="G257" s="3">
        <v>0</v>
      </c>
      <c r="H257" s="3">
        <f t="shared" si="4"/>
        <v>10857.209999999992</v>
      </c>
      <c r="I257" s="3"/>
      <c r="J257" s="3"/>
      <c r="K257" s="3"/>
    </row>
    <row r="258" spans="1:11">
      <c r="A258" s="3">
        <v>42661</v>
      </c>
      <c r="B258" s="3">
        <v>199.1</v>
      </c>
      <c r="C258" s="4" cm="1">
        <f t="array" aca="1" ref="C258" ca="1">$B258-INDIRECT(ADDRESS(ROW()-C$2,2))</f>
        <v>2.4899999999999807</v>
      </c>
      <c r="D258" s="4" cm="1">
        <f t="array" aca="1" ref="D258" ca="1">$B258-INDIRECT(ADDRESS(ROW()-D$2,2))</f>
        <v>-1</v>
      </c>
      <c r="E258" s="4" cm="1">
        <f t="array" aca="1" ref="E258" ca="1">$B258-INDIRECT(ADDRESS(ROW()-E$2,2))</f>
        <v>-1.1400000000000148</v>
      </c>
      <c r="F258" s="3">
        <v>10857.209999999992</v>
      </c>
      <c r="G258" s="3">
        <v>0</v>
      </c>
      <c r="H258" s="3">
        <f t="shared" si="4"/>
        <v>10857.209999999992</v>
      </c>
      <c r="I258" s="3"/>
      <c r="J258" s="3"/>
      <c r="K258" s="3"/>
    </row>
    <row r="259" spans="1:11">
      <c r="A259" s="3">
        <v>42662</v>
      </c>
      <c r="B259" s="3">
        <v>203.56</v>
      </c>
      <c r="C259" s="4" cm="1">
        <f t="array" aca="1" ref="C259" ca="1">$B259-INDIRECT(ADDRESS(ROW()-C$2,2))</f>
        <v>2.6100000000000136</v>
      </c>
      <c r="D259" s="4" cm="1">
        <f t="array" aca="1" ref="D259" ca="1">$B259-INDIRECT(ADDRESS(ROW()-D$2,2))</f>
        <v>2.0500000000000114</v>
      </c>
      <c r="E259" s="4" cm="1">
        <f t="array" aca="1" ref="E259" ca="1">$B259-INDIRECT(ADDRESS(ROW()-E$2,2))</f>
        <v>7.0500000000000114</v>
      </c>
      <c r="F259" s="3">
        <v>10857.209999999992</v>
      </c>
      <c r="G259" s="3">
        <v>0</v>
      </c>
      <c r="H259" s="3">
        <f t="shared" si="4"/>
        <v>10857.209999999992</v>
      </c>
      <c r="I259" s="3"/>
      <c r="J259" s="3"/>
      <c r="K259" s="3"/>
    </row>
    <row r="260" spans="1:11">
      <c r="A260" s="3">
        <v>42663</v>
      </c>
      <c r="B260" s="3">
        <v>199.1</v>
      </c>
      <c r="C260" s="4" cm="1">
        <f t="array" aca="1" ref="C260" ca="1">$B260-INDIRECT(ADDRESS(ROW()-C$2,2))</f>
        <v>-1</v>
      </c>
      <c r="D260" s="4" cm="1">
        <f t="array" aca="1" ref="D260" ca="1">$B260-INDIRECT(ADDRESS(ROW()-D$2,2))</f>
        <v>-1.1400000000000148</v>
      </c>
      <c r="E260" s="4" cm="1">
        <f t="array" aca="1" ref="E260" ca="1">$B260-INDIRECT(ADDRESS(ROW()-E$2,2))</f>
        <v>5.1399999999999864</v>
      </c>
      <c r="F260" s="3">
        <v>10857.209999999992</v>
      </c>
      <c r="G260" s="3">
        <v>0</v>
      </c>
      <c r="H260" s="3">
        <f t="shared" si="4"/>
        <v>10857.209999999992</v>
      </c>
      <c r="I260" s="3"/>
      <c r="J260" s="3"/>
      <c r="K260" s="3"/>
    </row>
    <row r="261" spans="1:11">
      <c r="A261" s="3">
        <v>42664</v>
      </c>
      <c r="B261" s="3">
        <v>200.09</v>
      </c>
      <c r="C261" s="4" cm="1">
        <f t="array" aca="1" ref="C261" ca="1">$B261-INDIRECT(ADDRESS(ROW()-C$2,2))</f>
        <v>-1.4199999999999875</v>
      </c>
      <c r="D261" s="4" cm="1">
        <f t="array" aca="1" ref="D261" ca="1">$B261-INDIRECT(ADDRESS(ROW()-D$2,2))</f>
        <v>3.5800000000000125</v>
      </c>
      <c r="E261" s="4" cm="1">
        <f t="array" aca="1" ref="E261" ca="1">$B261-INDIRECT(ADDRESS(ROW()-E$2,2))</f>
        <v>0.99000000000000909</v>
      </c>
      <c r="F261" s="3">
        <v>52.349999999985755</v>
      </c>
      <c r="G261" s="3">
        <v>10804.86</v>
      </c>
      <c r="H261" s="3">
        <f t="shared" si="4"/>
        <v>10857.209999999986</v>
      </c>
      <c r="I261" s="3"/>
      <c r="J261" s="3"/>
      <c r="K261" s="3"/>
    </row>
    <row r="262" spans="1:11">
      <c r="A262" s="3">
        <v>42667</v>
      </c>
      <c r="B262" s="3">
        <v>202.76</v>
      </c>
      <c r="C262" s="4" cm="1">
        <f t="array" aca="1" ref="C262" ca="1">$B262-INDIRECT(ADDRESS(ROW()-C$2,2))</f>
        <v>2.5199999999999818</v>
      </c>
      <c r="D262" s="4" cm="1">
        <f t="array" aca="1" ref="D262" ca="1">$B262-INDIRECT(ADDRESS(ROW()-D$2,2))</f>
        <v>8.7999999999999829</v>
      </c>
      <c r="E262" s="4" cm="1">
        <f t="array" aca="1" ref="E262" ca="1">$B262-INDIRECT(ADDRESS(ROW()-E$2,2))</f>
        <v>-0.80000000000001137</v>
      </c>
      <c r="F262" s="3">
        <v>52.349999999985755</v>
      </c>
      <c r="G262" s="3">
        <v>10949.039999999999</v>
      </c>
      <c r="H262" s="3">
        <f t="shared" si="4"/>
        <v>11001.389999999985</v>
      </c>
      <c r="I262" s="3"/>
      <c r="J262" s="3"/>
      <c r="K262" s="3"/>
    </row>
    <row r="263" spans="1:11">
      <c r="A263" s="3">
        <v>42668</v>
      </c>
      <c r="B263" s="3">
        <v>202.34</v>
      </c>
      <c r="C263" s="4" cm="1">
        <f t="array" aca="1" ref="C263" ca="1">$B263-INDIRECT(ADDRESS(ROW()-C$2,2))</f>
        <v>5.8300000000000125</v>
      </c>
      <c r="D263" s="4" cm="1">
        <f t="array" aca="1" ref="D263" ca="1">$B263-INDIRECT(ADDRESS(ROW()-D$2,2))</f>
        <v>3.2400000000000091</v>
      </c>
      <c r="E263" s="4" cm="1">
        <f t="array" aca="1" ref="E263" ca="1">$B263-INDIRECT(ADDRESS(ROW()-E$2,2))</f>
        <v>3.2400000000000091</v>
      </c>
      <c r="F263" s="3">
        <v>52.349999999985755</v>
      </c>
      <c r="G263" s="3">
        <v>10926.36</v>
      </c>
      <c r="H263" s="3">
        <f t="shared" si="4"/>
        <v>10978.709999999986</v>
      </c>
      <c r="I263" s="3"/>
      <c r="J263" s="3"/>
      <c r="K263" s="3"/>
    </row>
    <row r="264" spans="1:11">
      <c r="A264" s="3">
        <v>42669</v>
      </c>
      <c r="B264" s="3">
        <v>202.24</v>
      </c>
      <c r="C264" s="4" cm="1">
        <f t="array" aca="1" ref="C264" ca="1">$B264-INDIRECT(ADDRESS(ROW()-C$2,2))</f>
        <v>8.2800000000000011</v>
      </c>
      <c r="D264" s="4" cm="1">
        <f t="array" aca="1" ref="D264" ca="1">$B264-INDIRECT(ADDRESS(ROW()-D$2,2))</f>
        <v>-1.3199999999999932</v>
      </c>
      <c r="E264" s="4" cm="1">
        <f t="array" aca="1" ref="E264" ca="1">$B264-INDIRECT(ADDRESS(ROW()-E$2,2))</f>
        <v>2.1500000000000057</v>
      </c>
      <c r="F264" s="3">
        <v>52.349999999985755</v>
      </c>
      <c r="G264" s="3">
        <v>10920.960000000001</v>
      </c>
      <c r="H264" s="3">
        <f t="shared" si="4"/>
        <v>10973.309999999987</v>
      </c>
      <c r="I264" s="3"/>
      <c r="J264" s="3"/>
      <c r="K264" s="3"/>
    </row>
    <row r="265" spans="1:11">
      <c r="A265" s="3">
        <v>42670</v>
      </c>
      <c r="B265" s="3">
        <v>204.01</v>
      </c>
      <c r="C265" s="4" cm="1">
        <f t="array" aca="1" ref="C265" ca="1">$B265-INDIRECT(ADDRESS(ROW()-C$2,2))</f>
        <v>4.9099999999999966</v>
      </c>
      <c r="D265" s="4" cm="1">
        <f t="array" aca="1" ref="D265" ca="1">$B265-INDIRECT(ADDRESS(ROW()-D$2,2))</f>
        <v>4.9099999999999966</v>
      </c>
      <c r="E265" s="4" cm="1">
        <f t="array" aca="1" ref="E265" ca="1">$B265-INDIRECT(ADDRESS(ROW()-E$2,2))</f>
        <v>1.25</v>
      </c>
      <c r="F265" s="3">
        <v>52.349999999985755</v>
      </c>
      <c r="G265" s="3">
        <v>11016.539999999999</v>
      </c>
      <c r="H265" s="3">
        <f t="shared" si="4"/>
        <v>11068.889999999985</v>
      </c>
      <c r="I265" s="3"/>
      <c r="J265" s="3"/>
      <c r="K265" s="3"/>
    </row>
    <row r="266" spans="1:11">
      <c r="A266" s="3">
        <v>42671</v>
      </c>
      <c r="B266" s="3">
        <v>199.97</v>
      </c>
      <c r="C266" s="4" cm="1">
        <f t="array" aca="1" ref="C266" ca="1">$B266-INDIRECT(ADDRESS(ROW()-C$2,2))</f>
        <v>-3.5900000000000034</v>
      </c>
      <c r="D266" s="4" cm="1">
        <f t="array" aca="1" ref="D266" ca="1">$B266-INDIRECT(ADDRESS(ROW()-D$2,2))</f>
        <v>-0.12000000000000455</v>
      </c>
      <c r="E266" s="4" cm="1">
        <f t="array" aca="1" ref="E266" ca="1">$B266-INDIRECT(ADDRESS(ROW()-E$2,2))</f>
        <v>-2.3700000000000045</v>
      </c>
      <c r="F266" s="3">
        <v>52.349999999985755</v>
      </c>
      <c r="G266" s="3">
        <v>10798.38</v>
      </c>
      <c r="H266" s="3">
        <f t="shared" si="4"/>
        <v>10850.729999999985</v>
      </c>
      <c r="I266" s="3"/>
      <c r="J266" s="3"/>
      <c r="K266" s="3"/>
    </row>
    <row r="267" spans="1:11">
      <c r="A267" s="3">
        <v>42674</v>
      </c>
      <c r="B267" s="3">
        <v>197.73</v>
      </c>
      <c r="C267" s="4" cm="1">
        <f t="array" aca="1" ref="C267" ca="1">$B267-INDIRECT(ADDRESS(ROW()-C$2,2))</f>
        <v>-1.3700000000000045</v>
      </c>
      <c r="D267" s="4" cm="1">
        <f t="array" aca="1" ref="D267" ca="1">$B267-INDIRECT(ADDRESS(ROW()-D$2,2))</f>
        <v>-5.0300000000000011</v>
      </c>
      <c r="E267" s="4" cm="1">
        <f t="array" aca="1" ref="E267" ca="1">$B267-INDIRECT(ADDRESS(ROW()-E$2,2))</f>
        <v>-4.5100000000000193</v>
      </c>
      <c r="F267" s="3">
        <v>52.349999999985755</v>
      </c>
      <c r="G267" s="3">
        <v>10677.42</v>
      </c>
      <c r="H267" s="3">
        <f t="shared" si="4"/>
        <v>10729.769999999986</v>
      </c>
      <c r="I267" s="3"/>
      <c r="J267" s="3"/>
      <c r="K267" s="3"/>
    </row>
    <row r="268" spans="1:11">
      <c r="A268" s="3">
        <v>42675</v>
      </c>
      <c r="B268" s="3">
        <v>190.79</v>
      </c>
      <c r="C268" s="4" cm="1">
        <f t="array" aca="1" ref="C268" ca="1">$B268-INDIRECT(ADDRESS(ROW()-C$2,2))</f>
        <v>-9.3000000000000114</v>
      </c>
      <c r="D268" s="4" cm="1">
        <f t="array" aca="1" ref="D268" ca="1">$B268-INDIRECT(ADDRESS(ROW()-D$2,2))</f>
        <v>-11.550000000000011</v>
      </c>
      <c r="E268" s="4" cm="1">
        <f t="array" aca="1" ref="E268" ca="1">$B268-INDIRECT(ADDRESS(ROW()-E$2,2))</f>
        <v>-13.219999999999999</v>
      </c>
      <c r="F268" s="3">
        <v>52.349999999985755</v>
      </c>
      <c r="G268" s="3">
        <v>10302.66</v>
      </c>
      <c r="H268" s="3">
        <f t="shared" si="4"/>
        <v>10355.009999999986</v>
      </c>
      <c r="I268" s="3"/>
      <c r="J268" s="3"/>
      <c r="K268" s="3"/>
    </row>
    <row r="269" spans="1:11">
      <c r="A269" s="3">
        <v>42676</v>
      </c>
      <c r="B269" s="3">
        <v>188.02</v>
      </c>
      <c r="C269" s="4" cm="1">
        <f t="array" aca="1" ref="C269" ca="1">$B269-INDIRECT(ADDRESS(ROW()-C$2,2))</f>
        <v>-14.739999999999981</v>
      </c>
      <c r="D269" s="4" cm="1">
        <f t="array" aca="1" ref="D269" ca="1">$B269-INDIRECT(ADDRESS(ROW()-D$2,2))</f>
        <v>-14.219999999999999</v>
      </c>
      <c r="E269" s="4" cm="1">
        <f t="array" aca="1" ref="E269" ca="1">$B269-INDIRECT(ADDRESS(ROW()-E$2,2))</f>
        <v>-11.949999999999989</v>
      </c>
      <c r="F269" s="3">
        <v>52.349999999985755</v>
      </c>
      <c r="G269" s="3">
        <v>10153.08</v>
      </c>
      <c r="H269" s="3">
        <f t="shared" si="4"/>
        <v>10205.429999999986</v>
      </c>
      <c r="I269" s="3"/>
      <c r="J269" s="3"/>
      <c r="K269" s="3"/>
    </row>
    <row r="270" spans="1:11">
      <c r="A270" s="3">
        <v>42677</v>
      </c>
      <c r="B270" s="3">
        <v>187.42</v>
      </c>
      <c r="C270" s="4" cm="1">
        <f t="array" aca="1" ref="C270" ca="1">$B270-INDIRECT(ADDRESS(ROW()-C$2,2))</f>
        <v>-14.920000000000016</v>
      </c>
      <c r="D270" s="4" cm="1">
        <f t="array" aca="1" ref="D270" ca="1">$B270-INDIRECT(ADDRESS(ROW()-D$2,2))</f>
        <v>-16.590000000000003</v>
      </c>
      <c r="E270" s="4" cm="1">
        <f t="array" aca="1" ref="E270" ca="1">$B270-INDIRECT(ADDRESS(ROW()-E$2,2))</f>
        <v>-10.310000000000002</v>
      </c>
      <c r="F270" s="3">
        <v>52.349999999985755</v>
      </c>
      <c r="G270" s="3">
        <v>10120.679999999998</v>
      </c>
      <c r="H270" s="3">
        <f t="shared" si="4"/>
        <v>10173.029999999984</v>
      </c>
      <c r="I270" s="3"/>
      <c r="J270" s="3"/>
      <c r="K270" s="3"/>
    </row>
    <row r="271" spans="1:11">
      <c r="A271" s="3">
        <v>42678</v>
      </c>
      <c r="B271" s="3">
        <v>190.56</v>
      </c>
      <c r="C271" s="4" cm="1">
        <f t="array" aca="1" ref="C271" ca="1">$B271-INDIRECT(ADDRESS(ROW()-C$2,2))</f>
        <v>-11.680000000000007</v>
      </c>
      <c r="D271" s="4" cm="1">
        <f t="array" aca="1" ref="D271" ca="1">$B271-INDIRECT(ADDRESS(ROW()-D$2,2))</f>
        <v>-9.4099999999999966</v>
      </c>
      <c r="E271" s="4" cm="1">
        <f t="array" aca="1" ref="E271" ca="1">$B271-INDIRECT(ADDRESS(ROW()-E$2,2))</f>
        <v>-0.22999999999998977</v>
      </c>
      <c r="F271" s="3">
        <v>52.349999999985755</v>
      </c>
      <c r="G271" s="3">
        <v>10290.24</v>
      </c>
      <c r="H271" s="3">
        <f t="shared" si="4"/>
        <v>10342.589999999986</v>
      </c>
      <c r="I271" s="3"/>
      <c r="J271" s="3"/>
      <c r="K271" s="3"/>
    </row>
    <row r="272" spans="1:11">
      <c r="A272" s="3">
        <v>42681</v>
      </c>
      <c r="B272" s="3">
        <v>193.21</v>
      </c>
      <c r="C272" s="4" cm="1">
        <f t="array" aca="1" ref="C272" ca="1">$B272-INDIRECT(ADDRESS(ROW()-C$2,2))</f>
        <v>-10.799999999999983</v>
      </c>
      <c r="D272" s="4" cm="1">
        <f t="array" aca="1" ref="D272" ca="1">$B272-INDIRECT(ADDRESS(ROW()-D$2,2))</f>
        <v>-4.5199999999999818</v>
      </c>
      <c r="E272" s="4" cm="1">
        <f t="array" aca="1" ref="E272" ca="1">$B272-INDIRECT(ADDRESS(ROW()-E$2,2))</f>
        <v>5.1899999999999977</v>
      </c>
      <c r="F272" s="3">
        <v>52.349999999985755</v>
      </c>
      <c r="G272" s="3">
        <v>10433.34</v>
      </c>
      <c r="H272" s="3">
        <f t="shared" si="4"/>
        <v>10485.689999999986</v>
      </c>
      <c r="I272" s="3"/>
      <c r="J272" s="3"/>
      <c r="K272" s="3"/>
    </row>
    <row r="273" spans="1:11">
      <c r="A273" s="3">
        <v>42682</v>
      </c>
      <c r="B273" s="3">
        <v>194.94</v>
      </c>
      <c r="C273" s="4" cm="1">
        <f t="array" aca="1" ref="C273" ca="1">$B273-INDIRECT(ADDRESS(ROW()-C$2,2))</f>
        <v>-5.0300000000000011</v>
      </c>
      <c r="D273" s="4" cm="1">
        <f t="array" aca="1" ref="D273" ca="1">$B273-INDIRECT(ADDRESS(ROW()-D$2,2))</f>
        <v>4.1500000000000057</v>
      </c>
      <c r="E273" s="4" cm="1">
        <f t="array" aca="1" ref="E273" ca="1">$B273-INDIRECT(ADDRESS(ROW()-E$2,2))</f>
        <v>7.5200000000000102</v>
      </c>
      <c r="F273" s="3">
        <v>52.349999999985755</v>
      </c>
      <c r="G273" s="3">
        <v>10526.76</v>
      </c>
      <c r="H273" s="3">
        <f t="shared" si="4"/>
        <v>10579.109999999986</v>
      </c>
      <c r="I273" s="3"/>
      <c r="J273" s="3"/>
      <c r="K273" s="3"/>
    </row>
    <row r="274" spans="1:11">
      <c r="A274" s="3">
        <v>42683</v>
      </c>
      <c r="B274" s="3">
        <v>190.06</v>
      </c>
      <c r="C274" s="4" cm="1">
        <f t="array" aca="1" ref="C274" ca="1">$B274-INDIRECT(ADDRESS(ROW()-C$2,2))</f>
        <v>-7.6699999999999875</v>
      </c>
      <c r="D274" s="4" cm="1">
        <f t="array" aca="1" ref="D274" ca="1">$B274-INDIRECT(ADDRESS(ROW()-D$2,2))</f>
        <v>2.039999999999992</v>
      </c>
      <c r="E274" s="4" cm="1">
        <f t="array" aca="1" ref="E274" ca="1">$B274-INDIRECT(ADDRESS(ROW()-E$2,2))</f>
        <v>-0.5</v>
      </c>
      <c r="F274" s="3">
        <v>52.349999999985755</v>
      </c>
      <c r="G274" s="3">
        <v>10263.24</v>
      </c>
      <c r="H274" s="3">
        <f t="shared" si="4"/>
        <v>10315.589999999986</v>
      </c>
      <c r="I274" s="3"/>
      <c r="J274" s="3"/>
      <c r="K274" s="3"/>
    </row>
    <row r="275" spans="1:11">
      <c r="A275" s="3">
        <v>42684</v>
      </c>
      <c r="B275" s="3">
        <v>185.35</v>
      </c>
      <c r="C275" s="4" cm="1">
        <f t="array" aca="1" ref="C275" ca="1">$B275-INDIRECT(ADDRESS(ROW()-C$2,2))</f>
        <v>-5.4399999999999977</v>
      </c>
      <c r="D275" s="4" cm="1">
        <f t="array" aca="1" ref="D275" ca="1">$B275-INDIRECT(ADDRESS(ROW()-D$2,2))</f>
        <v>-2.0699999999999932</v>
      </c>
      <c r="E275" s="4" cm="1">
        <f t="array" aca="1" ref="E275" ca="1">$B275-INDIRECT(ADDRESS(ROW()-E$2,2))</f>
        <v>-7.8600000000000136</v>
      </c>
      <c r="F275" s="3">
        <v>52.349999999985755</v>
      </c>
      <c r="G275" s="3">
        <v>10008.9</v>
      </c>
      <c r="H275" s="3">
        <f t="shared" si="4"/>
        <v>10061.249999999985</v>
      </c>
      <c r="I275" s="3"/>
      <c r="J275" s="3"/>
      <c r="K275" s="3"/>
    </row>
    <row r="276" spans="1:11">
      <c r="A276" s="3">
        <v>42685</v>
      </c>
      <c r="B276" s="3">
        <v>188.56</v>
      </c>
      <c r="C276" s="4" cm="1">
        <f t="array" aca="1" ref="C276" ca="1">$B276-INDIRECT(ADDRESS(ROW()-C$2,2))</f>
        <v>0.53999999999999204</v>
      </c>
      <c r="D276" s="4" cm="1">
        <f t="array" aca="1" ref="D276" ca="1">$B276-INDIRECT(ADDRESS(ROW()-D$2,2))</f>
        <v>-2</v>
      </c>
      <c r="E276" s="4" cm="1">
        <f t="array" aca="1" ref="E276" ca="1">$B276-INDIRECT(ADDRESS(ROW()-E$2,2))</f>
        <v>-6.3799999999999955</v>
      </c>
      <c r="F276" s="3">
        <v>10234.589999999986</v>
      </c>
      <c r="G276" s="3">
        <v>0</v>
      </c>
      <c r="H276" s="3">
        <f t="shared" si="4"/>
        <v>10234.589999999986</v>
      </c>
      <c r="I276" s="3"/>
      <c r="J276" s="3"/>
      <c r="K276" s="3"/>
    </row>
    <row r="277" spans="1:11">
      <c r="A277" s="3">
        <v>42688</v>
      </c>
      <c r="B277" s="3">
        <v>181.45</v>
      </c>
      <c r="C277" s="4" cm="1">
        <f t="array" aca="1" ref="C277" ca="1">$B277-INDIRECT(ADDRESS(ROW()-C$2,2))</f>
        <v>-5.9699999999999989</v>
      </c>
      <c r="D277" s="4" cm="1">
        <f t="array" aca="1" ref="D277" ca="1">$B277-INDIRECT(ADDRESS(ROW()-D$2,2))</f>
        <v>-11.760000000000019</v>
      </c>
      <c r="E277" s="4" cm="1">
        <f t="array" aca="1" ref="E277" ca="1">$B277-INDIRECT(ADDRESS(ROW()-E$2,2))</f>
        <v>-8.6100000000000136</v>
      </c>
      <c r="F277" s="3">
        <v>10234.589999999986</v>
      </c>
      <c r="G277" s="3">
        <v>0</v>
      </c>
      <c r="H277" s="3">
        <f t="shared" si="4"/>
        <v>10234.589999999986</v>
      </c>
      <c r="I277" s="3"/>
      <c r="J277" s="3"/>
      <c r="K277" s="3"/>
    </row>
    <row r="278" spans="1:11">
      <c r="A278" s="3">
        <v>42689</v>
      </c>
      <c r="B278" s="3">
        <v>183.77</v>
      </c>
      <c r="C278" s="4" cm="1">
        <f t="array" aca="1" ref="C278" ca="1">$B278-INDIRECT(ADDRESS(ROW()-C$2,2))</f>
        <v>-6.789999999999992</v>
      </c>
      <c r="D278" s="4" cm="1">
        <f t="array" aca="1" ref="D278" ca="1">$B278-INDIRECT(ADDRESS(ROW()-D$2,2))</f>
        <v>-11.169999999999987</v>
      </c>
      <c r="E278" s="4" cm="1">
        <f t="array" aca="1" ref="E278" ca="1">$B278-INDIRECT(ADDRESS(ROW()-E$2,2))</f>
        <v>-1.5799999999999841</v>
      </c>
      <c r="F278" s="3">
        <v>10234.589999999986</v>
      </c>
      <c r="G278" s="3">
        <v>0</v>
      </c>
      <c r="H278" s="3">
        <f t="shared" si="4"/>
        <v>10234.589999999986</v>
      </c>
      <c r="I278" s="3"/>
      <c r="J278" s="3"/>
      <c r="K278" s="3"/>
    </row>
    <row r="279" spans="1:11">
      <c r="A279" s="3">
        <v>42690</v>
      </c>
      <c r="B279" s="3">
        <v>183.93</v>
      </c>
      <c r="C279" s="4" cm="1">
        <f t="array" aca="1" ref="C279" ca="1">$B279-INDIRECT(ADDRESS(ROW()-C$2,2))</f>
        <v>-9.2800000000000011</v>
      </c>
      <c r="D279" s="4" cm="1">
        <f t="array" aca="1" ref="D279" ca="1">$B279-INDIRECT(ADDRESS(ROW()-D$2,2))</f>
        <v>-6.1299999999999955</v>
      </c>
      <c r="E279" s="4" cm="1">
        <f t="array" aca="1" ref="E279" ca="1">$B279-INDIRECT(ADDRESS(ROW()-E$2,2))</f>
        <v>-4.6299999999999955</v>
      </c>
      <c r="F279" s="3">
        <v>10234.589999999986</v>
      </c>
      <c r="G279" s="3">
        <v>0</v>
      </c>
      <c r="H279" s="3">
        <f t="shared" si="4"/>
        <v>10234.589999999986</v>
      </c>
      <c r="I279" s="3"/>
      <c r="J279" s="3"/>
      <c r="K279" s="3"/>
    </row>
    <row r="280" spans="1:11">
      <c r="A280" s="3">
        <v>42691</v>
      </c>
      <c r="B280" s="3">
        <v>188.66</v>
      </c>
      <c r="C280" s="4" cm="1">
        <f t="array" aca="1" ref="C280" ca="1">$B280-INDIRECT(ADDRESS(ROW()-C$2,2))</f>
        <v>-6.2800000000000011</v>
      </c>
      <c r="D280" s="4" cm="1">
        <f t="array" aca="1" ref="D280" ca="1">$B280-INDIRECT(ADDRESS(ROW()-D$2,2))</f>
        <v>3.3100000000000023</v>
      </c>
      <c r="E280" s="4" cm="1">
        <f t="array" aca="1" ref="E280" ca="1">$B280-INDIRECT(ADDRESS(ROW()-E$2,2))</f>
        <v>7.210000000000008</v>
      </c>
      <c r="F280" s="3">
        <v>46.949999999991576</v>
      </c>
      <c r="G280" s="3">
        <v>10187.64</v>
      </c>
      <c r="H280" s="3">
        <f t="shared" si="4"/>
        <v>10234.589999999991</v>
      </c>
      <c r="I280" s="3"/>
      <c r="J280" s="3"/>
      <c r="K280" s="3"/>
    </row>
    <row r="281" spans="1:11">
      <c r="A281" s="3">
        <v>42692</v>
      </c>
      <c r="B281" s="3">
        <v>185.02</v>
      </c>
      <c r="C281" s="4" cm="1">
        <f t="array" aca="1" ref="C281" ca="1">$B281-INDIRECT(ADDRESS(ROW()-C$2,2))</f>
        <v>-5.039999999999992</v>
      </c>
      <c r="D281" s="4" cm="1">
        <f t="array" aca="1" ref="D281" ca="1">$B281-INDIRECT(ADDRESS(ROW()-D$2,2))</f>
        <v>-3.539999999999992</v>
      </c>
      <c r="E281" s="4" cm="1">
        <f t="array" aca="1" ref="E281" ca="1">$B281-INDIRECT(ADDRESS(ROW()-E$2,2))</f>
        <v>1.25</v>
      </c>
      <c r="F281" s="3">
        <v>46.949999999991576</v>
      </c>
      <c r="G281" s="3">
        <v>9991.08</v>
      </c>
      <c r="H281" s="3">
        <f t="shared" si="4"/>
        <v>10038.029999999992</v>
      </c>
      <c r="I281" s="3"/>
      <c r="J281" s="3"/>
      <c r="K281" s="3"/>
    </row>
    <row r="282" spans="1:11">
      <c r="A282" s="3">
        <v>42695</v>
      </c>
      <c r="B282" s="3">
        <v>184.52</v>
      </c>
      <c r="C282" s="4" cm="1">
        <f t="array" aca="1" ref="C282" ca="1">$B282-INDIRECT(ADDRESS(ROW()-C$2,2))</f>
        <v>-0.82999999999998408</v>
      </c>
      <c r="D282" s="4" cm="1">
        <f t="array" aca="1" ref="D282" ca="1">$B282-INDIRECT(ADDRESS(ROW()-D$2,2))</f>
        <v>3.0700000000000216</v>
      </c>
      <c r="E282" s="4" cm="1">
        <f t="array" aca="1" ref="E282" ca="1">$B282-INDIRECT(ADDRESS(ROW()-E$2,2))</f>
        <v>0.59000000000000341</v>
      </c>
      <c r="F282" s="3">
        <v>46.949999999991576</v>
      </c>
      <c r="G282" s="3">
        <v>9964.08</v>
      </c>
      <c r="H282" s="3">
        <f t="shared" si="4"/>
        <v>10011.029999999992</v>
      </c>
      <c r="I282" s="3"/>
      <c r="J282" s="3"/>
      <c r="K282" s="3"/>
    </row>
    <row r="283" spans="1:11">
      <c r="A283" s="3">
        <v>42696</v>
      </c>
      <c r="B283" s="3">
        <v>191.17</v>
      </c>
      <c r="C283" s="4" cm="1">
        <f t="array" aca="1" ref="C283" ca="1">$B283-INDIRECT(ADDRESS(ROW()-C$2,2))</f>
        <v>2.6099999999999852</v>
      </c>
      <c r="D283" s="4" cm="1">
        <f t="array" aca="1" ref="D283" ca="1">$B283-INDIRECT(ADDRESS(ROW()-D$2,2))</f>
        <v>7.3999999999999773</v>
      </c>
      <c r="E283" s="4" cm="1">
        <f t="array" aca="1" ref="E283" ca="1">$B283-INDIRECT(ADDRESS(ROW()-E$2,2))</f>
        <v>2.5099999999999909</v>
      </c>
      <c r="F283" s="3">
        <v>46.949999999991576</v>
      </c>
      <c r="G283" s="3">
        <v>10323.179999999998</v>
      </c>
      <c r="H283" s="3">
        <f t="shared" si="4"/>
        <v>10370.12999999999</v>
      </c>
      <c r="I283" s="3"/>
      <c r="J283" s="3"/>
      <c r="K283" s="3"/>
    </row>
    <row r="284" spans="1:11">
      <c r="A284" s="3">
        <v>42697</v>
      </c>
      <c r="B284" s="3">
        <v>193.14</v>
      </c>
      <c r="C284" s="4" cm="1">
        <f t="array" aca="1" ref="C284" ca="1">$B284-INDIRECT(ADDRESS(ROW()-C$2,2))</f>
        <v>11.689999999999998</v>
      </c>
      <c r="D284" s="4" cm="1">
        <f t="array" aca="1" ref="D284" ca="1">$B284-INDIRECT(ADDRESS(ROW()-D$2,2))</f>
        <v>9.2099999999999795</v>
      </c>
      <c r="E284" s="4" cm="1">
        <f t="array" aca="1" ref="E284" ca="1">$B284-INDIRECT(ADDRESS(ROW()-E$2,2))</f>
        <v>8.1199999999999761</v>
      </c>
      <c r="F284" s="3">
        <v>46.949999999991576</v>
      </c>
      <c r="G284" s="3">
        <v>10429.56</v>
      </c>
      <c r="H284" s="3">
        <f t="shared" si="4"/>
        <v>10476.509999999991</v>
      </c>
      <c r="I284" s="3"/>
      <c r="J284" s="3"/>
      <c r="K284" s="3"/>
    </row>
    <row r="285" spans="1:11">
      <c r="A285" s="3">
        <v>42699</v>
      </c>
      <c r="B285" s="3">
        <v>196.65</v>
      </c>
      <c r="C285" s="4" cm="1">
        <f t="array" aca="1" ref="C285" ca="1">$B285-INDIRECT(ADDRESS(ROW()-C$2,2))</f>
        <v>12.879999999999995</v>
      </c>
      <c r="D285" s="4" cm="1">
        <f t="array" aca="1" ref="D285" ca="1">$B285-INDIRECT(ADDRESS(ROW()-D$2,2))</f>
        <v>7.9900000000000091</v>
      </c>
      <c r="E285" s="4" cm="1">
        <f t="array" aca="1" ref="E285" ca="1">$B285-INDIRECT(ADDRESS(ROW()-E$2,2))</f>
        <v>12.129999999999995</v>
      </c>
      <c r="F285" s="3">
        <v>46.949999999991576</v>
      </c>
      <c r="G285" s="3">
        <v>10619.1</v>
      </c>
      <c r="H285" s="3">
        <f t="shared" si="4"/>
        <v>10666.049999999992</v>
      </c>
      <c r="I285" s="3"/>
      <c r="J285" s="3"/>
      <c r="K285" s="3"/>
    </row>
    <row r="286" spans="1:11">
      <c r="A286" s="3">
        <v>42702</v>
      </c>
      <c r="B286" s="3">
        <v>196.12</v>
      </c>
      <c r="C286" s="4" cm="1">
        <f t="array" aca="1" ref="C286" ca="1">$B286-INDIRECT(ADDRESS(ROW()-C$2,2))</f>
        <v>12.189999999999998</v>
      </c>
      <c r="D286" s="4" cm="1">
        <f t="array" aca="1" ref="D286" ca="1">$B286-INDIRECT(ADDRESS(ROW()-D$2,2))</f>
        <v>11.099999999999994</v>
      </c>
      <c r="E286" s="4" cm="1">
        <f t="array" aca="1" ref="E286" ca="1">$B286-INDIRECT(ADDRESS(ROW()-E$2,2))</f>
        <v>4.9500000000000171</v>
      </c>
      <c r="F286" s="3">
        <v>46.949999999991576</v>
      </c>
      <c r="G286" s="3">
        <v>10590.48</v>
      </c>
      <c r="H286" s="3">
        <f t="shared" si="4"/>
        <v>10637.429999999991</v>
      </c>
      <c r="I286" s="3"/>
      <c r="J286" s="3"/>
      <c r="K286" s="3"/>
    </row>
    <row r="287" spans="1:11">
      <c r="A287" s="3">
        <v>42703</v>
      </c>
      <c r="B287" s="3">
        <v>189.57</v>
      </c>
      <c r="C287" s="4" cm="1">
        <f t="array" aca="1" ref="C287" ca="1">$B287-INDIRECT(ADDRESS(ROW()-C$2,2))</f>
        <v>0.90999999999999659</v>
      </c>
      <c r="D287" s="4" cm="1">
        <f t="array" aca="1" ref="D287" ca="1">$B287-INDIRECT(ADDRESS(ROW()-D$2,2))</f>
        <v>5.0499999999999829</v>
      </c>
      <c r="E287" s="4" cm="1">
        <f t="array" aca="1" ref="E287" ca="1">$B287-INDIRECT(ADDRESS(ROW()-E$2,2))</f>
        <v>-3.5699999999999932</v>
      </c>
      <c r="F287" s="3">
        <v>46.949999999991576</v>
      </c>
      <c r="G287" s="3">
        <v>10236.779999999999</v>
      </c>
      <c r="H287" s="3">
        <f t="shared" si="4"/>
        <v>10283.72999999999</v>
      </c>
      <c r="I287" s="3"/>
      <c r="J287" s="3"/>
      <c r="K287" s="3"/>
    </row>
    <row r="288" spans="1:11">
      <c r="A288" s="3">
        <v>42704</v>
      </c>
      <c r="B288" s="3">
        <v>189.4</v>
      </c>
      <c r="C288" s="4" cm="1">
        <f t="array" aca="1" ref="C288" ca="1">$B288-INDIRECT(ADDRESS(ROW()-C$2,2))</f>
        <v>4.3799999999999955</v>
      </c>
      <c r="D288" s="4" cm="1">
        <f t="array" aca="1" ref="D288" ca="1">$B288-INDIRECT(ADDRESS(ROW()-D$2,2))</f>
        <v>-1.7699999999999818</v>
      </c>
      <c r="E288" s="4" cm="1">
        <f t="array" aca="1" ref="E288" ca="1">$B288-INDIRECT(ADDRESS(ROW()-E$2,2))</f>
        <v>-7.25</v>
      </c>
      <c r="F288" s="3">
        <v>10274.549999999992</v>
      </c>
      <c r="G288" s="3">
        <v>0</v>
      </c>
      <c r="H288" s="3">
        <f t="shared" si="4"/>
        <v>10274.549999999992</v>
      </c>
      <c r="I288" s="3"/>
      <c r="J288" s="3"/>
      <c r="K288" s="3"/>
    </row>
    <row r="289" spans="1:11">
      <c r="A289" s="3">
        <v>42705</v>
      </c>
      <c r="B289" s="3">
        <v>181.88</v>
      </c>
      <c r="C289" s="4" cm="1">
        <f t="array" aca="1" ref="C289" ca="1">$B289-INDIRECT(ADDRESS(ROW()-C$2,2))</f>
        <v>-2.6400000000000148</v>
      </c>
      <c r="D289" s="4" cm="1">
        <f t="array" aca="1" ref="D289" ca="1">$B289-INDIRECT(ADDRESS(ROW()-D$2,2))</f>
        <v>-11.259999999999991</v>
      </c>
      <c r="E289" s="4" cm="1">
        <f t="array" aca="1" ref="E289" ca="1">$B289-INDIRECT(ADDRESS(ROW()-E$2,2))</f>
        <v>-14.240000000000009</v>
      </c>
      <c r="F289" s="3">
        <v>10274.549999999992</v>
      </c>
      <c r="G289" s="3">
        <v>0</v>
      </c>
      <c r="H289" s="3">
        <f t="shared" si="4"/>
        <v>10274.549999999992</v>
      </c>
      <c r="I289" s="3"/>
      <c r="J289" s="3"/>
      <c r="K289" s="3"/>
    </row>
    <row r="290" spans="1:11">
      <c r="A290" s="3">
        <v>42706</v>
      </c>
      <c r="B290" s="3">
        <v>181.47</v>
      </c>
      <c r="C290" s="4" cm="1">
        <f t="array" aca="1" ref="C290" ca="1">$B290-INDIRECT(ADDRESS(ROW()-C$2,2))</f>
        <v>-9.6999999999999886</v>
      </c>
      <c r="D290" s="4" cm="1">
        <f t="array" aca="1" ref="D290" ca="1">$B290-INDIRECT(ADDRESS(ROW()-D$2,2))</f>
        <v>-15.180000000000007</v>
      </c>
      <c r="E290" s="4" cm="1">
        <f t="array" aca="1" ref="E290" ca="1">$B290-INDIRECT(ADDRESS(ROW()-E$2,2))</f>
        <v>-8.0999999999999943</v>
      </c>
      <c r="F290" s="3">
        <v>10274.549999999992</v>
      </c>
      <c r="G290" s="3">
        <v>0</v>
      </c>
      <c r="H290" s="3">
        <f t="shared" si="4"/>
        <v>10274.549999999992</v>
      </c>
      <c r="I290" s="3"/>
      <c r="J290" s="3"/>
      <c r="K290" s="3"/>
    </row>
    <row r="291" spans="1:11">
      <c r="A291" s="3">
        <v>42709</v>
      </c>
      <c r="B291" s="3">
        <v>186.8</v>
      </c>
      <c r="C291" s="4" cm="1">
        <f t="array" aca="1" ref="C291" ca="1">$B291-INDIRECT(ADDRESS(ROW()-C$2,2))</f>
        <v>-6.339999999999975</v>
      </c>
      <c r="D291" s="4" cm="1">
        <f t="array" aca="1" ref="D291" ca="1">$B291-INDIRECT(ADDRESS(ROW()-D$2,2))</f>
        <v>-9.3199999999999932</v>
      </c>
      <c r="E291" s="4" cm="1">
        <f t="array" aca="1" ref="E291" ca="1">$B291-INDIRECT(ADDRESS(ROW()-E$2,2))</f>
        <v>-2.5999999999999943</v>
      </c>
      <c r="F291" s="3">
        <v>10274.549999999992</v>
      </c>
      <c r="G291" s="3">
        <v>0</v>
      </c>
      <c r="H291" s="3">
        <f t="shared" si="4"/>
        <v>10274.549999999992</v>
      </c>
      <c r="I291" s="3"/>
      <c r="J291" s="3"/>
      <c r="K291" s="3"/>
    </row>
    <row r="292" spans="1:11">
      <c r="A292" s="3">
        <v>42710</v>
      </c>
      <c r="B292" s="3">
        <v>185.85</v>
      </c>
      <c r="C292" s="4" cm="1">
        <f t="array" aca="1" ref="C292" ca="1">$B292-INDIRECT(ADDRESS(ROW()-C$2,2))</f>
        <v>-10.800000000000011</v>
      </c>
      <c r="D292" s="4" cm="1">
        <f t="array" aca="1" ref="D292" ca="1">$B292-INDIRECT(ADDRESS(ROW()-D$2,2))</f>
        <v>-3.7199999999999989</v>
      </c>
      <c r="E292" s="4" cm="1">
        <f t="array" aca="1" ref="E292" ca="1">$B292-INDIRECT(ADDRESS(ROW()-E$2,2))</f>
        <v>3.9699999999999989</v>
      </c>
      <c r="F292" s="3">
        <v>10274.549999999992</v>
      </c>
      <c r="G292" s="3">
        <v>0</v>
      </c>
      <c r="H292" s="3">
        <f t="shared" si="4"/>
        <v>10274.549999999992</v>
      </c>
      <c r="I292" s="3"/>
      <c r="J292" s="3"/>
      <c r="K292" s="3"/>
    </row>
    <row r="293" spans="1:11">
      <c r="A293" s="3">
        <v>42711</v>
      </c>
      <c r="B293" s="3">
        <v>193.15</v>
      </c>
      <c r="C293" s="4" cm="1">
        <f t="array" aca="1" ref="C293" ca="1">$B293-INDIRECT(ADDRESS(ROW()-C$2,2))</f>
        <v>-2.9699999999999989</v>
      </c>
      <c r="D293" s="4" cm="1">
        <f t="array" aca="1" ref="D293" ca="1">$B293-INDIRECT(ADDRESS(ROW()-D$2,2))</f>
        <v>3.75</v>
      </c>
      <c r="E293" s="4" cm="1">
        <f t="array" aca="1" ref="E293" ca="1">$B293-INDIRECT(ADDRESS(ROW()-E$2,2))</f>
        <v>11.680000000000007</v>
      </c>
      <c r="F293" s="3">
        <v>37.600000000001899</v>
      </c>
      <c r="G293" s="3">
        <v>10236.950000000001</v>
      </c>
      <c r="H293" s="3">
        <f t="shared" si="4"/>
        <v>10274.550000000003</v>
      </c>
      <c r="I293" s="3"/>
      <c r="J293" s="3"/>
      <c r="K293" s="3"/>
    </row>
    <row r="294" spans="1:11">
      <c r="A294" s="3">
        <v>42712</v>
      </c>
      <c r="B294" s="3">
        <v>192.29</v>
      </c>
      <c r="C294" s="4" cm="1">
        <f t="array" aca="1" ref="C294" ca="1">$B294-INDIRECT(ADDRESS(ROW()-C$2,2))</f>
        <v>2.7199999999999989</v>
      </c>
      <c r="D294" s="4" cm="1">
        <f t="array" aca="1" ref="D294" ca="1">$B294-INDIRECT(ADDRESS(ROW()-D$2,2))</f>
        <v>10.409999999999997</v>
      </c>
      <c r="E294" s="4" cm="1">
        <f t="array" aca="1" ref="E294" ca="1">$B294-INDIRECT(ADDRESS(ROW()-E$2,2))</f>
        <v>5.4899999999999807</v>
      </c>
      <c r="F294" s="3">
        <v>37.600000000001899</v>
      </c>
      <c r="G294" s="3">
        <v>10191.369999999999</v>
      </c>
      <c r="H294" s="3">
        <f t="shared" si="4"/>
        <v>10228.970000000001</v>
      </c>
      <c r="I294" s="3"/>
      <c r="J294" s="3"/>
      <c r="K294" s="3"/>
    </row>
    <row r="295" spans="1:11">
      <c r="A295" s="3">
        <v>42713</v>
      </c>
      <c r="B295" s="3">
        <v>192.18</v>
      </c>
      <c r="C295" s="4" cm="1">
        <f t="array" aca="1" ref="C295" ca="1">$B295-INDIRECT(ADDRESS(ROW()-C$2,2))</f>
        <v>2.7800000000000011</v>
      </c>
      <c r="D295" s="4" cm="1">
        <f t="array" aca="1" ref="D295" ca="1">$B295-INDIRECT(ADDRESS(ROW()-D$2,2))</f>
        <v>10.710000000000008</v>
      </c>
      <c r="E295" s="4" cm="1">
        <f t="array" aca="1" ref="E295" ca="1">$B295-INDIRECT(ADDRESS(ROW()-E$2,2))</f>
        <v>6.3300000000000125</v>
      </c>
      <c r="F295" s="3">
        <v>37.600000000001899</v>
      </c>
      <c r="G295" s="3">
        <v>10185.540000000001</v>
      </c>
      <c r="H295" s="3">
        <f t="shared" si="4"/>
        <v>10223.140000000003</v>
      </c>
      <c r="I295" s="3"/>
      <c r="J295" s="3"/>
      <c r="K295" s="3"/>
    </row>
    <row r="296" spans="1:11">
      <c r="A296" s="3">
        <v>42716</v>
      </c>
      <c r="B296" s="3">
        <v>192.43</v>
      </c>
      <c r="C296" s="4" cm="1">
        <f t="array" aca="1" ref="C296" ca="1">$B296-INDIRECT(ADDRESS(ROW()-C$2,2))</f>
        <v>10.550000000000011</v>
      </c>
      <c r="D296" s="4" cm="1">
        <f t="array" aca="1" ref="D296" ca="1">$B296-INDIRECT(ADDRESS(ROW()-D$2,2))</f>
        <v>5.6299999999999955</v>
      </c>
      <c r="E296" s="4" cm="1">
        <f t="array" aca="1" ref="E296" ca="1">$B296-INDIRECT(ADDRESS(ROW()-E$2,2))</f>
        <v>-0.71999999999999886</v>
      </c>
      <c r="F296" s="3">
        <v>37.600000000001899</v>
      </c>
      <c r="G296" s="3">
        <v>10198.790000000001</v>
      </c>
      <c r="H296" s="3">
        <f t="shared" si="4"/>
        <v>10236.390000000003</v>
      </c>
      <c r="I296" s="3"/>
      <c r="J296" s="3"/>
      <c r="K296" s="3"/>
    </row>
    <row r="297" spans="1:11">
      <c r="A297" s="3">
        <v>42717</v>
      </c>
      <c r="B297" s="3">
        <v>198.15</v>
      </c>
      <c r="C297" s="4" cm="1">
        <f t="array" aca="1" ref="C297" ca="1">$B297-INDIRECT(ADDRESS(ROW()-C$2,2))</f>
        <v>16.680000000000007</v>
      </c>
      <c r="D297" s="4" cm="1">
        <f t="array" aca="1" ref="D297" ca="1">$B297-INDIRECT(ADDRESS(ROW()-D$2,2))</f>
        <v>12.300000000000011</v>
      </c>
      <c r="E297" s="4" cm="1">
        <f t="array" aca="1" ref="E297" ca="1">$B297-INDIRECT(ADDRESS(ROW()-E$2,2))</f>
        <v>5.8600000000000136</v>
      </c>
      <c r="F297" s="3">
        <v>37.600000000001899</v>
      </c>
      <c r="G297" s="3">
        <v>10501.95</v>
      </c>
      <c r="H297" s="3">
        <f t="shared" si="4"/>
        <v>10539.550000000003</v>
      </c>
      <c r="I297" s="3"/>
      <c r="J297" s="3"/>
      <c r="K297" s="3"/>
    </row>
    <row r="298" spans="1:11">
      <c r="A298" s="3">
        <v>42718</v>
      </c>
      <c r="B298" s="3">
        <v>198.69</v>
      </c>
      <c r="C298" s="4" cm="1">
        <f t="array" aca="1" ref="C298" ca="1">$B298-INDIRECT(ADDRESS(ROW()-C$2,2))</f>
        <v>11.889999999999986</v>
      </c>
      <c r="D298" s="4" cm="1">
        <f t="array" aca="1" ref="D298" ca="1">$B298-INDIRECT(ADDRESS(ROW()-D$2,2))</f>
        <v>5.539999999999992</v>
      </c>
      <c r="E298" s="4" cm="1">
        <f t="array" aca="1" ref="E298" ca="1">$B298-INDIRECT(ADDRESS(ROW()-E$2,2))</f>
        <v>6.5099999999999909</v>
      </c>
      <c r="F298" s="3">
        <v>37.600000000001899</v>
      </c>
      <c r="G298" s="3">
        <v>10530.57</v>
      </c>
      <c r="H298" s="3">
        <f t="shared" si="4"/>
        <v>10568.170000000002</v>
      </c>
      <c r="I298" s="3"/>
      <c r="J298" s="3"/>
      <c r="K298" s="3"/>
    </row>
    <row r="299" spans="1:11">
      <c r="A299" s="3">
        <v>42719</v>
      </c>
      <c r="B299" s="3">
        <v>197.58</v>
      </c>
      <c r="C299" s="4" cm="1">
        <f t="array" aca="1" ref="C299" ca="1">$B299-INDIRECT(ADDRESS(ROW()-C$2,2))</f>
        <v>11.730000000000018</v>
      </c>
      <c r="D299" s="4" cm="1">
        <f t="array" aca="1" ref="D299" ca="1">$B299-INDIRECT(ADDRESS(ROW()-D$2,2))</f>
        <v>5.2900000000000205</v>
      </c>
      <c r="E299" s="4" cm="1">
        <f t="array" aca="1" ref="E299" ca="1">$B299-INDIRECT(ADDRESS(ROW()-E$2,2))</f>
        <v>5.1500000000000057</v>
      </c>
      <c r="F299" s="3">
        <v>37.600000000001899</v>
      </c>
      <c r="G299" s="3">
        <v>10471.74</v>
      </c>
      <c r="H299" s="3">
        <f t="shared" si="4"/>
        <v>10509.340000000002</v>
      </c>
      <c r="I299" s="3"/>
      <c r="J299" s="3"/>
      <c r="K299" s="3"/>
    </row>
    <row r="300" spans="1:11">
      <c r="A300" s="3">
        <v>42720</v>
      </c>
      <c r="B300" s="3">
        <v>202.49</v>
      </c>
      <c r="C300" s="4" cm="1">
        <f t="array" aca="1" ref="C300" ca="1">$B300-INDIRECT(ADDRESS(ROW()-C$2,2))</f>
        <v>9.3400000000000034</v>
      </c>
      <c r="D300" s="4" cm="1">
        <f t="array" aca="1" ref="D300" ca="1">$B300-INDIRECT(ADDRESS(ROW()-D$2,2))</f>
        <v>10.310000000000002</v>
      </c>
      <c r="E300" s="4" cm="1">
        <f t="array" aca="1" ref="E300" ca="1">$B300-INDIRECT(ADDRESS(ROW()-E$2,2))</f>
        <v>4.3400000000000034</v>
      </c>
      <c r="F300" s="3">
        <v>37.600000000001899</v>
      </c>
      <c r="G300" s="3">
        <v>10731.970000000001</v>
      </c>
      <c r="H300" s="3">
        <f t="shared" si="4"/>
        <v>10769.570000000003</v>
      </c>
      <c r="I300" s="3"/>
      <c r="J300" s="3"/>
      <c r="K300" s="3"/>
    </row>
    <row r="301" spans="1:11">
      <c r="A301" s="3">
        <v>42723</v>
      </c>
      <c r="B301" s="3">
        <v>202.73</v>
      </c>
      <c r="C301" s="4" cm="1">
        <f t="array" aca="1" ref="C301" ca="1">$B301-INDIRECT(ADDRESS(ROW()-C$2,2))</f>
        <v>10.439999999999998</v>
      </c>
      <c r="D301" s="4" cm="1">
        <f t="array" aca="1" ref="D301" ca="1">$B301-INDIRECT(ADDRESS(ROW()-D$2,2))</f>
        <v>10.299999999999983</v>
      </c>
      <c r="E301" s="4" cm="1">
        <f t="array" aca="1" ref="E301" ca="1">$B301-INDIRECT(ADDRESS(ROW()-E$2,2))</f>
        <v>4.039999999999992</v>
      </c>
      <c r="F301" s="3">
        <v>37.600000000001899</v>
      </c>
      <c r="G301" s="3">
        <v>10744.689999999999</v>
      </c>
      <c r="H301" s="3">
        <f t="shared" si="4"/>
        <v>10782.29</v>
      </c>
      <c r="I301" s="3"/>
      <c r="J301" s="3"/>
      <c r="K301" s="3"/>
    </row>
    <row r="302" spans="1:11">
      <c r="A302" s="3">
        <v>42724</v>
      </c>
      <c r="B302" s="3">
        <v>208.79</v>
      </c>
      <c r="C302" s="4" cm="1">
        <f t="array" aca="1" ref="C302" ca="1">$B302-INDIRECT(ADDRESS(ROW()-C$2,2))</f>
        <v>16.609999999999985</v>
      </c>
      <c r="D302" s="4" cm="1">
        <f t="array" aca="1" ref="D302" ca="1">$B302-INDIRECT(ADDRESS(ROW()-D$2,2))</f>
        <v>10.639999999999986</v>
      </c>
      <c r="E302" s="4" cm="1">
        <f t="array" aca="1" ref="E302" ca="1">$B302-INDIRECT(ADDRESS(ROW()-E$2,2))</f>
        <v>11.20999999999998</v>
      </c>
      <c r="F302" s="3">
        <v>37.600000000001899</v>
      </c>
      <c r="G302" s="3">
        <v>11065.869999999999</v>
      </c>
      <c r="H302" s="3">
        <f t="shared" si="4"/>
        <v>11103.470000000001</v>
      </c>
      <c r="I302" s="3"/>
      <c r="J302" s="3"/>
      <c r="K302" s="3"/>
    </row>
    <row r="303" spans="1:11">
      <c r="A303" s="3">
        <v>42725</v>
      </c>
      <c r="B303" s="3">
        <v>207.7</v>
      </c>
      <c r="C303" s="4" cm="1">
        <f t="array" aca="1" ref="C303" ca="1">$B303-INDIRECT(ADDRESS(ROW()-C$2,2))</f>
        <v>15.269999999999982</v>
      </c>
      <c r="D303" s="4" cm="1">
        <f t="array" aca="1" ref="D303" ca="1">$B303-INDIRECT(ADDRESS(ROW()-D$2,2))</f>
        <v>9.0099999999999909</v>
      </c>
      <c r="E303" s="4" cm="1">
        <f t="array" aca="1" ref="E303" ca="1">$B303-INDIRECT(ADDRESS(ROW()-E$2,2))</f>
        <v>5.2099999999999795</v>
      </c>
      <c r="F303" s="3">
        <v>37.600000000001899</v>
      </c>
      <c r="G303" s="3">
        <v>11008.099999999999</v>
      </c>
      <c r="H303" s="3">
        <f t="shared" ref="H303:H366" si="5">G303+F303</f>
        <v>11045.7</v>
      </c>
      <c r="I303" s="3"/>
      <c r="J303" s="3"/>
      <c r="K303" s="3"/>
    </row>
    <row r="304" spans="1:11">
      <c r="A304" s="3">
        <v>42726</v>
      </c>
      <c r="B304" s="3">
        <v>208.45</v>
      </c>
      <c r="C304" s="4" cm="1">
        <f t="array" aca="1" ref="C304" ca="1">$B304-INDIRECT(ADDRESS(ROW()-C$2,2))</f>
        <v>10.299999999999983</v>
      </c>
      <c r="D304" s="4" cm="1">
        <f t="array" aca="1" ref="D304" ca="1">$B304-INDIRECT(ADDRESS(ROW()-D$2,2))</f>
        <v>10.869999999999976</v>
      </c>
      <c r="E304" s="4" cm="1">
        <f t="array" aca="1" ref="E304" ca="1">$B304-INDIRECT(ADDRESS(ROW()-E$2,2))</f>
        <v>5.7199999999999989</v>
      </c>
      <c r="F304" s="3">
        <v>37.600000000001899</v>
      </c>
      <c r="G304" s="3">
        <v>11047.849999999999</v>
      </c>
      <c r="H304" s="3">
        <f t="shared" si="5"/>
        <v>11085.45</v>
      </c>
      <c r="I304" s="3"/>
      <c r="J304" s="3"/>
      <c r="K304" s="3"/>
    </row>
    <row r="305" spans="1:11">
      <c r="A305" s="3">
        <v>42727</v>
      </c>
      <c r="B305" s="3">
        <v>213.34</v>
      </c>
      <c r="C305" s="4" cm="1">
        <f t="array" aca="1" ref="C305" ca="1">$B305-INDIRECT(ADDRESS(ROW()-C$2,2))</f>
        <v>14.650000000000006</v>
      </c>
      <c r="D305" s="4" cm="1">
        <f t="array" aca="1" ref="D305" ca="1">$B305-INDIRECT(ADDRESS(ROW()-D$2,2))</f>
        <v>10.849999999999994</v>
      </c>
      <c r="E305" s="4" cm="1">
        <f t="array" aca="1" ref="E305" ca="1">$B305-INDIRECT(ADDRESS(ROW()-E$2,2))</f>
        <v>4.5500000000000114</v>
      </c>
      <c r="F305" s="3">
        <v>37.600000000001899</v>
      </c>
      <c r="G305" s="3">
        <v>11307.02</v>
      </c>
      <c r="H305" s="3">
        <f t="shared" si="5"/>
        <v>11344.620000000003</v>
      </c>
      <c r="I305" s="3"/>
      <c r="J305" s="3"/>
      <c r="K305" s="3"/>
    </row>
    <row r="306" spans="1:11">
      <c r="A306" s="3">
        <v>42731</v>
      </c>
      <c r="B306" s="3">
        <v>219.53</v>
      </c>
      <c r="C306" s="4" cm="1">
        <f t="array" aca="1" ref="C306" ca="1">$B306-INDIRECT(ADDRESS(ROW()-C$2,2))</f>
        <v>21.949999999999989</v>
      </c>
      <c r="D306" s="4" cm="1">
        <f t="array" aca="1" ref="D306" ca="1">$B306-INDIRECT(ADDRESS(ROW()-D$2,2))</f>
        <v>16.800000000000011</v>
      </c>
      <c r="E306" s="4" cm="1">
        <f t="array" aca="1" ref="E306" ca="1">$B306-INDIRECT(ADDRESS(ROW()-E$2,2))</f>
        <v>11.830000000000013</v>
      </c>
      <c r="F306" s="3">
        <v>37.600000000001899</v>
      </c>
      <c r="G306" s="3">
        <v>11635.09</v>
      </c>
      <c r="H306" s="3">
        <f t="shared" si="5"/>
        <v>11672.690000000002</v>
      </c>
      <c r="I306" s="3"/>
      <c r="J306" s="3"/>
      <c r="K306" s="3"/>
    </row>
    <row r="307" spans="1:11">
      <c r="A307" s="3">
        <v>42732</v>
      </c>
      <c r="B307" s="3">
        <v>219.74</v>
      </c>
      <c r="C307" s="4" cm="1">
        <f t="array" aca="1" ref="C307" ca="1">$B307-INDIRECT(ADDRESS(ROW()-C$2,2))</f>
        <v>17.25</v>
      </c>
      <c r="D307" s="4" cm="1">
        <f t="array" aca="1" ref="D307" ca="1">$B307-INDIRECT(ADDRESS(ROW()-D$2,2))</f>
        <v>10.950000000000017</v>
      </c>
      <c r="E307" s="4" cm="1">
        <f t="array" aca="1" ref="E307" ca="1">$B307-INDIRECT(ADDRESS(ROW()-E$2,2))</f>
        <v>11.29000000000002</v>
      </c>
      <c r="F307" s="3">
        <v>37.600000000001899</v>
      </c>
      <c r="G307" s="3">
        <v>11646.220000000001</v>
      </c>
      <c r="H307" s="3">
        <f t="shared" si="5"/>
        <v>11683.820000000003</v>
      </c>
      <c r="I307" s="3"/>
      <c r="J307" s="3"/>
      <c r="K307" s="3"/>
    </row>
    <row r="308" spans="1:11">
      <c r="A308" s="3">
        <v>42733</v>
      </c>
      <c r="B308" s="3">
        <v>214.68</v>
      </c>
      <c r="C308" s="4" cm="1">
        <f t="array" aca="1" ref="C308" ca="1">$B308-INDIRECT(ADDRESS(ROW()-C$2,2))</f>
        <v>11.950000000000017</v>
      </c>
      <c r="D308" s="4" cm="1">
        <f t="array" aca="1" ref="D308" ca="1">$B308-INDIRECT(ADDRESS(ROW()-D$2,2))</f>
        <v>6.9800000000000182</v>
      </c>
      <c r="E308" s="4" cm="1">
        <f t="array" aca="1" ref="E308" ca="1">$B308-INDIRECT(ADDRESS(ROW()-E$2,2))</f>
        <v>1.3400000000000034</v>
      </c>
      <c r="F308" s="3">
        <v>37.600000000001899</v>
      </c>
      <c r="G308" s="3">
        <v>11378.04</v>
      </c>
      <c r="H308" s="3">
        <f t="shared" si="5"/>
        <v>11415.640000000003</v>
      </c>
      <c r="I308" s="3"/>
      <c r="J308" s="3"/>
      <c r="K308" s="3"/>
    </row>
    <row r="309" spans="1:11">
      <c r="A309" s="3">
        <v>42734</v>
      </c>
      <c r="B309" s="3">
        <v>213.69</v>
      </c>
      <c r="C309" s="4" cm="1">
        <f t="array" aca="1" ref="C309" ca="1">$B309-INDIRECT(ADDRESS(ROW()-C$2,2))</f>
        <v>4.9000000000000057</v>
      </c>
      <c r="D309" s="4" cm="1">
        <f t="array" aca="1" ref="D309" ca="1">$B309-INDIRECT(ADDRESS(ROW()-D$2,2))</f>
        <v>5.2400000000000091</v>
      </c>
      <c r="E309" s="4" cm="1">
        <f t="array" aca="1" ref="E309" ca="1">$B309-INDIRECT(ADDRESS(ROW()-E$2,2))</f>
        <v>-5.8400000000000034</v>
      </c>
      <c r="F309" s="3">
        <v>37.600000000001899</v>
      </c>
      <c r="G309" s="3">
        <v>11325.57</v>
      </c>
      <c r="H309" s="3">
        <f t="shared" si="5"/>
        <v>11363.170000000002</v>
      </c>
      <c r="I309" s="3"/>
      <c r="J309" s="3"/>
      <c r="K309" s="3"/>
    </row>
    <row r="310" spans="1:11">
      <c r="A310" s="3">
        <v>42738</v>
      </c>
      <c r="B310" s="3">
        <v>216.99</v>
      </c>
      <c r="C310" s="4" cm="1">
        <f t="array" aca="1" ref="C310" ca="1">$B310-INDIRECT(ADDRESS(ROW()-C$2,2))</f>
        <v>9.2900000000000205</v>
      </c>
      <c r="D310" s="4" cm="1">
        <f t="array" aca="1" ref="D310" ca="1">$B310-INDIRECT(ADDRESS(ROW()-D$2,2))</f>
        <v>3.6500000000000057</v>
      </c>
      <c r="E310" s="4" cm="1">
        <f t="array" aca="1" ref="E310" ca="1">$B310-INDIRECT(ADDRESS(ROW()-E$2,2))</f>
        <v>-2.75</v>
      </c>
      <c r="F310" s="3">
        <v>37.600000000001899</v>
      </c>
      <c r="G310" s="3">
        <v>11500.470000000001</v>
      </c>
      <c r="H310" s="3">
        <f t="shared" si="5"/>
        <v>11538.070000000003</v>
      </c>
      <c r="I310" s="3"/>
      <c r="J310" s="3"/>
      <c r="K310" s="3"/>
    </row>
    <row r="311" spans="1:11">
      <c r="A311" s="3">
        <v>42739</v>
      </c>
      <c r="B311" s="3">
        <v>226.99</v>
      </c>
      <c r="C311" s="4" cm="1">
        <f t="array" aca="1" ref="C311" ca="1">$B311-INDIRECT(ADDRESS(ROW()-C$2,2))</f>
        <v>18.54000000000002</v>
      </c>
      <c r="D311" s="4" cm="1">
        <f t="array" aca="1" ref="D311" ca="1">$B311-INDIRECT(ADDRESS(ROW()-D$2,2))</f>
        <v>7.460000000000008</v>
      </c>
      <c r="E311" s="4" cm="1">
        <f t="array" aca="1" ref="E311" ca="1">$B311-INDIRECT(ADDRESS(ROW()-E$2,2))</f>
        <v>12.310000000000002</v>
      </c>
      <c r="F311" s="3">
        <v>37.600000000001899</v>
      </c>
      <c r="G311" s="3">
        <v>12030.470000000001</v>
      </c>
      <c r="H311" s="3">
        <f t="shared" si="5"/>
        <v>12068.070000000003</v>
      </c>
      <c r="I311" s="3"/>
      <c r="J311" s="3"/>
      <c r="K311" s="3"/>
    </row>
    <row r="312" spans="1:11">
      <c r="A312" s="3">
        <v>42740</v>
      </c>
      <c r="B312" s="3">
        <v>226.75</v>
      </c>
      <c r="C312" s="4" cm="1">
        <f t="array" aca="1" ref="C312" ca="1">$B312-INDIRECT(ADDRESS(ROW()-C$2,2))</f>
        <v>13.409999999999997</v>
      </c>
      <c r="D312" s="4" cm="1">
        <f t="array" aca="1" ref="D312" ca="1">$B312-INDIRECT(ADDRESS(ROW()-D$2,2))</f>
        <v>7.0099999999999909</v>
      </c>
      <c r="E312" s="4" cm="1">
        <f t="array" aca="1" ref="E312" ca="1">$B312-INDIRECT(ADDRESS(ROW()-E$2,2))</f>
        <v>13.060000000000002</v>
      </c>
      <c r="F312" s="3">
        <v>37.600000000001899</v>
      </c>
      <c r="G312" s="3">
        <v>12017.75</v>
      </c>
      <c r="H312" s="3">
        <f t="shared" si="5"/>
        <v>12055.350000000002</v>
      </c>
      <c r="I312" s="3"/>
      <c r="J312" s="3"/>
      <c r="K312" s="3"/>
    </row>
    <row r="313" spans="1:11">
      <c r="A313" s="3">
        <v>42741</v>
      </c>
      <c r="B313" s="3">
        <v>229.01</v>
      </c>
      <c r="C313" s="4" cm="1">
        <f t="array" aca="1" ref="C313" ca="1">$B313-INDIRECT(ADDRESS(ROW()-C$2,2))</f>
        <v>9.4799999999999898</v>
      </c>
      <c r="D313" s="4" cm="1">
        <f t="array" aca="1" ref="D313" ca="1">$B313-INDIRECT(ADDRESS(ROW()-D$2,2))</f>
        <v>14.329999999999984</v>
      </c>
      <c r="E313" s="4" cm="1">
        <f t="array" aca="1" ref="E313" ca="1">$B313-INDIRECT(ADDRESS(ROW()-E$2,2))</f>
        <v>12.019999999999982</v>
      </c>
      <c r="F313" s="3">
        <v>37.600000000001899</v>
      </c>
      <c r="G313" s="3">
        <v>12137.529999999999</v>
      </c>
      <c r="H313" s="3">
        <f t="shared" si="5"/>
        <v>12175.130000000001</v>
      </c>
      <c r="I313" s="3"/>
      <c r="J313" s="3"/>
      <c r="K313" s="3"/>
    </row>
    <row r="314" spans="1:11">
      <c r="A314" s="3">
        <v>42744</v>
      </c>
      <c r="B314" s="3">
        <v>231.28</v>
      </c>
      <c r="C314" s="4" cm="1">
        <f t="array" aca="1" ref="C314" ca="1">$B314-INDIRECT(ADDRESS(ROW()-C$2,2))</f>
        <v>11.539999999999992</v>
      </c>
      <c r="D314" s="4" cm="1">
        <f t="array" aca="1" ref="D314" ca="1">$B314-INDIRECT(ADDRESS(ROW()-D$2,2))</f>
        <v>17.590000000000003</v>
      </c>
      <c r="E314" s="4" cm="1">
        <f t="array" aca="1" ref="E314" ca="1">$B314-INDIRECT(ADDRESS(ROW()-E$2,2))</f>
        <v>4.289999999999992</v>
      </c>
      <c r="F314" s="3">
        <v>37.600000000001899</v>
      </c>
      <c r="G314" s="3">
        <v>12257.84</v>
      </c>
      <c r="H314" s="3">
        <f t="shared" si="5"/>
        <v>12295.440000000002</v>
      </c>
      <c r="I314" s="3"/>
      <c r="J314" s="3"/>
      <c r="K314" s="3"/>
    </row>
    <row r="315" spans="1:11">
      <c r="A315" s="3">
        <v>42745</v>
      </c>
      <c r="B315" s="3">
        <v>229.87</v>
      </c>
      <c r="C315" s="4" cm="1">
        <f t="array" aca="1" ref="C315" ca="1">$B315-INDIRECT(ADDRESS(ROW()-C$2,2))</f>
        <v>15.189999999999998</v>
      </c>
      <c r="D315" s="4" cm="1">
        <f t="array" aca="1" ref="D315" ca="1">$B315-INDIRECT(ADDRESS(ROW()-D$2,2))</f>
        <v>12.879999999999995</v>
      </c>
      <c r="E315" s="4" cm="1">
        <f t="array" aca="1" ref="E315" ca="1">$B315-INDIRECT(ADDRESS(ROW()-E$2,2))</f>
        <v>3.1200000000000045</v>
      </c>
      <c r="F315" s="3">
        <v>37.600000000001899</v>
      </c>
      <c r="G315" s="3">
        <v>12183.11</v>
      </c>
      <c r="H315" s="3">
        <f t="shared" si="5"/>
        <v>12220.710000000003</v>
      </c>
      <c r="I315" s="3"/>
      <c r="J315" s="3"/>
      <c r="K315" s="3"/>
    </row>
    <row r="316" spans="1:11">
      <c r="A316" s="3">
        <v>42746</v>
      </c>
      <c r="B316" s="3">
        <v>229.73</v>
      </c>
      <c r="C316" s="4" cm="1">
        <f t="array" aca="1" ref="C316" ca="1">$B316-INDIRECT(ADDRESS(ROW()-C$2,2))</f>
        <v>16.039999999999992</v>
      </c>
      <c r="D316" s="4" cm="1">
        <f t="array" aca="1" ref="D316" ca="1">$B316-INDIRECT(ADDRESS(ROW()-D$2,2))</f>
        <v>2.7399999999999807</v>
      </c>
      <c r="E316" s="4" cm="1">
        <f t="array" aca="1" ref="E316" ca="1">$B316-INDIRECT(ADDRESS(ROW()-E$2,2))</f>
        <v>0.71999999999999886</v>
      </c>
      <c r="F316" s="3">
        <v>37.600000000001899</v>
      </c>
      <c r="G316" s="3">
        <v>12175.689999999999</v>
      </c>
      <c r="H316" s="3">
        <f t="shared" si="5"/>
        <v>12213.29</v>
      </c>
      <c r="I316" s="3"/>
      <c r="J316" s="3"/>
      <c r="K316" s="3"/>
    </row>
    <row r="317" spans="1:11">
      <c r="A317" s="3">
        <v>42747</v>
      </c>
      <c r="B317" s="3">
        <v>229.59</v>
      </c>
      <c r="C317" s="4" cm="1">
        <f t="array" aca="1" ref="C317" ca="1">$B317-INDIRECT(ADDRESS(ROW()-C$2,2))</f>
        <v>12.599999999999994</v>
      </c>
      <c r="D317" s="4" cm="1">
        <f t="array" aca="1" ref="D317" ca="1">$B317-INDIRECT(ADDRESS(ROW()-D$2,2))</f>
        <v>2.8400000000000034</v>
      </c>
      <c r="E317" s="4" cm="1">
        <f t="array" aca="1" ref="E317" ca="1">$B317-INDIRECT(ADDRESS(ROW()-E$2,2))</f>
        <v>-1.6899999999999977</v>
      </c>
      <c r="F317" s="3">
        <v>37.600000000001899</v>
      </c>
      <c r="G317" s="3">
        <v>12168.27</v>
      </c>
      <c r="H317" s="3">
        <f t="shared" si="5"/>
        <v>12205.870000000003</v>
      </c>
      <c r="I317" s="3"/>
      <c r="J317" s="3"/>
      <c r="K317" s="3"/>
    </row>
    <row r="318" spans="1:11">
      <c r="A318" s="3">
        <v>42748</v>
      </c>
      <c r="B318" s="3">
        <v>237.75</v>
      </c>
      <c r="C318" s="4" cm="1">
        <f t="array" aca="1" ref="C318" ca="1">$B318-INDIRECT(ADDRESS(ROW()-C$2,2))</f>
        <v>10.759999999999991</v>
      </c>
      <c r="D318" s="4" cm="1">
        <f t="array" aca="1" ref="D318" ca="1">$B318-INDIRECT(ADDRESS(ROW()-D$2,2))</f>
        <v>8.7400000000000091</v>
      </c>
      <c r="E318" s="4" cm="1">
        <f t="array" aca="1" ref="E318" ca="1">$B318-INDIRECT(ADDRESS(ROW()-E$2,2))</f>
        <v>7.8799999999999955</v>
      </c>
      <c r="F318" s="3">
        <v>37.600000000001899</v>
      </c>
      <c r="G318" s="3">
        <v>12600.75</v>
      </c>
      <c r="H318" s="3">
        <f t="shared" si="5"/>
        <v>12638.350000000002</v>
      </c>
      <c r="I318" s="3"/>
      <c r="J318" s="3"/>
      <c r="K318" s="3"/>
    </row>
    <row r="319" spans="1:11">
      <c r="A319" s="3">
        <v>42752</v>
      </c>
      <c r="B319" s="3">
        <v>235.58</v>
      </c>
      <c r="C319" s="4" cm="1">
        <f t="array" aca="1" ref="C319" ca="1">$B319-INDIRECT(ADDRESS(ROW()-C$2,2))</f>
        <v>8.8300000000000125</v>
      </c>
      <c r="D319" s="4" cm="1">
        <f t="array" aca="1" ref="D319" ca="1">$B319-INDIRECT(ADDRESS(ROW()-D$2,2))</f>
        <v>4.3000000000000114</v>
      </c>
      <c r="E319" s="4" cm="1">
        <f t="array" aca="1" ref="E319" ca="1">$B319-INDIRECT(ADDRESS(ROW()-E$2,2))</f>
        <v>5.8500000000000227</v>
      </c>
      <c r="F319" s="3">
        <v>37.600000000001899</v>
      </c>
      <c r="G319" s="3">
        <v>12485.74</v>
      </c>
      <c r="H319" s="3">
        <f t="shared" si="5"/>
        <v>12523.340000000002</v>
      </c>
      <c r="I319" s="3"/>
      <c r="J319" s="3"/>
      <c r="K319" s="3"/>
    </row>
    <row r="320" spans="1:11">
      <c r="A320" s="3">
        <v>42753</v>
      </c>
      <c r="B320" s="3">
        <v>238.36</v>
      </c>
      <c r="C320" s="4" cm="1">
        <f t="array" aca="1" ref="C320" ca="1">$B320-INDIRECT(ADDRESS(ROW()-C$2,2))</f>
        <v>9.3500000000000227</v>
      </c>
      <c r="D320" s="4" cm="1">
        <f t="array" aca="1" ref="D320" ca="1">$B320-INDIRECT(ADDRESS(ROW()-D$2,2))</f>
        <v>8.4900000000000091</v>
      </c>
      <c r="E320" s="4" cm="1">
        <f t="array" aca="1" ref="E320" ca="1">$B320-INDIRECT(ADDRESS(ROW()-E$2,2))</f>
        <v>8.7700000000000102</v>
      </c>
      <c r="F320" s="3">
        <v>37.600000000001899</v>
      </c>
      <c r="G320" s="3">
        <v>12633.08</v>
      </c>
      <c r="H320" s="3">
        <f t="shared" si="5"/>
        <v>12670.680000000002</v>
      </c>
      <c r="I320" s="3"/>
      <c r="J320" s="3"/>
      <c r="K320" s="3"/>
    </row>
    <row r="321" spans="1:11">
      <c r="A321" s="3">
        <v>42754</v>
      </c>
      <c r="B321" s="3">
        <v>243.76</v>
      </c>
      <c r="C321" s="4" cm="1">
        <f t="array" aca="1" ref="C321" ca="1">$B321-INDIRECT(ADDRESS(ROW()-C$2,2))</f>
        <v>12.47999999999999</v>
      </c>
      <c r="D321" s="4" cm="1">
        <f t="array" aca="1" ref="D321" ca="1">$B321-INDIRECT(ADDRESS(ROW()-D$2,2))</f>
        <v>14.030000000000001</v>
      </c>
      <c r="E321" s="4" cm="1">
        <f t="array" aca="1" ref="E321" ca="1">$B321-INDIRECT(ADDRESS(ROW()-E$2,2))</f>
        <v>6.0099999999999909</v>
      </c>
      <c r="F321" s="3">
        <v>37.600000000001899</v>
      </c>
      <c r="G321" s="3">
        <v>12919.279999999999</v>
      </c>
      <c r="H321" s="3">
        <f t="shared" si="5"/>
        <v>12956.880000000001</v>
      </c>
      <c r="I321" s="3"/>
      <c r="J321" s="3"/>
      <c r="K321" s="3"/>
    </row>
    <row r="322" spans="1:11">
      <c r="A322" s="3">
        <v>42755</v>
      </c>
      <c r="B322" s="3">
        <v>244.73</v>
      </c>
      <c r="C322" s="4" cm="1">
        <f t="array" aca="1" ref="C322" ca="1">$B322-INDIRECT(ADDRESS(ROW()-C$2,2))</f>
        <v>14.859999999999985</v>
      </c>
      <c r="D322" s="4" cm="1">
        <f t="array" aca="1" ref="D322" ca="1">$B322-INDIRECT(ADDRESS(ROW()-D$2,2))</f>
        <v>15.139999999999986</v>
      </c>
      <c r="E322" s="4" cm="1">
        <f t="array" aca="1" ref="E322" ca="1">$B322-INDIRECT(ADDRESS(ROW()-E$2,2))</f>
        <v>9.1499999999999773</v>
      </c>
      <c r="F322" s="3">
        <v>37.600000000001899</v>
      </c>
      <c r="G322" s="3">
        <v>12970.689999999999</v>
      </c>
      <c r="H322" s="3">
        <f t="shared" si="5"/>
        <v>13008.29</v>
      </c>
      <c r="I322" s="3"/>
      <c r="J322" s="3"/>
      <c r="K322" s="3"/>
    </row>
    <row r="323" spans="1:11">
      <c r="A323" s="3">
        <v>42758</v>
      </c>
      <c r="B323" s="3">
        <v>248.92</v>
      </c>
      <c r="C323" s="4" cm="1">
        <f t="array" aca="1" ref="C323" ca="1">$B323-INDIRECT(ADDRESS(ROW()-C$2,2))</f>
        <v>19.189999999999998</v>
      </c>
      <c r="D323" s="4" cm="1">
        <f t="array" aca="1" ref="D323" ca="1">$B323-INDIRECT(ADDRESS(ROW()-D$2,2))</f>
        <v>11.169999999999987</v>
      </c>
      <c r="E323" s="4" cm="1">
        <f t="array" aca="1" ref="E323" ca="1">$B323-INDIRECT(ADDRESS(ROW()-E$2,2))</f>
        <v>10.559999999999974</v>
      </c>
      <c r="F323" s="3">
        <v>37.600000000001899</v>
      </c>
      <c r="G323" s="3">
        <v>13192.76</v>
      </c>
      <c r="H323" s="3">
        <f t="shared" si="5"/>
        <v>13230.360000000002</v>
      </c>
      <c r="I323" s="3"/>
      <c r="J323" s="3"/>
      <c r="K323" s="3"/>
    </row>
    <row r="324" spans="1:11">
      <c r="A324" s="3">
        <v>42759</v>
      </c>
      <c r="B324" s="3">
        <v>254.61</v>
      </c>
      <c r="C324" s="4" cm="1">
        <f t="array" aca="1" ref="C324" ca="1">$B324-INDIRECT(ADDRESS(ROW()-C$2,2))</f>
        <v>25.02000000000001</v>
      </c>
      <c r="D324" s="4" cm="1">
        <f t="array" aca="1" ref="D324" ca="1">$B324-INDIRECT(ADDRESS(ROW()-D$2,2))</f>
        <v>19.03</v>
      </c>
      <c r="E324" s="4" cm="1">
        <f t="array" aca="1" ref="E324" ca="1">$B324-INDIRECT(ADDRESS(ROW()-E$2,2))</f>
        <v>10.850000000000023</v>
      </c>
      <c r="F324" s="3">
        <v>37.600000000001899</v>
      </c>
      <c r="G324" s="3">
        <v>13494.33</v>
      </c>
      <c r="H324" s="3">
        <f t="shared" si="5"/>
        <v>13531.930000000002</v>
      </c>
      <c r="I324" s="3"/>
      <c r="J324" s="3"/>
      <c r="K324" s="3"/>
    </row>
    <row r="325" spans="1:11">
      <c r="A325" s="3">
        <v>42760</v>
      </c>
      <c r="B325" s="3">
        <v>254.47</v>
      </c>
      <c r="C325" s="4" cm="1">
        <f t="array" aca="1" ref="C325" ca="1">$B325-INDIRECT(ADDRESS(ROW()-C$2,2))</f>
        <v>16.72</v>
      </c>
      <c r="D325" s="4" cm="1">
        <f t="array" aca="1" ref="D325" ca="1">$B325-INDIRECT(ADDRESS(ROW()-D$2,2))</f>
        <v>16.109999999999985</v>
      </c>
      <c r="E325" s="4" cm="1">
        <f t="array" aca="1" ref="E325" ca="1">$B325-INDIRECT(ADDRESS(ROW()-E$2,2))</f>
        <v>9.7400000000000091</v>
      </c>
      <c r="F325" s="3">
        <v>37.600000000001899</v>
      </c>
      <c r="G325" s="3">
        <v>13486.91</v>
      </c>
      <c r="H325" s="3">
        <f t="shared" si="5"/>
        <v>13524.510000000002</v>
      </c>
      <c r="I325" s="3"/>
      <c r="J325" s="3"/>
      <c r="K325" s="3"/>
    </row>
    <row r="326" spans="1:11">
      <c r="A326" s="3">
        <v>42761</v>
      </c>
      <c r="B326" s="3">
        <v>252.51</v>
      </c>
      <c r="C326" s="4" cm="1">
        <f t="array" aca="1" ref="C326" ca="1">$B326-INDIRECT(ADDRESS(ROW()-C$2,2))</f>
        <v>16.929999999999978</v>
      </c>
      <c r="D326" s="4" cm="1">
        <f t="array" aca="1" ref="D326" ca="1">$B326-INDIRECT(ADDRESS(ROW()-D$2,2))</f>
        <v>8.75</v>
      </c>
      <c r="E326" s="4" cm="1">
        <f t="array" aca="1" ref="E326" ca="1">$B326-INDIRECT(ADDRESS(ROW()-E$2,2))</f>
        <v>3.5900000000000034</v>
      </c>
      <c r="F326" s="3">
        <v>37.600000000001899</v>
      </c>
      <c r="G326" s="3">
        <v>13383.029999999999</v>
      </c>
      <c r="H326" s="3">
        <f t="shared" si="5"/>
        <v>13420.630000000001</v>
      </c>
      <c r="I326" s="3"/>
      <c r="J326" s="3"/>
      <c r="K326" s="3"/>
    </row>
    <row r="327" spans="1:11">
      <c r="A327" s="3">
        <v>42762</v>
      </c>
      <c r="B327" s="3">
        <v>252.95</v>
      </c>
      <c r="C327" s="4" cm="1">
        <f t="array" aca="1" ref="C327" ca="1">$B327-INDIRECT(ADDRESS(ROW()-C$2,2))</f>
        <v>14.589999999999975</v>
      </c>
      <c r="D327" s="4" cm="1">
        <f t="array" aca="1" ref="D327" ca="1">$B327-INDIRECT(ADDRESS(ROW()-D$2,2))</f>
        <v>8.2199999999999989</v>
      </c>
      <c r="E327" s="4" cm="1">
        <f t="array" aca="1" ref="E327" ca="1">$B327-INDIRECT(ADDRESS(ROW()-E$2,2))</f>
        <v>-1.660000000000025</v>
      </c>
      <c r="F327" s="3">
        <v>37.600000000001899</v>
      </c>
      <c r="G327" s="3">
        <v>13406.349999999999</v>
      </c>
      <c r="H327" s="3">
        <f t="shared" si="5"/>
        <v>13443.95</v>
      </c>
      <c r="I327" s="3"/>
      <c r="J327" s="3"/>
      <c r="K327" s="3"/>
    </row>
    <row r="328" spans="1:11">
      <c r="A328" s="3">
        <v>42765</v>
      </c>
      <c r="B328" s="3">
        <v>250.63</v>
      </c>
      <c r="C328" s="4" cm="1">
        <f t="array" aca="1" ref="C328" ca="1">$B328-INDIRECT(ADDRESS(ROW()-C$2,2))</f>
        <v>6.8700000000000045</v>
      </c>
      <c r="D328" s="4" cm="1">
        <f t="array" aca="1" ref="D328" ca="1">$B328-INDIRECT(ADDRESS(ROW()-D$2,2))</f>
        <v>1.710000000000008</v>
      </c>
      <c r="E328" s="4" cm="1">
        <f t="array" aca="1" ref="E328" ca="1">$B328-INDIRECT(ADDRESS(ROW()-E$2,2))</f>
        <v>-3.8400000000000034</v>
      </c>
      <c r="F328" s="3">
        <v>37.600000000001899</v>
      </c>
      <c r="G328" s="3">
        <v>13283.39</v>
      </c>
      <c r="H328" s="3">
        <f t="shared" si="5"/>
        <v>13320.990000000002</v>
      </c>
      <c r="I328" s="3"/>
      <c r="J328" s="3"/>
      <c r="K328" s="3"/>
    </row>
    <row r="329" spans="1:11">
      <c r="A329" s="3">
        <v>42766</v>
      </c>
      <c r="B329" s="3">
        <v>251.93</v>
      </c>
      <c r="C329" s="4" cm="1">
        <f t="array" aca="1" ref="C329" ca="1">$B329-INDIRECT(ADDRESS(ROW()-C$2,2))</f>
        <v>7.2000000000000171</v>
      </c>
      <c r="D329" s="4" cm="1">
        <f t="array" aca="1" ref="D329" ca="1">$B329-INDIRECT(ADDRESS(ROW()-D$2,2))</f>
        <v>-2.6800000000000068</v>
      </c>
      <c r="E329" s="4" cm="1">
        <f t="array" aca="1" ref="E329" ca="1">$B329-INDIRECT(ADDRESS(ROW()-E$2,2))</f>
        <v>-0.57999999999998408</v>
      </c>
      <c r="F329" s="3">
        <v>13389.890000000003</v>
      </c>
      <c r="G329" s="3">
        <v>0</v>
      </c>
      <c r="H329" s="3">
        <f t="shared" si="5"/>
        <v>13389.890000000003</v>
      </c>
      <c r="I329" s="3"/>
      <c r="J329" s="3"/>
      <c r="K329" s="3"/>
    </row>
    <row r="330" spans="1:11">
      <c r="A330" s="3">
        <v>42767</v>
      </c>
      <c r="B330" s="3">
        <v>249.24</v>
      </c>
      <c r="C330" s="4" cm="1">
        <f t="array" aca="1" ref="C330" ca="1">$B330-INDIRECT(ADDRESS(ROW()-C$2,2))</f>
        <v>0.3200000000000216</v>
      </c>
      <c r="D330" s="4" cm="1">
        <f t="array" aca="1" ref="D330" ca="1">$B330-INDIRECT(ADDRESS(ROW()-D$2,2))</f>
        <v>-5.2299999999999898</v>
      </c>
      <c r="E330" s="4" cm="1">
        <f t="array" aca="1" ref="E330" ca="1">$B330-INDIRECT(ADDRESS(ROW()-E$2,2))</f>
        <v>-3.7099999999999795</v>
      </c>
      <c r="F330" s="3">
        <v>13389.890000000003</v>
      </c>
      <c r="G330" s="3">
        <v>0</v>
      </c>
      <c r="H330" s="3">
        <f t="shared" si="5"/>
        <v>13389.890000000003</v>
      </c>
      <c r="I330" s="3"/>
      <c r="J330" s="3"/>
      <c r="K330" s="3"/>
    </row>
    <row r="331" spans="1:11">
      <c r="A331" s="3">
        <v>42768</v>
      </c>
      <c r="B331" s="3">
        <v>251.55</v>
      </c>
      <c r="C331" s="4" cm="1">
        <f t="array" aca="1" ref="C331" ca="1">$B331-INDIRECT(ADDRESS(ROW()-C$2,2))</f>
        <v>-3.0600000000000023</v>
      </c>
      <c r="D331" s="4" cm="1">
        <f t="array" aca="1" ref="D331" ca="1">$B331-INDIRECT(ADDRESS(ROW()-D$2,2))</f>
        <v>-0.95999999999997954</v>
      </c>
      <c r="E331" s="4" cm="1">
        <f t="array" aca="1" ref="E331" ca="1">$B331-INDIRECT(ADDRESS(ROW()-E$2,2))</f>
        <v>0.92000000000001592</v>
      </c>
      <c r="F331" s="3">
        <v>13389.890000000003</v>
      </c>
      <c r="G331" s="3">
        <v>0</v>
      </c>
      <c r="H331" s="3">
        <f t="shared" si="5"/>
        <v>13389.890000000003</v>
      </c>
      <c r="I331" s="3"/>
      <c r="J331" s="3"/>
      <c r="K331" s="3"/>
    </row>
    <row r="332" spans="1:11">
      <c r="A332" s="3">
        <v>42769</v>
      </c>
      <c r="B332" s="3">
        <v>251.33</v>
      </c>
      <c r="C332" s="4" cm="1">
        <f t="array" aca="1" ref="C332" ca="1">$B332-INDIRECT(ADDRESS(ROW()-C$2,2))</f>
        <v>-3.1399999999999864</v>
      </c>
      <c r="D332" s="4" cm="1">
        <f t="array" aca="1" ref="D332" ca="1">$B332-INDIRECT(ADDRESS(ROW()-D$2,2))</f>
        <v>-1.6199999999999761</v>
      </c>
      <c r="E332" s="4" cm="1">
        <f t="array" aca="1" ref="E332" ca="1">$B332-INDIRECT(ADDRESS(ROW()-E$2,2))</f>
        <v>-0.59999999999999432</v>
      </c>
      <c r="F332" s="3">
        <v>13389.890000000003</v>
      </c>
      <c r="G332" s="3">
        <v>0</v>
      </c>
      <c r="H332" s="3">
        <f t="shared" si="5"/>
        <v>13389.890000000003</v>
      </c>
      <c r="I332" s="3"/>
      <c r="J332" s="3"/>
      <c r="K332" s="3"/>
    </row>
    <row r="333" spans="1:11">
      <c r="A333" s="3">
        <v>42772</v>
      </c>
      <c r="B333" s="3">
        <v>257.77</v>
      </c>
      <c r="C333" s="4" cm="1">
        <f t="array" aca="1" ref="C333" ca="1">$B333-INDIRECT(ADDRESS(ROW()-C$2,2))</f>
        <v>5.2599999999999909</v>
      </c>
      <c r="D333" s="4" cm="1">
        <f t="array" aca="1" ref="D333" ca="1">$B333-INDIRECT(ADDRESS(ROW()-D$2,2))</f>
        <v>7.1399999999999864</v>
      </c>
      <c r="E333" s="4" cm="1">
        <f t="array" aca="1" ref="E333" ca="1">$B333-INDIRECT(ADDRESS(ROW()-E$2,2))</f>
        <v>8.5299999999999727</v>
      </c>
      <c r="F333" s="3">
        <v>13389.890000000003</v>
      </c>
      <c r="G333" s="3">
        <v>0</v>
      </c>
      <c r="H333" s="3">
        <f t="shared" si="5"/>
        <v>13389.890000000003</v>
      </c>
      <c r="I333" s="3"/>
      <c r="J333" s="3"/>
      <c r="K333" s="3"/>
    </row>
    <row r="334" spans="1:11">
      <c r="A334" s="3">
        <v>42773</v>
      </c>
      <c r="B334" s="3">
        <v>257.48</v>
      </c>
      <c r="C334" s="4" cm="1">
        <f t="array" aca="1" ref="C334" ca="1">$B334-INDIRECT(ADDRESS(ROW()-C$2,2))</f>
        <v>4.5300000000000296</v>
      </c>
      <c r="D334" s="4" cm="1">
        <f t="array" aca="1" ref="D334" ca="1">$B334-INDIRECT(ADDRESS(ROW()-D$2,2))</f>
        <v>5.5500000000000114</v>
      </c>
      <c r="E334" s="4" cm="1">
        <f t="array" aca="1" ref="E334" ca="1">$B334-INDIRECT(ADDRESS(ROW()-E$2,2))</f>
        <v>5.9300000000000068</v>
      </c>
      <c r="F334" s="3">
        <v>13389.890000000003</v>
      </c>
      <c r="G334" s="3">
        <v>0</v>
      </c>
      <c r="H334" s="3">
        <f t="shared" si="5"/>
        <v>13389.890000000003</v>
      </c>
      <c r="I334" s="3"/>
      <c r="J334" s="3"/>
      <c r="K334" s="3"/>
    </row>
    <row r="335" spans="1:11">
      <c r="A335" s="3">
        <v>42774</v>
      </c>
      <c r="B335" s="3">
        <v>262.08</v>
      </c>
      <c r="C335" s="4" cm="1">
        <f t="array" aca="1" ref="C335" ca="1">$B335-INDIRECT(ADDRESS(ROW()-C$2,2))</f>
        <v>11.449999999999989</v>
      </c>
      <c r="D335" s="4" cm="1">
        <f t="array" aca="1" ref="D335" ca="1">$B335-INDIRECT(ADDRESS(ROW()-D$2,2))</f>
        <v>12.839999999999975</v>
      </c>
      <c r="E335" s="4" cm="1">
        <f t="array" aca="1" ref="E335" ca="1">$B335-INDIRECT(ADDRESS(ROW()-E$2,2))</f>
        <v>10.749999999999972</v>
      </c>
      <c r="F335" s="3">
        <v>13389.890000000003</v>
      </c>
      <c r="G335" s="3">
        <v>0</v>
      </c>
      <c r="H335" s="3">
        <f t="shared" si="5"/>
        <v>13389.890000000003</v>
      </c>
      <c r="I335" s="3"/>
      <c r="J335" s="3"/>
      <c r="K335" s="3"/>
    </row>
    <row r="336" spans="1:11">
      <c r="A336" s="3">
        <v>42775</v>
      </c>
      <c r="B336" s="3">
        <v>269.2</v>
      </c>
      <c r="C336" s="4" cm="1">
        <f t="array" aca="1" ref="C336" ca="1">$B336-INDIRECT(ADDRESS(ROW()-C$2,2))</f>
        <v>17.269999999999982</v>
      </c>
      <c r="D336" s="4" cm="1">
        <f t="array" aca="1" ref="D336" ca="1">$B336-INDIRECT(ADDRESS(ROW()-D$2,2))</f>
        <v>17.649999999999977</v>
      </c>
      <c r="E336" s="4" cm="1">
        <f t="array" aca="1" ref="E336" ca="1">$B336-INDIRECT(ADDRESS(ROW()-E$2,2))</f>
        <v>11.430000000000007</v>
      </c>
      <c r="F336" s="3">
        <v>13389.890000000003</v>
      </c>
      <c r="G336" s="3">
        <v>0</v>
      </c>
      <c r="H336" s="3">
        <f t="shared" si="5"/>
        <v>13389.890000000003</v>
      </c>
      <c r="I336" s="3"/>
      <c r="J336" s="3"/>
      <c r="K336" s="3"/>
    </row>
    <row r="337" spans="1:11">
      <c r="A337" s="3">
        <v>42776</v>
      </c>
      <c r="B337" s="3">
        <v>269.23</v>
      </c>
      <c r="C337" s="4" cm="1">
        <f t="array" aca="1" ref="C337" ca="1">$B337-INDIRECT(ADDRESS(ROW()-C$2,2))</f>
        <v>19.990000000000009</v>
      </c>
      <c r="D337" s="4" cm="1">
        <f t="array" aca="1" ref="D337" ca="1">$B337-INDIRECT(ADDRESS(ROW()-D$2,2))</f>
        <v>17.900000000000006</v>
      </c>
      <c r="E337" s="4" cm="1">
        <f t="array" aca="1" ref="E337" ca="1">$B337-INDIRECT(ADDRESS(ROW()-E$2,2))</f>
        <v>11.75</v>
      </c>
      <c r="F337" s="3">
        <v>13389.890000000003</v>
      </c>
      <c r="G337" s="3">
        <v>0</v>
      </c>
      <c r="H337" s="3">
        <f t="shared" si="5"/>
        <v>13389.890000000003</v>
      </c>
      <c r="I337" s="3"/>
      <c r="J337" s="3"/>
      <c r="K337" s="3"/>
    </row>
    <row r="338" spans="1:11">
      <c r="A338" s="3">
        <v>42779</v>
      </c>
      <c r="B338" s="3">
        <v>280.60000000000002</v>
      </c>
      <c r="C338" s="4" cm="1">
        <f t="array" aca="1" ref="C338" ca="1">$B338-INDIRECT(ADDRESS(ROW()-C$2,2))</f>
        <v>29.050000000000011</v>
      </c>
      <c r="D338" s="4" cm="1">
        <f t="array" aca="1" ref="D338" ca="1">$B338-INDIRECT(ADDRESS(ROW()-D$2,2))</f>
        <v>22.830000000000041</v>
      </c>
      <c r="E338" s="4" cm="1">
        <f t="array" aca="1" ref="E338" ca="1">$B338-INDIRECT(ADDRESS(ROW()-E$2,2))</f>
        <v>18.520000000000039</v>
      </c>
      <c r="F338" s="3">
        <v>13389.890000000003</v>
      </c>
      <c r="G338" s="3">
        <v>0</v>
      </c>
      <c r="H338" s="3">
        <f t="shared" si="5"/>
        <v>13389.890000000003</v>
      </c>
      <c r="I338" s="3"/>
      <c r="J338" s="3"/>
      <c r="K338" s="3"/>
    </row>
    <row r="339" spans="1:11">
      <c r="A339" s="3">
        <v>42780</v>
      </c>
      <c r="B339" s="3">
        <v>280.98</v>
      </c>
      <c r="C339" s="4" cm="1">
        <f t="array" aca="1" ref="C339" ca="1">$B339-INDIRECT(ADDRESS(ROW()-C$2,2))</f>
        <v>29.650000000000006</v>
      </c>
      <c r="D339" s="4" cm="1">
        <f t="array" aca="1" ref="D339" ca="1">$B339-INDIRECT(ADDRESS(ROW()-D$2,2))</f>
        <v>23.5</v>
      </c>
      <c r="E339" s="4" cm="1">
        <f t="array" aca="1" ref="E339" ca="1">$B339-INDIRECT(ADDRESS(ROW()-E$2,2))</f>
        <v>11.78000000000003</v>
      </c>
      <c r="F339" s="3">
        <v>13389.890000000003</v>
      </c>
      <c r="G339" s="3">
        <v>0</v>
      </c>
      <c r="H339" s="3">
        <f t="shared" si="5"/>
        <v>13389.890000000003</v>
      </c>
      <c r="I339" s="3"/>
      <c r="J339" s="3"/>
      <c r="K339" s="3"/>
    </row>
    <row r="340" spans="1:11">
      <c r="A340" s="3">
        <v>42781</v>
      </c>
      <c r="B340" s="3">
        <v>279.76</v>
      </c>
      <c r="C340" s="4" cm="1">
        <f t="array" aca="1" ref="C340" ca="1">$B340-INDIRECT(ADDRESS(ROW()-C$2,2))</f>
        <v>21.990000000000009</v>
      </c>
      <c r="D340" s="4" cm="1">
        <f t="array" aca="1" ref="D340" ca="1">$B340-INDIRECT(ADDRESS(ROW()-D$2,2))</f>
        <v>17.680000000000007</v>
      </c>
      <c r="E340" s="4" cm="1">
        <f t="array" aca="1" ref="E340" ca="1">$B340-INDIRECT(ADDRESS(ROW()-E$2,2))</f>
        <v>10.529999999999973</v>
      </c>
      <c r="F340" s="3">
        <v>13389.890000000003</v>
      </c>
      <c r="G340" s="3">
        <v>0</v>
      </c>
      <c r="H340" s="3">
        <f t="shared" si="5"/>
        <v>13389.890000000003</v>
      </c>
      <c r="I340" s="3"/>
      <c r="J340" s="3"/>
      <c r="K340" s="3"/>
    </row>
    <row r="341" spans="1:11">
      <c r="A341" s="3">
        <v>42782</v>
      </c>
      <c r="B341" s="3">
        <v>268.95</v>
      </c>
      <c r="C341" s="4" cm="1">
        <f t="array" aca="1" ref="C341" ca="1">$B341-INDIRECT(ADDRESS(ROW()-C$2,2))</f>
        <v>11.46999999999997</v>
      </c>
      <c r="D341" s="4" cm="1">
        <f t="array" aca="1" ref="D341" ca="1">$B341-INDIRECT(ADDRESS(ROW()-D$2,2))</f>
        <v>-0.25</v>
      </c>
      <c r="E341" s="4" cm="1">
        <f t="array" aca="1" ref="E341" ca="1">$B341-INDIRECT(ADDRESS(ROW()-E$2,2))</f>
        <v>-11.650000000000034</v>
      </c>
      <c r="F341" s="3">
        <v>13389.890000000003</v>
      </c>
      <c r="G341" s="3">
        <v>0</v>
      </c>
      <c r="H341" s="3">
        <f t="shared" si="5"/>
        <v>13389.890000000003</v>
      </c>
      <c r="I341" s="3"/>
      <c r="J341" s="3"/>
      <c r="K341" s="3"/>
    </row>
    <row r="342" spans="1:11">
      <c r="A342" s="3">
        <v>42783</v>
      </c>
      <c r="B342" s="3">
        <v>272.23</v>
      </c>
      <c r="C342" s="4" cm="1">
        <f t="array" aca="1" ref="C342" ca="1">$B342-INDIRECT(ADDRESS(ROW()-C$2,2))</f>
        <v>10.150000000000034</v>
      </c>
      <c r="D342" s="4" cm="1">
        <f t="array" aca="1" ref="D342" ca="1">$B342-INDIRECT(ADDRESS(ROW()-D$2,2))</f>
        <v>3</v>
      </c>
      <c r="E342" s="4" cm="1">
        <f t="array" aca="1" ref="E342" ca="1">$B342-INDIRECT(ADDRESS(ROW()-E$2,2))</f>
        <v>-8.75</v>
      </c>
      <c r="F342" s="3">
        <v>13389.890000000003</v>
      </c>
      <c r="G342" s="3">
        <v>0</v>
      </c>
      <c r="H342" s="3">
        <f t="shared" si="5"/>
        <v>13389.890000000003</v>
      </c>
      <c r="I342" s="3"/>
      <c r="J342" s="3"/>
      <c r="K342" s="3"/>
    </row>
    <row r="343" spans="1:11">
      <c r="A343" s="3">
        <v>42787</v>
      </c>
      <c r="B343" s="3">
        <v>277.39</v>
      </c>
      <c r="C343" s="4" cm="1">
        <f t="array" aca="1" ref="C343" ca="1">$B343-INDIRECT(ADDRESS(ROW()-C$2,2))</f>
        <v>8.1899999999999977</v>
      </c>
      <c r="D343" s="4" cm="1">
        <f t="array" aca="1" ref="D343" ca="1">$B343-INDIRECT(ADDRESS(ROW()-D$2,2))</f>
        <v>-3.2100000000000364</v>
      </c>
      <c r="E343" s="4" cm="1">
        <f t="array" aca="1" ref="E343" ca="1">$B343-INDIRECT(ADDRESS(ROW()-E$2,2))</f>
        <v>-2.3700000000000045</v>
      </c>
      <c r="F343" s="3">
        <v>13389.890000000003</v>
      </c>
      <c r="G343" s="3">
        <v>0</v>
      </c>
      <c r="H343" s="3">
        <f t="shared" si="5"/>
        <v>13389.890000000003</v>
      </c>
      <c r="I343" s="3"/>
      <c r="J343" s="3"/>
      <c r="K343" s="3"/>
    </row>
    <row r="344" spans="1:11">
      <c r="A344" s="3">
        <v>42788</v>
      </c>
      <c r="B344" s="3">
        <v>273.51</v>
      </c>
      <c r="C344" s="4" cm="1">
        <f t="array" aca="1" ref="C344" ca="1">$B344-INDIRECT(ADDRESS(ROW()-C$2,2))</f>
        <v>4.2799999999999727</v>
      </c>
      <c r="D344" s="4" cm="1">
        <f t="array" aca="1" ref="D344" ca="1">$B344-INDIRECT(ADDRESS(ROW()-D$2,2))</f>
        <v>-7.4700000000000273</v>
      </c>
      <c r="E344" s="4" cm="1">
        <f t="array" aca="1" ref="E344" ca="1">$B344-INDIRECT(ADDRESS(ROW()-E$2,2))</f>
        <v>4.5600000000000023</v>
      </c>
      <c r="F344" s="3">
        <v>13389.890000000003</v>
      </c>
      <c r="G344" s="3">
        <v>0</v>
      </c>
      <c r="H344" s="3">
        <f t="shared" si="5"/>
        <v>13389.890000000003</v>
      </c>
      <c r="I344" s="3"/>
      <c r="J344" s="3"/>
      <c r="K344" s="3"/>
    </row>
    <row r="345" spans="1:11">
      <c r="A345" s="3">
        <v>42789</v>
      </c>
      <c r="B345" s="3">
        <v>255.99</v>
      </c>
      <c r="C345" s="4" cm="1">
        <f t="array" aca="1" ref="C345" ca="1">$B345-INDIRECT(ADDRESS(ROW()-C$2,2))</f>
        <v>-24.610000000000014</v>
      </c>
      <c r="D345" s="4" cm="1">
        <f t="array" aca="1" ref="D345" ca="1">$B345-INDIRECT(ADDRESS(ROW()-D$2,2))</f>
        <v>-23.769999999999982</v>
      </c>
      <c r="E345" s="4" cm="1">
        <f t="array" aca="1" ref="E345" ca="1">$B345-INDIRECT(ADDRESS(ROW()-E$2,2))</f>
        <v>-16.240000000000009</v>
      </c>
      <c r="F345" s="3">
        <v>13389.890000000003</v>
      </c>
      <c r="G345" s="3">
        <v>0</v>
      </c>
      <c r="H345" s="3">
        <f t="shared" si="5"/>
        <v>13389.890000000003</v>
      </c>
      <c r="I345" s="3"/>
      <c r="J345" s="3"/>
      <c r="K345" s="3"/>
    </row>
    <row r="346" spans="1:11">
      <c r="A346" s="3">
        <v>42790</v>
      </c>
      <c r="B346" s="3">
        <v>257</v>
      </c>
      <c r="C346" s="4" cm="1">
        <f t="array" aca="1" ref="C346" ca="1">$B346-INDIRECT(ADDRESS(ROW()-C$2,2))</f>
        <v>-23.980000000000018</v>
      </c>
      <c r="D346" s="4" cm="1">
        <f t="array" aca="1" ref="D346" ca="1">$B346-INDIRECT(ADDRESS(ROW()-D$2,2))</f>
        <v>-11.949999999999989</v>
      </c>
      <c r="E346" s="4" cm="1">
        <f t="array" aca="1" ref="E346" ca="1">$B346-INDIRECT(ADDRESS(ROW()-E$2,2))</f>
        <v>-20.389999999999986</v>
      </c>
      <c r="F346" s="3">
        <v>13389.890000000003</v>
      </c>
      <c r="G346" s="3">
        <v>0</v>
      </c>
      <c r="H346" s="3">
        <f t="shared" si="5"/>
        <v>13389.890000000003</v>
      </c>
      <c r="I346" s="3"/>
      <c r="J346" s="3"/>
      <c r="K346" s="3"/>
    </row>
    <row r="347" spans="1:11">
      <c r="A347" s="3">
        <v>42793</v>
      </c>
      <c r="B347" s="3">
        <v>246.23</v>
      </c>
      <c r="C347" s="4" cm="1">
        <f t="array" aca="1" ref="C347" ca="1">$B347-INDIRECT(ADDRESS(ROW()-C$2,2))</f>
        <v>-33.53</v>
      </c>
      <c r="D347" s="4" cm="1">
        <f t="array" aca="1" ref="D347" ca="1">$B347-INDIRECT(ADDRESS(ROW()-D$2,2))</f>
        <v>-26.000000000000028</v>
      </c>
      <c r="E347" s="4" cm="1">
        <f t="array" aca="1" ref="E347" ca="1">$B347-INDIRECT(ADDRESS(ROW()-E$2,2))</f>
        <v>-27.28</v>
      </c>
      <c r="F347" s="3">
        <v>13389.890000000003</v>
      </c>
      <c r="G347" s="3">
        <v>0</v>
      </c>
      <c r="H347" s="3">
        <f t="shared" si="5"/>
        <v>13389.890000000003</v>
      </c>
      <c r="I347" s="3"/>
      <c r="J347" s="3"/>
      <c r="K347" s="3"/>
    </row>
    <row r="348" spans="1:11">
      <c r="A348" s="3">
        <v>42794</v>
      </c>
      <c r="B348" s="3">
        <v>249.99</v>
      </c>
      <c r="C348" s="4" cm="1">
        <f t="array" aca="1" ref="C348" ca="1">$B348-INDIRECT(ADDRESS(ROW()-C$2,2))</f>
        <v>-18.95999999999998</v>
      </c>
      <c r="D348" s="4" cm="1">
        <f t="array" aca="1" ref="D348" ca="1">$B348-INDIRECT(ADDRESS(ROW()-D$2,2))</f>
        <v>-27.399999999999977</v>
      </c>
      <c r="E348" s="4" cm="1">
        <f t="array" aca="1" ref="E348" ca="1">$B348-INDIRECT(ADDRESS(ROW()-E$2,2))</f>
        <v>-6</v>
      </c>
      <c r="F348" s="3">
        <v>13389.890000000003</v>
      </c>
      <c r="G348" s="3">
        <v>0</v>
      </c>
      <c r="H348" s="3">
        <f t="shared" si="5"/>
        <v>13389.890000000003</v>
      </c>
      <c r="I348" s="3"/>
      <c r="J348" s="3"/>
      <c r="K348" s="3"/>
    </row>
    <row r="349" spans="1:11">
      <c r="A349" s="3">
        <v>42795</v>
      </c>
      <c r="B349" s="3">
        <v>250.02</v>
      </c>
      <c r="C349" s="4" cm="1">
        <f t="array" aca="1" ref="C349" ca="1">$B349-INDIRECT(ADDRESS(ROW()-C$2,2))</f>
        <v>-22.210000000000008</v>
      </c>
      <c r="D349" s="4" cm="1">
        <f t="array" aca="1" ref="D349" ca="1">$B349-INDIRECT(ADDRESS(ROW()-D$2,2))</f>
        <v>-23.489999999999981</v>
      </c>
      <c r="E349" s="4" cm="1">
        <f t="array" aca="1" ref="E349" ca="1">$B349-INDIRECT(ADDRESS(ROW()-E$2,2))</f>
        <v>-6.9799999999999898</v>
      </c>
      <c r="F349" s="3">
        <v>13389.890000000003</v>
      </c>
      <c r="G349" s="3">
        <v>0</v>
      </c>
      <c r="H349" s="3">
        <f t="shared" si="5"/>
        <v>13389.890000000003</v>
      </c>
      <c r="I349" s="3"/>
      <c r="J349" s="3"/>
      <c r="K349" s="3"/>
    </row>
    <row r="350" spans="1:11">
      <c r="A350" s="3">
        <v>42796</v>
      </c>
      <c r="B350" s="3">
        <v>250.48</v>
      </c>
      <c r="C350" s="4" cm="1">
        <f t="array" aca="1" ref="C350" ca="1">$B350-INDIRECT(ADDRESS(ROW()-C$2,2))</f>
        <v>-26.909999999999997</v>
      </c>
      <c r="D350" s="4" cm="1">
        <f t="array" aca="1" ref="D350" ca="1">$B350-INDIRECT(ADDRESS(ROW()-D$2,2))</f>
        <v>-5.5100000000000193</v>
      </c>
      <c r="E350" s="4" cm="1">
        <f t="array" aca="1" ref="E350" ca="1">$B350-INDIRECT(ADDRESS(ROW()-E$2,2))</f>
        <v>4.25</v>
      </c>
      <c r="F350" s="3">
        <v>13389.890000000003</v>
      </c>
      <c r="G350" s="3">
        <v>0</v>
      </c>
      <c r="H350" s="3">
        <f t="shared" si="5"/>
        <v>13389.890000000003</v>
      </c>
      <c r="I350" s="3"/>
      <c r="J350" s="3"/>
      <c r="K350" s="3"/>
    </row>
    <row r="351" spans="1:11">
      <c r="A351" s="3">
        <v>42797</v>
      </c>
      <c r="B351" s="3">
        <v>251.57</v>
      </c>
      <c r="C351" s="4" cm="1">
        <f t="array" aca="1" ref="C351" ca="1">$B351-INDIRECT(ADDRESS(ROW()-C$2,2))</f>
        <v>-21.939999999999998</v>
      </c>
      <c r="D351" s="4" cm="1">
        <f t="array" aca="1" ref="D351" ca="1">$B351-INDIRECT(ADDRESS(ROW()-D$2,2))</f>
        <v>-5.4300000000000068</v>
      </c>
      <c r="E351" s="4" cm="1">
        <f t="array" aca="1" ref="E351" ca="1">$B351-INDIRECT(ADDRESS(ROW()-E$2,2))</f>
        <v>1.5799999999999841</v>
      </c>
      <c r="F351" s="3">
        <v>13389.890000000003</v>
      </c>
      <c r="G351" s="3">
        <v>0</v>
      </c>
      <c r="H351" s="3">
        <f t="shared" si="5"/>
        <v>13389.890000000003</v>
      </c>
      <c r="I351" s="3"/>
      <c r="J351" s="3"/>
      <c r="K351" s="3"/>
    </row>
    <row r="352" spans="1:11">
      <c r="A352" s="3">
        <v>42800</v>
      </c>
      <c r="B352" s="3">
        <v>251.21</v>
      </c>
      <c r="C352" s="4" cm="1">
        <f t="array" aca="1" ref="C352" ca="1">$B352-INDIRECT(ADDRESS(ROW()-C$2,2))</f>
        <v>-4.7800000000000011</v>
      </c>
      <c r="D352" s="4" cm="1">
        <f t="array" aca="1" ref="D352" ca="1">$B352-INDIRECT(ADDRESS(ROW()-D$2,2))</f>
        <v>4.9800000000000182</v>
      </c>
      <c r="E352" s="4" cm="1">
        <f t="array" aca="1" ref="E352" ca="1">$B352-INDIRECT(ADDRESS(ROW()-E$2,2))</f>
        <v>1.1899999999999977</v>
      </c>
      <c r="F352" s="3">
        <v>75.760000000019346</v>
      </c>
      <c r="G352" s="3">
        <v>13314.130000000001</v>
      </c>
      <c r="H352" s="3">
        <f t="shared" si="5"/>
        <v>13389.890000000021</v>
      </c>
      <c r="I352" s="3"/>
      <c r="J352" s="3"/>
      <c r="K352" s="3"/>
    </row>
    <row r="353" spans="1:11">
      <c r="A353" s="3">
        <v>42801</v>
      </c>
      <c r="B353" s="3">
        <v>248.59</v>
      </c>
      <c r="C353" s="4" cm="1">
        <f t="array" aca="1" ref="C353" ca="1">$B353-INDIRECT(ADDRESS(ROW()-C$2,2))</f>
        <v>-8.4099999999999966</v>
      </c>
      <c r="D353" s="4" cm="1">
        <f t="array" aca="1" ref="D353" ca="1">$B353-INDIRECT(ADDRESS(ROW()-D$2,2))</f>
        <v>-1.4000000000000057</v>
      </c>
      <c r="E353" s="4" cm="1">
        <f t="array" aca="1" ref="E353" ca="1">$B353-INDIRECT(ADDRESS(ROW()-E$2,2))</f>
        <v>-1.8899999999999864</v>
      </c>
      <c r="F353" s="3">
        <v>75.760000000019346</v>
      </c>
      <c r="G353" s="3">
        <v>13175.27</v>
      </c>
      <c r="H353" s="3">
        <f t="shared" si="5"/>
        <v>13251.030000000021</v>
      </c>
      <c r="I353" s="3"/>
      <c r="J353" s="3"/>
      <c r="K353" s="3"/>
    </row>
    <row r="354" spans="1:11">
      <c r="A354" s="3">
        <v>42802</v>
      </c>
      <c r="B354" s="3">
        <v>246.87</v>
      </c>
      <c r="C354" s="4" cm="1">
        <f t="array" aca="1" ref="C354" ca="1">$B354-INDIRECT(ADDRESS(ROW()-C$2,2))</f>
        <v>0.64000000000001478</v>
      </c>
      <c r="D354" s="4" cm="1">
        <f t="array" aca="1" ref="D354" ca="1">$B354-INDIRECT(ADDRESS(ROW()-D$2,2))</f>
        <v>-3.1500000000000057</v>
      </c>
      <c r="E354" s="4" cm="1">
        <f t="array" aca="1" ref="E354" ca="1">$B354-INDIRECT(ADDRESS(ROW()-E$2,2))</f>
        <v>-4.6999999999999886</v>
      </c>
      <c r="F354" s="3">
        <v>13159.870000000021</v>
      </c>
      <c r="G354" s="3">
        <v>0</v>
      </c>
      <c r="H354" s="3">
        <f t="shared" si="5"/>
        <v>13159.870000000021</v>
      </c>
      <c r="I354" s="3"/>
      <c r="J354" s="3"/>
      <c r="K354" s="3"/>
    </row>
    <row r="355" spans="1:11">
      <c r="A355" s="3">
        <v>42803</v>
      </c>
      <c r="B355" s="3">
        <v>244.9</v>
      </c>
      <c r="C355" s="4" cm="1">
        <f t="array" aca="1" ref="C355" ca="1">$B355-INDIRECT(ADDRESS(ROW()-C$2,2))</f>
        <v>-5.0900000000000034</v>
      </c>
      <c r="D355" s="4" cm="1">
        <f t="array" aca="1" ref="D355" ca="1">$B355-INDIRECT(ADDRESS(ROW()-D$2,2))</f>
        <v>-5.5799999999999841</v>
      </c>
      <c r="E355" s="4" cm="1">
        <f t="array" aca="1" ref="E355" ca="1">$B355-INDIRECT(ADDRESS(ROW()-E$2,2))</f>
        <v>-6.3100000000000023</v>
      </c>
      <c r="F355" s="3">
        <v>13159.870000000021</v>
      </c>
      <c r="G355" s="3">
        <v>0</v>
      </c>
      <c r="H355" s="3">
        <f t="shared" si="5"/>
        <v>13159.870000000021</v>
      </c>
      <c r="I355" s="3"/>
      <c r="J355" s="3"/>
      <c r="K355" s="3"/>
    </row>
    <row r="356" spans="1:11">
      <c r="A356" s="3">
        <v>42804</v>
      </c>
      <c r="B356" s="3">
        <v>243.69</v>
      </c>
      <c r="C356" s="4" cm="1">
        <f t="array" aca="1" ref="C356" ca="1">$B356-INDIRECT(ADDRESS(ROW()-C$2,2))</f>
        <v>-6.3300000000000125</v>
      </c>
      <c r="D356" s="4" cm="1">
        <f t="array" aca="1" ref="D356" ca="1">$B356-INDIRECT(ADDRESS(ROW()-D$2,2))</f>
        <v>-7.8799999999999955</v>
      </c>
      <c r="E356" s="4" cm="1">
        <f t="array" aca="1" ref="E356" ca="1">$B356-INDIRECT(ADDRESS(ROW()-E$2,2))</f>
        <v>-4.9000000000000057</v>
      </c>
      <c r="F356" s="3">
        <v>13159.870000000021</v>
      </c>
      <c r="G356" s="3">
        <v>0</v>
      </c>
      <c r="H356" s="3">
        <f t="shared" si="5"/>
        <v>13159.870000000021</v>
      </c>
      <c r="I356" s="3"/>
      <c r="J356" s="3"/>
      <c r="K356" s="3"/>
    </row>
    <row r="357" spans="1:11">
      <c r="A357" s="3">
        <v>42807</v>
      </c>
      <c r="B357" s="3">
        <v>246.17</v>
      </c>
      <c r="C357" s="4" cm="1">
        <f t="array" aca="1" ref="C357" ca="1">$B357-INDIRECT(ADDRESS(ROW()-C$2,2))</f>
        <v>-4.3100000000000023</v>
      </c>
      <c r="D357" s="4" cm="1">
        <f t="array" aca="1" ref="D357" ca="1">$B357-INDIRECT(ADDRESS(ROW()-D$2,2))</f>
        <v>-5.0400000000000205</v>
      </c>
      <c r="E357" s="4" cm="1">
        <f t="array" aca="1" ref="E357" ca="1">$B357-INDIRECT(ADDRESS(ROW()-E$2,2))</f>
        <v>-0.70000000000001705</v>
      </c>
      <c r="F357" s="3">
        <v>13159.870000000021</v>
      </c>
      <c r="G357" s="3">
        <v>0</v>
      </c>
      <c r="H357" s="3">
        <f t="shared" si="5"/>
        <v>13159.870000000021</v>
      </c>
      <c r="I357" s="3"/>
      <c r="J357" s="3"/>
      <c r="K357" s="3"/>
    </row>
    <row r="358" spans="1:11">
      <c r="A358" s="3">
        <v>42808</v>
      </c>
      <c r="B358" s="3">
        <v>258</v>
      </c>
      <c r="C358" s="4" cm="1">
        <f t="array" aca="1" ref="C358" ca="1">$B358-INDIRECT(ADDRESS(ROW()-C$2,2))</f>
        <v>6.4300000000000068</v>
      </c>
      <c r="D358" s="4" cm="1">
        <f t="array" aca="1" ref="D358" ca="1">$B358-INDIRECT(ADDRESS(ROW()-D$2,2))</f>
        <v>9.4099999999999966</v>
      </c>
      <c r="E358" s="4" cm="1">
        <f t="array" aca="1" ref="E358" ca="1">$B358-INDIRECT(ADDRESS(ROW()-E$2,2))</f>
        <v>13.099999999999994</v>
      </c>
      <c r="F358" s="3">
        <v>13159.870000000021</v>
      </c>
      <c r="G358" s="3">
        <v>0</v>
      </c>
      <c r="H358" s="3">
        <f t="shared" si="5"/>
        <v>13159.870000000021</v>
      </c>
      <c r="I358" s="3"/>
      <c r="J358" s="3"/>
      <c r="K358" s="3"/>
    </row>
    <row r="359" spans="1:11">
      <c r="A359" s="3">
        <v>42809</v>
      </c>
      <c r="B359" s="3">
        <v>255.73</v>
      </c>
      <c r="C359" s="4" cm="1">
        <f t="array" aca="1" ref="C359" ca="1">$B359-INDIRECT(ADDRESS(ROW()-C$2,2))</f>
        <v>4.5199999999999818</v>
      </c>
      <c r="D359" s="4" cm="1">
        <f t="array" aca="1" ref="D359" ca="1">$B359-INDIRECT(ADDRESS(ROW()-D$2,2))</f>
        <v>8.8599999999999852</v>
      </c>
      <c r="E359" s="4" cm="1">
        <f t="array" aca="1" ref="E359" ca="1">$B359-INDIRECT(ADDRESS(ROW()-E$2,2))</f>
        <v>12.039999999999992</v>
      </c>
      <c r="F359" s="3">
        <v>13159.870000000021</v>
      </c>
      <c r="G359" s="3">
        <v>0</v>
      </c>
      <c r="H359" s="3">
        <f t="shared" si="5"/>
        <v>13159.870000000021</v>
      </c>
      <c r="I359" s="3"/>
      <c r="J359" s="3"/>
      <c r="K359" s="3"/>
    </row>
    <row r="360" spans="1:11">
      <c r="A360" s="3">
        <v>42810</v>
      </c>
      <c r="B360" s="3">
        <v>262.05</v>
      </c>
      <c r="C360" s="4" cm="1">
        <f t="array" aca="1" ref="C360" ca="1">$B360-INDIRECT(ADDRESS(ROW()-C$2,2))</f>
        <v>13.460000000000008</v>
      </c>
      <c r="D360" s="4" cm="1">
        <f t="array" aca="1" ref="D360" ca="1">$B360-INDIRECT(ADDRESS(ROW()-D$2,2))</f>
        <v>17.150000000000006</v>
      </c>
      <c r="E360" s="4" cm="1">
        <f t="array" aca="1" ref="E360" ca="1">$B360-INDIRECT(ADDRESS(ROW()-E$2,2))</f>
        <v>15.880000000000024</v>
      </c>
      <c r="F360" s="3">
        <v>13159.870000000021</v>
      </c>
      <c r="G360" s="3">
        <v>0</v>
      </c>
      <c r="H360" s="3">
        <f t="shared" si="5"/>
        <v>13159.870000000021</v>
      </c>
      <c r="I360" s="3"/>
      <c r="J360" s="3"/>
      <c r="K360" s="3"/>
    </row>
    <row r="361" spans="1:11">
      <c r="A361" s="3">
        <v>42811</v>
      </c>
      <c r="B361" s="3">
        <v>261.5</v>
      </c>
      <c r="C361" s="4" cm="1">
        <f t="array" aca="1" ref="C361" ca="1">$B361-INDIRECT(ADDRESS(ROW()-C$2,2))</f>
        <v>14.629999999999995</v>
      </c>
      <c r="D361" s="4" cm="1">
        <f t="array" aca="1" ref="D361" ca="1">$B361-INDIRECT(ADDRESS(ROW()-D$2,2))</f>
        <v>17.810000000000002</v>
      </c>
      <c r="E361" s="4" cm="1">
        <f t="array" aca="1" ref="E361" ca="1">$B361-INDIRECT(ADDRESS(ROW()-E$2,2))</f>
        <v>3.5</v>
      </c>
      <c r="F361" s="3">
        <v>13159.870000000021</v>
      </c>
      <c r="G361" s="3">
        <v>0</v>
      </c>
      <c r="H361" s="3">
        <f t="shared" si="5"/>
        <v>13159.870000000021</v>
      </c>
      <c r="I361" s="3"/>
      <c r="J361" s="3"/>
      <c r="K361" s="3"/>
    </row>
    <row r="362" spans="1:11">
      <c r="A362" s="3">
        <v>42814</v>
      </c>
      <c r="B362" s="3">
        <v>261.92</v>
      </c>
      <c r="C362" s="4" cm="1">
        <f t="array" aca="1" ref="C362" ca="1">$B362-INDIRECT(ADDRESS(ROW()-C$2,2))</f>
        <v>17.02000000000001</v>
      </c>
      <c r="D362" s="4" cm="1">
        <f t="array" aca="1" ref="D362" ca="1">$B362-INDIRECT(ADDRESS(ROW()-D$2,2))</f>
        <v>15.750000000000028</v>
      </c>
      <c r="E362" s="4" cm="1">
        <f t="array" aca="1" ref="E362" ca="1">$B362-INDIRECT(ADDRESS(ROW()-E$2,2))</f>
        <v>6.1900000000000261</v>
      </c>
      <c r="F362" s="3">
        <v>13159.870000000021</v>
      </c>
      <c r="G362" s="3">
        <v>0</v>
      </c>
      <c r="H362" s="3">
        <f t="shared" si="5"/>
        <v>13159.870000000021</v>
      </c>
      <c r="I362" s="3"/>
      <c r="J362" s="3"/>
      <c r="K362" s="3"/>
    </row>
    <row r="363" spans="1:11">
      <c r="A363" s="3">
        <v>42815</v>
      </c>
      <c r="B363" s="3">
        <v>250.68</v>
      </c>
      <c r="C363" s="4" cm="1">
        <f t="array" aca="1" ref="C363" ca="1">$B363-INDIRECT(ADDRESS(ROW()-C$2,2))</f>
        <v>6.9900000000000091</v>
      </c>
      <c r="D363" s="4" cm="1">
        <f t="array" aca="1" ref="D363" ca="1">$B363-INDIRECT(ADDRESS(ROW()-D$2,2))</f>
        <v>-7.3199999999999932</v>
      </c>
      <c r="E363" s="4" cm="1">
        <f t="array" aca="1" ref="E363" ca="1">$B363-INDIRECT(ADDRESS(ROW()-E$2,2))</f>
        <v>-11.370000000000005</v>
      </c>
      <c r="F363" s="3">
        <v>13159.870000000021</v>
      </c>
      <c r="G363" s="3">
        <v>0</v>
      </c>
      <c r="H363" s="3">
        <f t="shared" si="5"/>
        <v>13159.870000000021</v>
      </c>
      <c r="I363" s="3"/>
      <c r="J363" s="3"/>
      <c r="K363" s="3"/>
    </row>
    <row r="364" spans="1:11">
      <c r="A364" s="3">
        <v>42816</v>
      </c>
      <c r="B364" s="3">
        <v>255.01</v>
      </c>
      <c r="C364" s="4" cm="1">
        <f t="array" aca="1" ref="C364" ca="1">$B364-INDIRECT(ADDRESS(ROW()-C$2,2))</f>
        <v>8.8400000000000034</v>
      </c>
      <c r="D364" s="4" cm="1">
        <f t="array" aca="1" ref="D364" ca="1">$B364-INDIRECT(ADDRESS(ROW()-D$2,2))</f>
        <v>-0.71999999999999886</v>
      </c>
      <c r="E364" s="4" cm="1">
        <f t="array" aca="1" ref="E364" ca="1">$B364-INDIRECT(ADDRESS(ROW()-E$2,2))</f>
        <v>-6.4900000000000091</v>
      </c>
      <c r="F364" s="3">
        <v>13159.870000000021</v>
      </c>
      <c r="G364" s="3">
        <v>0</v>
      </c>
      <c r="H364" s="3">
        <f t="shared" si="5"/>
        <v>13159.870000000021</v>
      </c>
      <c r="I364" s="3"/>
      <c r="J364" s="3"/>
      <c r="K364" s="3"/>
    </row>
    <row r="365" spans="1:11">
      <c r="A365" s="3">
        <v>42817</v>
      </c>
      <c r="B365" s="3">
        <v>254.78</v>
      </c>
      <c r="C365" s="4" cm="1">
        <f t="array" aca="1" ref="C365" ca="1">$B365-INDIRECT(ADDRESS(ROW()-C$2,2))</f>
        <v>-3.2199999999999989</v>
      </c>
      <c r="D365" s="4" cm="1">
        <f t="array" aca="1" ref="D365" ca="1">$B365-INDIRECT(ADDRESS(ROW()-D$2,2))</f>
        <v>-7.2700000000000102</v>
      </c>
      <c r="E365" s="4" cm="1">
        <f t="array" aca="1" ref="E365" ca="1">$B365-INDIRECT(ADDRESS(ROW()-E$2,2))</f>
        <v>-7.1400000000000148</v>
      </c>
      <c r="F365" s="3">
        <v>13159.870000000021</v>
      </c>
      <c r="G365" s="3">
        <v>0</v>
      </c>
      <c r="H365" s="3">
        <f t="shared" si="5"/>
        <v>13159.870000000021</v>
      </c>
      <c r="I365" s="3"/>
      <c r="J365" s="3"/>
      <c r="K365" s="3"/>
    </row>
    <row r="366" spans="1:11">
      <c r="A366" s="3">
        <v>42818</v>
      </c>
      <c r="B366" s="3">
        <v>263.16000000000003</v>
      </c>
      <c r="C366" s="4" cm="1">
        <f t="array" aca="1" ref="C366" ca="1">$B366-INDIRECT(ADDRESS(ROW()-C$2,2))</f>
        <v>7.4300000000000352</v>
      </c>
      <c r="D366" s="4" cm="1">
        <f t="array" aca="1" ref="D366" ca="1">$B366-INDIRECT(ADDRESS(ROW()-D$2,2))</f>
        <v>1.660000000000025</v>
      </c>
      <c r="E366" s="4" cm="1">
        <f t="array" aca="1" ref="E366" ca="1">$B366-INDIRECT(ADDRESS(ROW()-E$2,2))</f>
        <v>12.480000000000018</v>
      </c>
      <c r="F366" s="3">
        <v>13159.870000000021</v>
      </c>
      <c r="G366" s="3">
        <v>0</v>
      </c>
      <c r="H366" s="3">
        <f t="shared" si="5"/>
        <v>13159.870000000021</v>
      </c>
      <c r="I366" s="3"/>
      <c r="J366" s="3"/>
      <c r="K366" s="3"/>
    </row>
    <row r="367" spans="1:11">
      <c r="A367" s="3">
        <v>42821</v>
      </c>
      <c r="B367" s="3">
        <v>270.22000000000003</v>
      </c>
      <c r="C367" s="4" cm="1">
        <f t="array" aca="1" ref="C367" ca="1">$B367-INDIRECT(ADDRESS(ROW()-C$2,2))</f>
        <v>8.1700000000000159</v>
      </c>
      <c r="D367" s="4" cm="1">
        <f t="array" aca="1" ref="D367" ca="1">$B367-INDIRECT(ADDRESS(ROW()-D$2,2))</f>
        <v>8.3000000000000114</v>
      </c>
      <c r="E367" s="4" cm="1">
        <f t="array" aca="1" ref="E367" ca="1">$B367-INDIRECT(ADDRESS(ROW()-E$2,2))</f>
        <v>15.210000000000036</v>
      </c>
      <c r="F367" s="3">
        <v>13159.870000000021</v>
      </c>
      <c r="G367" s="3">
        <v>0</v>
      </c>
      <c r="H367" s="3">
        <f t="shared" ref="H367:H430" si="6">G367+F367</f>
        <v>13159.870000000021</v>
      </c>
      <c r="I367" s="3"/>
      <c r="J367" s="3"/>
      <c r="K367" s="3"/>
    </row>
    <row r="368" spans="1:11">
      <c r="A368" s="3">
        <v>42822</v>
      </c>
      <c r="B368" s="3">
        <v>277.45</v>
      </c>
      <c r="C368" s="4" cm="1">
        <f t="array" aca="1" ref="C368" ca="1">$B368-INDIRECT(ADDRESS(ROW()-C$2,2))</f>
        <v>15.949999999999989</v>
      </c>
      <c r="D368" s="4" cm="1">
        <f t="array" aca="1" ref="D368" ca="1">$B368-INDIRECT(ADDRESS(ROW()-D$2,2))</f>
        <v>26.769999999999982</v>
      </c>
      <c r="E368" s="4" cm="1">
        <f t="array" aca="1" ref="E368" ca="1">$B368-INDIRECT(ADDRESS(ROW()-E$2,2))</f>
        <v>22.669999999999987</v>
      </c>
      <c r="F368" s="3">
        <v>13159.870000000021</v>
      </c>
      <c r="G368" s="3">
        <v>0</v>
      </c>
      <c r="H368" s="3">
        <f t="shared" si="6"/>
        <v>13159.870000000021</v>
      </c>
      <c r="I368" s="3"/>
      <c r="J368" s="3"/>
      <c r="K368" s="3"/>
    </row>
    <row r="369" spans="1:11">
      <c r="A369" s="3">
        <v>42823</v>
      </c>
      <c r="B369" s="3">
        <v>277.38</v>
      </c>
      <c r="C369" s="4" cm="1">
        <f t="array" aca="1" ref="C369" ca="1">$B369-INDIRECT(ADDRESS(ROW()-C$2,2))</f>
        <v>15.45999999999998</v>
      </c>
      <c r="D369" s="4" cm="1">
        <f t="array" aca="1" ref="D369" ca="1">$B369-INDIRECT(ADDRESS(ROW()-D$2,2))</f>
        <v>22.370000000000005</v>
      </c>
      <c r="E369" s="4" cm="1">
        <f t="array" aca="1" ref="E369" ca="1">$B369-INDIRECT(ADDRESS(ROW()-E$2,2))</f>
        <v>14.21999999999997</v>
      </c>
      <c r="F369" s="3">
        <v>13159.870000000021</v>
      </c>
      <c r="G369" s="3">
        <v>0</v>
      </c>
      <c r="H369" s="3">
        <f t="shared" si="6"/>
        <v>13159.870000000021</v>
      </c>
      <c r="I369" s="3"/>
      <c r="J369" s="3"/>
      <c r="K369" s="3"/>
    </row>
    <row r="370" spans="1:11">
      <c r="A370" s="3">
        <v>42824</v>
      </c>
      <c r="B370" s="3">
        <v>277.92</v>
      </c>
      <c r="C370" s="4" cm="1">
        <f t="array" aca="1" ref="C370" ca="1">$B370-INDIRECT(ADDRESS(ROW()-C$2,2))</f>
        <v>27.240000000000009</v>
      </c>
      <c r="D370" s="4" cm="1">
        <f t="array" aca="1" ref="D370" ca="1">$B370-INDIRECT(ADDRESS(ROW()-D$2,2))</f>
        <v>23.140000000000015</v>
      </c>
      <c r="E370" s="4" cm="1">
        <f t="array" aca="1" ref="E370" ca="1">$B370-INDIRECT(ADDRESS(ROW()-E$2,2))</f>
        <v>7.6999999999999886</v>
      </c>
      <c r="F370" s="3">
        <v>13159.870000000021</v>
      </c>
      <c r="G370" s="3">
        <v>0</v>
      </c>
      <c r="H370" s="3">
        <f t="shared" si="6"/>
        <v>13159.870000000021</v>
      </c>
      <c r="I370" s="3"/>
      <c r="J370" s="3"/>
      <c r="K370" s="3"/>
    </row>
    <row r="371" spans="1:11">
      <c r="A371" s="3">
        <v>42825</v>
      </c>
      <c r="B371" s="3">
        <v>278.3</v>
      </c>
      <c r="C371" s="4" cm="1">
        <f t="array" aca="1" ref="C371" ca="1">$B371-INDIRECT(ADDRESS(ROW()-C$2,2))</f>
        <v>23.29000000000002</v>
      </c>
      <c r="D371" s="4" cm="1">
        <f t="array" aca="1" ref="D371" ca="1">$B371-INDIRECT(ADDRESS(ROW()-D$2,2))</f>
        <v>15.139999999999986</v>
      </c>
      <c r="E371" s="4" cm="1">
        <f t="array" aca="1" ref="E371" ca="1">$B371-INDIRECT(ADDRESS(ROW()-E$2,2))</f>
        <v>0.85000000000002274</v>
      </c>
      <c r="F371" s="3">
        <v>13159.870000000021</v>
      </c>
      <c r="G371" s="3">
        <v>0</v>
      </c>
      <c r="H371" s="3">
        <f t="shared" si="6"/>
        <v>13159.870000000021</v>
      </c>
      <c r="I371" s="3"/>
      <c r="J371" s="3"/>
      <c r="K371" s="3"/>
    </row>
    <row r="372" spans="1:11">
      <c r="A372" s="3">
        <v>42828</v>
      </c>
      <c r="B372" s="3">
        <v>298.52</v>
      </c>
      <c r="C372" s="4" cm="1">
        <f t="array" aca="1" ref="C372" ca="1">$B372-INDIRECT(ADDRESS(ROW()-C$2,2))</f>
        <v>43.739999999999981</v>
      </c>
      <c r="D372" s="4" cm="1">
        <f t="array" aca="1" ref="D372" ca="1">$B372-INDIRECT(ADDRESS(ROW()-D$2,2))</f>
        <v>28.299999999999955</v>
      </c>
      <c r="E372" s="4" cm="1">
        <f t="array" aca="1" ref="E372" ca="1">$B372-INDIRECT(ADDRESS(ROW()-E$2,2))</f>
        <v>21.139999999999986</v>
      </c>
      <c r="F372" s="3">
        <v>13159.870000000021</v>
      </c>
      <c r="G372" s="3">
        <v>0</v>
      </c>
      <c r="H372" s="3">
        <f t="shared" si="6"/>
        <v>13159.870000000021</v>
      </c>
      <c r="I372" s="3"/>
      <c r="J372" s="3"/>
      <c r="K372" s="3"/>
    </row>
    <row r="373" spans="1:11">
      <c r="A373" s="3">
        <v>42829</v>
      </c>
      <c r="B373" s="3">
        <v>303.7</v>
      </c>
      <c r="C373" s="4" cm="1">
        <f t="array" aca="1" ref="C373" ca="1">$B373-INDIRECT(ADDRESS(ROW()-C$2,2))</f>
        <v>40.539999999999964</v>
      </c>
      <c r="D373" s="4" cm="1">
        <f t="array" aca="1" ref="D373" ca="1">$B373-INDIRECT(ADDRESS(ROW()-D$2,2))</f>
        <v>26.25</v>
      </c>
      <c r="E373" s="4" cm="1">
        <f t="array" aca="1" ref="E373" ca="1">$B373-INDIRECT(ADDRESS(ROW()-E$2,2))</f>
        <v>25.779999999999973</v>
      </c>
      <c r="F373" s="3">
        <v>13159.870000000021</v>
      </c>
      <c r="G373" s="3">
        <v>0</v>
      </c>
      <c r="H373" s="3">
        <f t="shared" si="6"/>
        <v>13159.870000000021</v>
      </c>
      <c r="I373" s="3"/>
      <c r="J373" s="3"/>
      <c r="K373" s="3"/>
    </row>
    <row r="374" spans="1:11">
      <c r="A374" s="3">
        <v>42830</v>
      </c>
      <c r="B374" s="3">
        <v>295</v>
      </c>
      <c r="C374" s="4" cm="1">
        <f t="array" aca="1" ref="C374" ca="1">$B374-INDIRECT(ADDRESS(ROW()-C$2,2))</f>
        <v>24.779999999999973</v>
      </c>
      <c r="D374" s="4" cm="1">
        <f t="array" aca="1" ref="D374" ca="1">$B374-INDIRECT(ADDRESS(ROW()-D$2,2))</f>
        <v>17.620000000000005</v>
      </c>
      <c r="E374" s="4" cm="1">
        <f t="array" aca="1" ref="E374" ca="1">$B374-INDIRECT(ADDRESS(ROW()-E$2,2))</f>
        <v>16.699999999999989</v>
      </c>
      <c r="F374" s="3">
        <v>13159.870000000021</v>
      </c>
      <c r="G374" s="3">
        <v>0</v>
      </c>
      <c r="H374" s="3">
        <f t="shared" si="6"/>
        <v>13159.870000000021</v>
      </c>
      <c r="I374" s="3"/>
      <c r="J374" s="3"/>
      <c r="K374" s="3"/>
    </row>
    <row r="375" spans="1:11">
      <c r="A375" s="3">
        <v>42831</v>
      </c>
      <c r="B375" s="3">
        <v>298.7</v>
      </c>
      <c r="C375" s="4" cm="1">
        <f t="array" aca="1" ref="C375" ca="1">$B375-INDIRECT(ADDRESS(ROW()-C$2,2))</f>
        <v>21.25</v>
      </c>
      <c r="D375" s="4" cm="1">
        <f t="array" aca="1" ref="D375" ca="1">$B375-INDIRECT(ADDRESS(ROW()-D$2,2))</f>
        <v>20.779999999999973</v>
      </c>
      <c r="E375" s="4" cm="1">
        <f t="array" aca="1" ref="E375" ca="1">$B375-INDIRECT(ADDRESS(ROW()-E$2,2))</f>
        <v>0.18000000000000682</v>
      </c>
      <c r="F375" s="3">
        <v>13159.870000000021</v>
      </c>
      <c r="G375" s="3">
        <v>0</v>
      </c>
      <c r="H375" s="3">
        <f t="shared" si="6"/>
        <v>13159.870000000021</v>
      </c>
      <c r="I375" s="3"/>
      <c r="J375" s="3"/>
      <c r="K375" s="3"/>
    </row>
    <row r="376" spans="1:11">
      <c r="A376" s="3">
        <v>42832</v>
      </c>
      <c r="B376" s="3">
        <v>302.54000000000002</v>
      </c>
      <c r="C376" s="4" cm="1">
        <f t="array" aca="1" ref="C376" ca="1">$B376-INDIRECT(ADDRESS(ROW()-C$2,2))</f>
        <v>25.160000000000025</v>
      </c>
      <c r="D376" s="4" cm="1">
        <f t="array" aca="1" ref="D376" ca="1">$B376-INDIRECT(ADDRESS(ROW()-D$2,2))</f>
        <v>24.240000000000009</v>
      </c>
      <c r="E376" s="4" cm="1">
        <f t="array" aca="1" ref="E376" ca="1">$B376-INDIRECT(ADDRESS(ROW()-E$2,2))</f>
        <v>-1.1599999999999682</v>
      </c>
      <c r="F376" s="3">
        <v>13159.870000000021</v>
      </c>
      <c r="G376" s="3">
        <v>0</v>
      </c>
      <c r="H376" s="3">
        <f t="shared" si="6"/>
        <v>13159.870000000021</v>
      </c>
      <c r="I376" s="3"/>
      <c r="J376" s="3"/>
      <c r="K376" s="3"/>
    </row>
    <row r="377" spans="1:11">
      <c r="A377" s="3">
        <v>42835</v>
      </c>
      <c r="B377" s="3">
        <v>312.39</v>
      </c>
      <c r="C377" s="4" cm="1">
        <f t="array" aca="1" ref="C377" ca="1">$B377-INDIRECT(ADDRESS(ROW()-C$2,2))</f>
        <v>34.46999999999997</v>
      </c>
      <c r="D377" s="4" cm="1">
        <f t="array" aca="1" ref="D377" ca="1">$B377-INDIRECT(ADDRESS(ROW()-D$2,2))</f>
        <v>13.870000000000005</v>
      </c>
      <c r="E377" s="4" cm="1">
        <f t="array" aca="1" ref="E377" ca="1">$B377-INDIRECT(ADDRESS(ROW()-E$2,2))</f>
        <v>17.389999999999986</v>
      </c>
      <c r="F377" s="3">
        <v>13159.870000000021</v>
      </c>
      <c r="G377" s="3">
        <v>0</v>
      </c>
      <c r="H377" s="3">
        <f t="shared" si="6"/>
        <v>13159.870000000021</v>
      </c>
      <c r="I377" s="3"/>
      <c r="J377" s="3"/>
      <c r="K377" s="3"/>
    </row>
    <row r="378" spans="1:11">
      <c r="A378" s="3">
        <v>42836</v>
      </c>
      <c r="B378" s="3">
        <v>308.70999999999998</v>
      </c>
      <c r="C378" s="4" cm="1">
        <f t="array" aca="1" ref="C378" ca="1">$B378-INDIRECT(ADDRESS(ROW()-C$2,2))</f>
        <v>30.409999999999968</v>
      </c>
      <c r="D378" s="4" cm="1">
        <f t="array" aca="1" ref="D378" ca="1">$B378-INDIRECT(ADDRESS(ROW()-D$2,2))</f>
        <v>5.0099999999999909</v>
      </c>
      <c r="E378" s="4" cm="1">
        <f t="array" aca="1" ref="E378" ca="1">$B378-INDIRECT(ADDRESS(ROW()-E$2,2))</f>
        <v>10.009999999999991</v>
      </c>
      <c r="F378" s="3">
        <v>13159.870000000021</v>
      </c>
      <c r="G378" s="3">
        <v>0</v>
      </c>
      <c r="H378" s="3">
        <f t="shared" si="6"/>
        <v>13159.870000000021</v>
      </c>
      <c r="I378" s="3"/>
      <c r="J378" s="3"/>
      <c r="K378" s="3"/>
    </row>
    <row r="379" spans="1:11">
      <c r="A379" s="3">
        <v>42837</v>
      </c>
      <c r="B379" s="3">
        <v>296.83999999999997</v>
      </c>
      <c r="C379" s="4" cm="1">
        <f t="array" aca="1" ref="C379" ca="1">$B379-INDIRECT(ADDRESS(ROW()-C$2,2))</f>
        <v>-1.6800000000000068</v>
      </c>
      <c r="D379" s="4" cm="1">
        <f t="array" aca="1" ref="D379" ca="1">$B379-INDIRECT(ADDRESS(ROW()-D$2,2))</f>
        <v>1.839999999999975</v>
      </c>
      <c r="E379" s="4" cm="1">
        <f t="array" aca="1" ref="E379" ca="1">$B379-INDIRECT(ADDRESS(ROW()-E$2,2))</f>
        <v>-5.7000000000000455</v>
      </c>
      <c r="F379" s="3">
        <v>13159.870000000021</v>
      </c>
      <c r="G379" s="3">
        <v>0</v>
      </c>
      <c r="H379" s="3">
        <f t="shared" si="6"/>
        <v>13159.870000000021</v>
      </c>
      <c r="I379" s="3"/>
      <c r="J379" s="3"/>
      <c r="K379" s="3"/>
    </row>
    <row r="380" spans="1:11">
      <c r="A380" s="3">
        <v>42838</v>
      </c>
      <c r="B380" s="3">
        <v>304</v>
      </c>
      <c r="C380" s="4" cm="1">
        <f t="array" aca="1" ref="C380" ca="1">$B380-INDIRECT(ADDRESS(ROW()-C$2,2))</f>
        <v>0.30000000000001137</v>
      </c>
      <c r="D380" s="4" cm="1">
        <f t="array" aca="1" ref="D380" ca="1">$B380-INDIRECT(ADDRESS(ROW()-D$2,2))</f>
        <v>5.3000000000000114</v>
      </c>
      <c r="E380" s="4" cm="1">
        <f t="array" aca="1" ref="E380" ca="1">$B380-INDIRECT(ADDRESS(ROW()-E$2,2))</f>
        <v>-8.3899999999999864</v>
      </c>
      <c r="F380" s="3">
        <v>13159.870000000021</v>
      </c>
      <c r="G380" s="3">
        <v>0</v>
      </c>
      <c r="H380" s="3">
        <f t="shared" si="6"/>
        <v>13159.870000000021</v>
      </c>
      <c r="I380" s="3"/>
      <c r="J380" s="3"/>
      <c r="K380" s="3"/>
    </row>
    <row r="381" spans="1:11">
      <c r="A381" s="3">
        <v>42842</v>
      </c>
      <c r="B381" s="3">
        <v>301.44</v>
      </c>
      <c r="C381" s="4" cm="1">
        <f t="array" aca="1" ref="C381" ca="1">$B381-INDIRECT(ADDRESS(ROW()-C$2,2))</f>
        <v>6.4399999999999977</v>
      </c>
      <c r="D381" s="4" cm="1">
        <f t="array" aca="1" ref="D381" ca="1">$B381-INDIRECT(ADDRESS(ROW()-D$2,2))</f>
        <v>-1.1000000000000227</v>
      </c>
      <c r="E381" s="4" cm="1">
        <f t="array" aca="1" ref="E381" ca="1">$B381-INDIRECT(ADDRESS(ROW()-E$2,2))</f>
        <v>-7.2699999999999818</v>
      </c>
      <c r="F381" s="3">
        <v>13159.870000000021</v>
      </c>
      <c r="G381" s="3">
        <v>0</v>
      </c>
      <c r="H381" s="3">
        <f t="shared" si="6"/>
        <v>13159.870000000021</v>
      </c>
      <c r="I381" s="3"/>
      <c r="J381" s="3"/>
      <c r="K381" s="3"/>
    </row>
    <row r="382" spans="1:11">
      <c r="A382" s="3">
        <v>42843</v>
      </c>
      <c r="B382" s="3">
        <v>300.25</v>
      </c>
      <c r="C382" s="4" cm="1">
        <f t="array" aca="1" ref="C382" ca="1">$B382-INDIRECT(ADDRESS(ROW()-C$2,2))</f>
        <v>1.5500000000000114</v>
      </c>
      <c r="D382" s="4" cm="1">
        <f t="array" aca="1" ref="D382" ca="1">$B382-INDIRECT(ADDRESS(ROW()-D$2,2))</f>
        <v>-12.139999999999986</v>
      </c>
      <c r="E382" s="4" cm="1">
        <f t="array" aca="1" ref="E382" ca="1">$B382-INDIRECT(ADDRESS(ROW()-E$2,2))</f>
        <v>3.410000000000025</v>
      </c>
      <c r="F382" s="3">
        <v>13159.870000000021</v>
      </c>
      <c r="G382" s="3">
        <v>0</v>
      </c>
      <c r="H382" s="3">
        <f t="shared" si="6"/>
        <v>13159.870000000021</v>
      </c>
      <c r="I382" s="3"/>
      <c r="J382" s="3"/>
      <c r="K382" s="3"/>
    </row>
    <row r="383" spans="1:11">
      <c r="A383" s="3">
        <v>42844</v>
      </c>
      <c r="B383" s="3">
        <v>305.52</v>
      </c>
      <c r="C383" s="4" cm="1">
        <f t="array" aca="1" ref="C383" ca="1">$B383-INDIRECT(ADDRESS(ROW()-C$2,2))</f>
        <v>2.9799999999999613</v>
      </c>
      <c r="D383" s="4" cm="1">
        <f t="array" aca="1" ref="D383" ca="1">$B383-INDIRECT(ADDRESS(ROW()-D$2,2))</f>
        <v>-3.1899999999999977</v>
      </c>
      <c r="E383" s="4" cm="1">
        <f t="array" aca="1" ref="E383" ca="1">$B383-INDIRECT(ADDRESS(ROW()-E$2,2))</f>
        <v>1.5199999999999818</v>
      </c>
      <c r="F383" s="3">
        <v>13159.870000000021</v>
      </c>
      <c r="G383" s="3">
        <v>0</v>
      </c>
      <c r="H383" s="3">
        <f t="shared" si="6"/>
        <v>13159.870000000021</v>
      </c>
      <c r="I383" s="3"/>
      <c r="J383" s="3"/>
      <c r="K383" s="3"/>
    </row>
    <row r="384" spans="1:11">
      <c r="A384" s="3">
        <v>42845</v>
      </c>
      <c r="B384" s="3">
        <v>302.51</v>
      </c>
      <c r="C384" s="4" cm="1">
        <f t="array" aca="1" ref="C384" ca="1">$B384-INDIRECT(ADDRESS(ROW()-C$2,2))</f>
        <v>-9.8799999999999955</v>
      </c>
      <c r="D384" s="4" cm="1">
        <f t="array" aca="1" ref="D384" ca="1">$B384-INDIRECT(ADDRESS(ROW()-D$2,2))</f>
        <v>5.6700000000000159</v>
      </c>
      <c r="E384" s="4" cm="1">
        <f t="array" aca="1" ref="E384" ca="1">$B384-INDIRECT(ADDRESS(ROW()-E$2,2))</f>
        <v>1.0699999999999932</v>
      </c>
      <c r="F384" s="3">
        <v>151.94000000001301</v>
      </c>
      <c r="G384" s="3">
        <v>13007.93</v>
      </c>
      <c r="H384" s="3">
        <f t="shared" si="6"/>
        <v>13159.870000000014</v>
      </c>
      <c r="I384" s="3"/>
      <c r="J384" s="3"/>
      <c r="K384" s="3"/>
    </row>
    <row r="385" spans="1:11">
      <c r="A385" s="3">
        <v>42846</v>
      </c>
      <c r="B385" s="3">
        <v>305.60000000000002</v>
      </c>
      <c r="C385" s="4" cm="1">
        <f t="array" aca="1" ref="C385" ca="1">$B385-INDIRECT(ADDRESS(ROW()-C$2,2))</f>
        <v>-3.1099999999999568</v>
      </c>
      <c r="D385" s="4" cm="1">
        <f t="array" aca="1" ref="D385" ca="1">$B385-INDIRECT(ADDRESS(ROW()-D$2,2))</f>
        <v>1.6000000000000227</v>
      </c>
      <c r="E385" s="4" cm="1">
        <f t="array" aca="1" ref="E385" ca="1">$B385-INDIRECT(ADDRESS(ROW()-E$2,2))</f>
        <v>5.3500000000000227</v>
      </c>
      <c r="F385" s="3">
        <v>151.94000000001301</v>
      </c>
      <c r="G385" s="3">
        <v>13140.800000000001</v>
      </c>
      <c r="H385" s="3">
        <f t="shared" si="6"/>
        <v>13292.740000000014</v>
      </c>
      <c r="I385" s="3"/>
      <c r="J385" s="3"/>
      <c r="K385" s="3"/>
    </row>
    <row r="386" spans="1:11">
      <c r="A386" s="3">
        <v>42849</v>
      </c>
      <c r="B386" s="3">
        <v>308.02999999999997</v>
      </c>
      <c r="C386" s="4" cm="1">
        <f t="array" aca="1" ref="C386" ca="1">$B386-INDIRECT(ADDRESS(ROW()-C$2,2))</f>
        <v>11.189999999999998</v>
      </c>
      <c r="D386" s="4" cm="1">
        <f t="array" aca="1" ref="D386" ca="1">$B386-INDIRECT(ADDRESS(ROW()-D$2,2))</f>
        <v>6.589999999999975</v>
      </c>
      <c r="E386" s="4" cm="1">
        <f t="array" aca="1" ref="E386" ca="1">$B386-INDIRECT(ADDRESS(ROW()-E$2,2))</f>
        <v>2.5099999999999909</v>
      </c>
      <c r="F386" s="3">
        <v>151.94000000001301</v>
      </c>
      <c r="G386" s="3">
        <v>13245.289999999999</v>
      </c>
      <c r="H386" s="3">
        <f t="shared" si="6"/>
        <v>13397.230000000012</v>
      </c>
      <c r="I386" s="3"/>
      <c r="J386" s="3"/>
      <c r="K386" s="3"/>
    </row>
    <row r="387" spans="1:11">
      <c r="A387" s="3">
        <v>42850</v>
      </c>
      <c r="B387" s="3">
        <v>313.79000000000002</v>
      </c>
      <c r="C387" s="4" cm="1">
        <f t="array" aca="1" ref="C387" ca="1">$B387-INDIRECT(ADDRESS(ROW()-C$2,2))</f>
        <v>9.7900000000000205</v>
      </c>
      <c r="D387" s="4" cm="1">
        <f t="array" aca="1" ref="D387" ca="1">$B387-INDIRECT(ADDRESS(ROW()-D$2,2))</f>
        <v>13.54000000000002</v>
      </c>
      <c r="E387" s="4" cm="1">
        <f t="array" aca="1" ref="E387" ca="1">$B387-INDIRECT(ADDRESS(ROW()-E$2,2))</f>
        <v>11.28000000000003</v>
      </c>
      <c r="F387" s="3">
        <v>151.94000000001301</v>
      </c>
      <c r="G387" s="3">
        <v>13492.970000000001</v>
      </c>
      <c r="H387" s="3">
        <f t="shared" si="6"/>
        <v>13644.910000000014</v>
      </c>
      <c r="I387" s="3"/>
      <c r="J387" s="3"/>
      <c r="K387" s="3"/>
    </row>
    <row r="388" spans="1:11">
      <c r="A388" s="3">
        <v>42851</v>
      </c>
      <c r="B388" s="3">
        <v>310.17</v>
      </c>
      <c r="C388" s="4" cm="1">
        <f t="array" aca="1" ref="C388" ca="1">$B388-INDIRECT(ADDRESS(ROW()-C$2,2))</f>
        <v>8.7300000000000182</v>
      </c>
      <c r="D388" s="4" cm="1">
        <f t="array" aca="1" ref="D388" ca="1">$B388-INDIRECT(ADDRESS(ROW()-D$2,2))</f>
        <v>4.6500000000000341</v>
      </c>
      <c r="E388" s="4" cm="1">
        <f t="array" aca="1" ref="E388" ca="1">$B388-INDIRECT(ADDRESS(ROW()-E$2,2))</f>
        <v>4.5699999999999932</v>
      </c>
      <c r="F388" s="3">
        <v>151.94000000001301</v>
      </c>
      <c r="G388" s="3">
        <v>13337.310000000001</v>
      </c>
      <c r="H388" s="3">
        <f t="shared" si="6"/>
        <v>13489.250000000015</v>
      </c>
      <c r="I388" s="3"/>
      <c r="J388" s="3"/>
      <c r="K388" s="3"/>
    </row>
    <row r="389" spans="1:11">
      <c r="A389" s="3">
        <v>42852</v>
      </c>
      <c r="B389" s="3">
        <v>308.63</v>
      </c>
      <c r="C389" s="4" cm="1">
        <f t="array" aca="1" ref="C389" ca="1">$B389-INDIRECT(ADDRESS(ROW()-C$2,2))</f>
        <v>8.3799999999999955</v>
      </c>
      <c r="D389" s="4" cm="1">
        <f t="array" aca="1" ref="D389" ca="1">$B389-INDIRECT(ADDRESS(ROW()-D$2,2))</f>
        <v>6.1200000000000045</v>
      </c>
      <c r="E389" s="4" cm="1">
        <f t="array" aca="1" ref="E389" ca="1">$B389-INDIRECT(ADDRESS(ROW()-E$2,2))</f>
        <v>0.60000000000002274</v>
      </c>
      <c r="F389" s="3">
        <v>151.94000000001301</v>
      </c>
      <c r="G389" s="3">
        <v>13271.09</v>
      </c>
      <c r="H389" s="3">
        <f t="shared" si="6"/>
        <v>13423.030000000013</v>
      </c>
      <c r="I389" s="3"/>
      <c r="J389" s="3"/>
      <c r="K389" s="3"/>
    </row>
    <row r="390" spans="1:11">
      <c r="A390" s="3">
        <v>42853</v>
      </c>
      <c r="B390" s="3">
        <v>314.07</v>
      </c>
      <c r="C390" s="4" cm="1">
        <f t="array" aca="1" ref="C390" ca="1">$B390-INDIRECT(ADDRESS(ROW()-C$2,2))</f>
        <v>8.5500000000000114</v>
      </c>
      <c r="D390" s="4" cm="1">
        <f t="array" aca="1" ref="D390" ca="1">$B390-INDIRECT(ADDRESS(ROW()-D$2,2))</f>
        <v>8.4699999999999704</v>
      </c>
      <c r="E390" s="4" cm="1">
        <f t="array" aca="1" ref="E390" ca="1">$B390-INDIRECT(ADDRESS(ROW()-E$2,2))</f>
        <v>0.27999999999997272</v>
      </c>
      <c r="F390" s="3">
        <v>151.94000000001301</v>
      </c>
      <c r="G390" s="3">
        <v>13505.01</v>
      </c>
      <c r="H390" s="3">
        <f t="shared" si="6"/>
        <v>13656.950000000013</v>
      </c>
      <c r="I390" s="3"/>
      <c r="J390" s="3"/>
      <c r="K390" s="3"/>
    </row>
    <row r="391" spans="1:11">
      <c r="A391" s="3">
        <v>42856</v>
      </c>
      <c r="B391" s="3">
        <v>322.83</v>
      </c>
      <c r="C391" s="4" cm="1">
        <f t="array" aca="1" ref="C391" ca="1">$B391-INDIRECT(ADDRESS(ROW()-C$2,2))</f>
        <v>20.319999999999993</v>
      </c>
      <c r="D391" s="4" cm="1">
        <f t="array" aca="1" ref="D391" ca="1">$B391-INDIRECT(ADDRESS(ROW()-D$2,2))</f>
        <v>14.800000000000011</v>
      </c>
      <c r="E391" s="4" cm="1">
        <f t="array" aca="1" ref="E391" ca="1">$B391-INDIRECT(ADDRESS(ROW()-E$2,2))</f>
        <v>12.659999999999968</v>
      </c>
      <c r="F391" s="3">
        <v>151.94000000001301</v>
      </c>
      <c r="G391" s="3">
        <v>13881.689999999999</v>
      </c>
      <c r="H391" s="3">
        <f t="shared" si="6"/>
        <v>14033.630000000012</v>
      </c>
      <c r="I391" s="3"/>
      <c r="J391" s="3"/>
      <c r="K391" s="3"/>
    </row>
    <row r="392" spans="1:11">
      <c r="A392" s="3">
        <v>42857</v>
      </c>
      <c r="B392" s="3">
        <v>318.89</v>
      </c>
      <c r="C392" s="4" cm="1">
        <f t="array" aca="1" ref="C392" ca="1">$B392-INDIRECT(ADDRESS(ROW()-C$2,2))</f>
        <v>13.289999999999964</v>
      </c>
      <c r="D392" s="4" cm="1">
        <f t="array" aca="1" ref="D392" ca="1">$B392-INDIRECT(ADDRESS(ROW()-D$2,2))</f>
        <v>5.0999999999999659</v>
      </c>
      <c r="E392" s="4" cm="1">
        <f t="array" aca="1" ref="E392" ca="1">$B392-INDIRECT(ADDRESS(ROW()-E$2,2))</f>
        <v>10.259999999999991</v>
      </c>
      <c r="F392" s="3">
        <v>151.94000000001301</v>
      </c>
      <c r="G392" s="3">
        <v>13712.269999999999</v>
      </c>
      <c r="H392" s="3">
        <f t="shared" si="6"/>
        <v>13864.210000000012</v>
      </c>
      <c r="I392" s="3"/>
      <c r="J392" s="3"/>
      <c r="K392" s="3"/>
    </row>
    <row r="393" spans="1:11">
      <c r="A393" s="3">
        <v>42858</v>
      </c>
      <c r="B393" s="3">
        <v>311.02</v>
      </c>
      <c r="C393" s="4" cm="1">
        <f t="array" aca="1" ref="C393" ca="1">$B393-INDIRECT(ADDRESS(ROW()-C$2,2))</f>
        <v>2.9900000000000091</v>
      </c>
      <c r="D393" s="4" cm="1">
        <f t="array" aca="1" ref="D393" ca="1">$B393-INDIRECT(ADDRESS(ROW()-D$2,2))</f>
        <v>0.84999999999996589</v>
      </c>
      <c r="E393" s="4" cm="1">
        <f t="array" aca="1" ref="E393" ca="1">$B393-INDIRECT(ADDRESS(ROW()-E$2,2))</f>
        <v>-3.0500000000000114</v>
      </c>
      <c r="F393" s="3">
        <v>151.94000000001301</v>
      </c>
      <c r="G393" s="3">
        <v>13373.859999999999</v>
      </c>
      <c r="H393" s="3">
        <f t="shared" si="6"/>
        <v>13525.800000000012</v>
      </c>
      <c r="I393" s="3"/>
      <c r="J393" s="3"/>
      <c r="K393" s="3"/>
    </row>
    <row r="394" spans="1:11">
      <c r="A394" s="3">
        <v>42859</v>
      </c>
      <c r="B394" s="3">
        <v>295.45999999999998</v>
      </c>
      <c r="C394" s="4" cm="1">
        <f t="array" aca="1" ref="C394" ca="1">$B394-INDIRECT(ADDRESS(ROW()-C$2,2))</f>
        <v>-18.330000000000041</v>
      </c>
      <c r="D394" s="4" cm="1">
        <f t="array" aca="1" ref="D394" ca="1">$B394-INDIRECT(ADDRESS(ROW()-D$2,2))</f>
        <v>-13.170000000000016</v>
      </c>
      <c r="E394" s="4" cm="1">
        <f t="array" aca="1" ref="E394" ca="1">$B394-INDIRECT(ADDRESS(ROW()-E$2,2))</f>
        <v>-27.370000000000005</v>
      </c>
      <c r="F394" s="3">
        <v>151.94000000001301</v>
      </c>
      <c r="G394" s="3">
        <v>12704.779999999999</v>
      </c>
      <c r="H394" s="3">
        <f t="shared" si="6"/>
        <v>12856.720000000012</v>
      </c>
      <c r="I394" s="3"/>
      <c r="J394" s="3"/>
      <c r="K394" s="3"/>
    </row>
    <row r="395" spans="1:11">
      <c r="A395" s="3">
        <v>42860</v>
      </c>
      <c r="B395" s="3">
        <v>308.35000000000002</v>
      </c>
      <c r="C395" s="4" cm="1">
        <f t="array" aca="1" ref="C395" ca="1">$B395-INDIRECT(ADDRESS(ROW()-C$2,2))</f>
        <v>-1.8199999999999932</v>
      </c>
      <c r="D395" s="4" cm="1">
        <f t="array" aca="1" ref="D395" ca="1">$B395-INDIRECT(ADDRESS(ROW()-D$2,2))</f>
        <v>-5.7199999999999704</v>
      </c>
      <c r="E395" s="4" cm="1">
        <f t="array" aca="1" ref="E395" ca="1">$B395-INDIRECT(ADDRESS(ROW()-E$2,2))</f>
        <v>-10.539999999999964</v>
      </c>
      <c r="F395" s="3">
        <v>151.94000000001301</v>
      </c>
      <c r="G395" s="3">
        <v>13259.050000000001</v>
      </c>
      <c r="H395" s="3">
        <f t="shared" si="6"/>
        <v>13410.990000000014</v>
      </c>
      <c r="I395" s="3"/>
      <c r="J395" s="3"/>
      <c r="K395" s="3"/>
    </row>
    <row r="396" spans="1:11">
      <c r="A396" s="3">
        <v>42863</v>
      </c>
      <c r="B396" s="3">
        <v>307.19</v>
      </c>
      <c r="C396" s="4" cm="1">
        <f t="array" aca="1" ref="C396" ca="1">$B396-INDIRECT(ADDRESS(ROW()-C$2,2))</f>
        <v>-1.4399999999999977</v>
      </c>
      <c r="D396" s="4" cm="1">
        <f t="array" aca="1" ref="D396" ca="1">$B396-INDIRECT(ADDRESS(ROW()-D$2,2))</f>
        <v>-15.639999999999986</v>
      </c>
      <c r="E396" s="4" cm="1">
        <f t="array" aca="1" ref="E396" ca="1">$B396-INDIRECT(ADDRESS(ROW()-E$2,2))</f>
        <v>-3.8299999999999841</v>
      </c>
      <c r="F396" s="3">
        <v>151.94000000001301</v>
      </c>
      <c r="G396" s="3">
        <v>13209.17</v>
      </c>
      <c r="H396" s="3">
        <f t="shared" si="6"/>
        <v>13361.110000000013</v>
      </c>
      <c r="I396" s="3"/>
      <c r="J396" s="3"/>
      <c r="K396" s="3"/>
    </row>
    <row r="397" spans="1:11">
      <c r="A397" s="3">
        <v>42864</v>
      </c>
      <c r="B397" s="3">
        <v>321.26</v>
      </c>
      <c r="C397" s="4" cm="1">
        <f t="array" aca="1" ref="C397" ca="1">$B397-INDIRECT(ADDRESS(ROW()-C$2,2))</f>
        <v>7.1899999999999977</v>
      </c>
      <c r="D397" s="4" cm="1">
        <f t="array" aca="1" ref="D397" ca="1">$B397-INDIRECT(ADDRESS(ROW()-D$2,2))</f>
        <v>2.3700000000000045</v>
      </c>
      <c r="E397" s="4" cm="1">
        <f t="array" aca="1" ref="E397" ca="1">$B397-INDIRECT(ADDRESS(ROW()-E$2,2))</f>
        <v>25.800000000000011</v>
      </c>
      <c r="F397" s="3">
        <v>151.94000000001301</v>
      </c>
      <c r="G397" s="3">
        <v>13814.18</v>
      </c>
      <c r="H397" s="3">
        <f t="shared" si="6"/>
        <v>13966.120000000014</v>
      </c>
      <c r="I397" s="3"/>
      <c r="J397" s="3"/>
      <c r="K397" s="3"/>
    </row>
    <row r="398" spans="1:11">
      <c r="A398" s="3">
        <v>42865</v>
      </c>
      <c r="B398" s="3">
        <v>325.22000000000003</v>
      </c>
      <c r="C398" s="4" cm="1">
        <f t="array" aca="1" ref="C398" ca="1">$B398-INDIRECT(ADDRESS(ROW()-C$2,2))</f>
        <v>2.3900000000000432</v>
      </c>
      <c r="D398" s="4" cm="1">
        <f t="array" aca="1" ref="D398" ca="1">$B398-INDIRECT(ADDRESS(ROW()-D$2,2))</f>
        <v>14.200000000000045</v>
      </c>
      <c r="E398" s="4" cm="1">
        <f t="array" aca="1" ref="E398" ca="1">$B398-INDIRECT(ADDRESS(ROW()-E$2,2))</f>
        <v>16.870000000000005</v>
      </c>
      <c r="F398" s="3">
        <v>151.94000000001301</v>
      </c>
      <c r="G398" s="3">
        <v>13984.460000000001</v>
      </c>
      <c r="H398" s="3">
        <f t="shared" si="6"/>
        <v>14136.400000000014</v>
      </c>
      <c r="I398" s="3"/>
      <c r="J398" s="3"/>
      <c r="K398" s="3"/>
    </row>
    <row r="399" spans="1:11">
      <c r="A399" s="3">
        <v>42866</v>
      </c>
      <c r="B399" s="3">
        <v>323.10000000000002</v>
      </c>
      <c r="C399" s="4" cm="1">
        <f t="array" aca="1" ref="C399" ca="1">$B399-INDIRECT(ADDRESS(ROW()-C$2,2))</f>
        <v>4.2100000000000364</v>
      </c>
      <c r="D399" s="4" cm="1">
        <f t="array" aca="1" ref="D399" ca="1">$B399-INDIRECT(ADDRESS(ROW()-D$2,2))</f>
        <v>27.640000000000043</v>
      </c>
      <c r="E399" s="4" cm="1">
        <f t="array" aca="1" ref="E399" ca="1">$B399-INDIRECT(ADDRESS(ROW()-E$2,2))</f>
        <v>15.910000000000025</v>
      </c>
      <c r="F399" s="3">
        <v>151.94000000001301</v>
      </c>
      <c r="G399" s="3">
        <v>13893.300000000001</v>
      </c>
      <c r="H399" s="3">
        <f t="shared" si="6"/>
        <v>14045.240000000014</v>
      </c>
      <c r="I399" s="3"/>
      <c r="J399" s="3"/>
      <c r="K399" s="3"/>
    </row>
    <row r="400" spans="1:11">
      <c r="A400" s="3">
        <v>42867</v>
      </c>
      <c r="B400" s="3">
        <v>324.81</v>
      </c>
      <c r="C400" s="4" cm="1">
        <f t="array" aca="1" ref="C400" ca="1">$B400-INDIRECT(ADDRESS(ROW()-C$2,2))</f>
        <v>13.79000000000002</v>
      </c>
      <c r="D400" s="4" cm="1">
        <f t="array" aca="1" ref="D400" ca="1">$B400-INDIRECT(ADDRESS(ROW()-D$2,2))</f>
        <v>16.45999999999998</v>
      </c>
      <c r="E400" s="4" cm="1">
        <f t="array" aca="1" ref="E400" ca="1">$B400-INDIRECT(ADDRESS(ROW()-E$2,2))</f>
        <v>3.5500000000000114</v>
      </c>
      <c r="F400" s="3">
        <v>151.94000000001301</v>
      </c>
      <c r="G400" s="3">
        <v>13966.83</v>
      </c>
      <c r="H400" s="3">
        <f t="shared" si="6"/>
        <v>14118.770000000013</v>
      </c>
      <c r="I400" s="3"/>
      <c r="J400" s="3"/>
      <c r="K400" s="3"/>
    </row>
    <row r="401" spans="1:11">
      <c r="A401" s="3">
        <v>42870</v>
      </c>
      <c r="B401" s="3">
        <v>315.88</v>
      </c>
      <c r="C401" s="4" cm="1">
        <f t="array" aca="1" ref="C401" ca="1">$B401-INDIRECT(ADDRESS(ROW()-C$2,2))</f>
        <v>20.420000000000016</v>
      </c>
      <c r="D401" s="4" cm="1">
        <f t="array" aca="1" ref="D401" ca="1">$B401-INDIRECT(ADDRESS(ROW()-D$2,2))</f>
        <v>8.6899999999999977</v>
      </c>
      <c r="E401" s="4" cm="1">
        <f t="array" aca="1" ref="E401" ca="1">$B401-INDIRECT(ADDRESS(ROW()-E$2,2))</f>
        <v>-9.3400000000000318</v>
      </c>
      <c r="F401" s="3">
        <v>151.94000000001301</v>
      </c>
      <c r="G401" s="3">
        <v>13582.84</v>
      </c>
      <c r="H401" s="3">
        <f t="shared" si="6"/>
        <v>13734.780000000013</v>
      </c>
      <c r="I401" s="3"/>
      <c r="J401" s="3"/>
      <c r="K401" s="3"/>
    </row>
    <row r="402" spans="1:11">
      <c r="A402" s="3">
        <v>42871</v>
      </c>
      <c r="B402" s="3">
        <v>317.01</v>
      </c>
      <c r="C402" s="4" cm="1">
        <f t="array" aca="1" ref="C402" ca="1">$B402-INDIRECT(ADDRESS(ROW()-C$2,2))</f>
        <v>8.6599999999999682</v>
      </c>
      <c r="D402" s="4" cm="1">
        <f t="array" aca="1" ref="D402" ca="1">$B402-INDIRECT(ADDRESS(ROW()-D$2,2))</f>
        <v>-4.25</v>
      </c>
      <c r="E402" s="4" cm="1">
        <f t="array" aca="1" ref="E402" ca="1">$B402-INDIRECT(ADDRESS(ROW()-E$2,2))</f>
        <v>-6.0900000000000318</v>
      </c>
      <c r="F402" s="3">
        <v>13783.370000000014</v>
      </c>
      <c r="G402" s="3">
        <v>0</v>
      </c>
      <c r="H402" s="3">
        <f t="shared" si="6"/>
        <v>13783.370000000014</v>
      </c>
      <c r="I402" s="3"/>
      <c r="J402" s="3"/>
      <c r="K402" s="3"/>
    </row>
    <row r="403" spans="1:11">
      <c r="A403" s="3">
        <v>42872</v>
      </c>
      <c r="B403" s="3">
        <v>306.11</v>
      </c>
      <c r="C403" s="4" cm="1">
        <f t="array" aca="1" ref="C403" ca="1">$B403-INDIRECT(ADDRESS(ROW()-C$2,2))</f>
        <v>-1.0799999999999841</v>
      </c>
      <c r="D403" s="4" cm="1">
        <f t="array" aca="1" ref="D403" ca="1">$B403-INDIRECT(ADDRESS(ROW()-D$2,2))</f>
        <v>-19.110000000000014</v>
      </c>
      <c r="E403" s="4" cm="1">
        <f t="array" aca="1" ref="E403" ca="1">$B403-INDIRECT(ADDRESS(ROW()-E$2,2))</f>
        <v>-18.699999999999989</v>
      </c>
      <c r="F403" s="3">
        <v>13783.370000000014</v>
      </c>
      <c r="G403" s="3">
        <v>0</v>
      </c>
      <c r="H403" s="3">
        <f t="shared" si="6"/>
        <v>13783.370000000014</v>
      </c>
      <c r="I403" s="3"/>
      <c r="J403" s="3"/>
      <c r="K403" s="3"/>
    </row>
    <row r="404" spans="1:11">
      <c r="A404" s="3">
        <v>42873</v>
      </c>
      <c r="B404" s="3">
        <v>313.06</v>
      </c>
      <c r="C404" s="4" cm="1">
        <f t="array" aca="1" ref="C404" ca="1">$B404-INDIRECT(ADDRESS(ROW()-C$2,2))</f>
        <v>-8.1999999999999886</v>
      </c>
      <c r="D404" s="4" cm="1">
        <f t="array" aca="1" ref="D404" ca="1">$B404-INDIRECT(ADDRESS(ROW()-D$2,2))</f>
        <v>-10.04000000000002</v>
      </c>
      <c r="E404" s="4" cm="1">
        <f t="array" aca="1" ref="E404" ca="1">$B404-INDIRECT(ADDRESS(ROW()-E$2,2))</f>
        <v>-2.8199999999999932</v>
      </c>
      <c r="F404" s="3">
        <v>13783.370000000014</v>
      </c>
      <c r="G404" s="3">
        <v>0</v>
      </c>
      <c r="H404" s="3">
        <f t="shared" si="6"/>
        <v>13783.370000000014</v>
      </c>
      <c r="I404" s="3"/>
      <c r="J404" s="3"/>
      <c r="K404" s="3"/>
    </row>
    <row r="405" spans="1:11">
      <c r="A405" s="3">
        <v>42874</v>
      </c>
      <c r="B405" s="3">
        <v>310.83</v>
      </c>
      <c r="C405" s="4" cm="1">
        <f t="array" aca="1" ref="C405" ca="1">$B405-INDIRECT(ADDRESS(ROW()-C$2,2))</f>
        <v>-14.390000000000043</v>
      </c>
      <c r="D405" s="4" cm="1">
        <f t="array" aca="1" ref="D405" ca="1">$B405-INDIRECT(ADDRESS(ROW()-D$2,2))</f>
        <v>-13.980000000000018</v>
      </c>
      <c r="E405" s="4" cm="1">
        <f t="array" aca="1" ref="E405" ca="1">$B405-INDIRECT(ADDRESS(ROW()-E$2,2))</f>
        <v>-6.1800000000000068</v>
      </c>
      <c r="F405" s="3">
        <v>13783.370000000014</v>
      </c>
      <c r="G405" s="3">
        <v>0</v>
      </c>
      <c r="H405" s="3">
        <f t="shared" si="6"/>
        <v>13783.370000000014</v>
      </c>
      <c r="I405" s="3"/>
      <c r="J405" s="3"/>
      <c r="K405" s="3"/>
    </row>
    <row r="406" spans="1:11">
      <c r="A406" s="3">
        <v>42877</v>
      </c>
      <c r="B406" s="3">
        <v>310.35000000000002</v>
      </c>
      <c r="C406" s="4" cm="1">
        <f t="array" aca="1" ref="C406" ca="1">$B406-INDIRECT(ADDRESS(ROW()-C$2,2))</f>
        <v>-12.75</v>
      </c>
      <c r="D406" s="4" cm="1">
        <f t="array" aca="1" ref="D406" ca="1">$B406-INDIRECT(ADDRESS(ROW()-D$2,2))</f>
        <v>-5.5299999999999727</v>
      </c>
      <c r="E406" s="4" cm="1">
        <f t="array" aca="1" ref="E406" ca="1">$B406-INDIRECT(ADDRESS(ROW()-E$2,2))</f>
        <v>4.2400000000000091</v>
      </c>
      <c r="F406" s="3">
        <v>13783.370000000014</v>
      </c>
      <c r="G406" s="3">
        <v>0</v>
      </c>
      <c r="H406" s="3">
        <f t="shared" si="6"/>
        <v>13783.370000000014</v>
      </c>
      <c r="I406" s="3"/>
      <c r="J406" s="3"/>
      <c r="K406" s="3"/>
    </row>
    <row r="407" spans="1:11">
      <c r="A407" s="3">
        <v>42878</v>
      </c>
      <c r="B407" s="3">
        <v>303.86</v>
      </c>
      <c r="C407" s="4" cm="1">
        <f t="array" aca="1" ref="C407" ca="1">$B407-INDIRECT(ADDRESS(ROW()-C$2,2))</f>
        <v>-20.949999999999989</v>
      </c>
      <c r="D407" s="4" cm="1">
        <f t="array" aca="1" ref="D407" ca="1">$B407-INDIRECT(ADDRESS(ROW()-D$2,2))</f>
        <v>-13.149999999999977</v>
      </c>
      <c r="E407" s="4" cm="1">
        <f t="array" aca="1" ref="E407" ca="1">$B407-INDIRECT(ADDRESS(ROW()-E$2,2))</f>
        <v>-9.1999999999999886</v>
      </c>
      <c r="F407" s="3">
        <v>13783.370000000014</v>
      </c>
      <c r="G407" s="3">
        <v>0</v>
      </c>
      <c r="H407" s="3">
        <f t="shared" si="6"/>
        <v>13783.370000000014</v>
      </c>
      <c r="I407" s="3"/>
      <c r="J407" s="3"/>
      <c r="K407" s="3"/>
    </row>
    <row r="408" spans="1:11">
      <c r="A408" s="3">
        <v>42879</v>
      </c>
      <c r="B408" s="3">
        <v>310.22000000000003</v>
      </c>
      <c r="C408" s="4" cm="1">
        <f t="array" aca="1" ref="C408" ca="1">$B408-INDIRECT(ADDRESS(ROW()-C$2,2))</f>
        <v>-5.6599999999999682</v>
      </c>
      <c r="D408" s="4" cm="1">
        <f t="array" aca="1" ref="D408" ca="1">$B408-INDIRECT(ADDRESS(ROW()-D$2,2))</f>
        <v>4.1100000000000136</v>
      </c>
      <c r="E408" s="4" cm="1">
        <f t="array" aca="1" ref="E408" ca="1">$B408-INDIRECT(ADDRESS(ROW()-E$2,2))</f>
        <v>-0.6099999999999568</v>
      </c>
      <c r="F408" s="3">
        <v>13783.370000000014</v>
      </c>
      <c r="G408" s="3">
        <v>0</v>
      </c>
      <c r="H408" s="3">
        <f t="shared" si="6"/>
        <v>13783.370000000014</v>
      </c>
      <c r="I408" s="3"/>
      <c r="J408" s="3"/>
      <c r="K408" s="3"/>
    </row>
    <row r="409" spans="1:11">
      <c r="A409" s="3">
        <v>42880</v>
      </c>
      <c r="B409" s="3">
        <v>316.83</v>
      </c>
      <c r="C409" s="4" cm="1">
        <f t="array" aca="1" ref="C409" ca="1">$B409-INDIRECT(ADDRESS(ROW()-C$2,2))</f>
        <v>-0.18000000000000682</v>
      </c>
      <c r="D409" s="4" cm="1">
        <f t="array" aca="1" ref="D409" ca="1">$B409-INDIRECT(ADDRESS(ROW()-D$2,2))</f>
        <v>3.7699999999999818</v>
      </c>
      <c r="E409" s="4" cm="1">
        <f t="array" aca="1" ref="E409" ca="1">$B409-INDIRECT(ADDRESS(ROW()-E$2,2))</f>
        <v>6.4799999999999613</v>
      </c>
      <c r="F409" s="3">
        <v>159.68000000001655</v>
      </c>
      <c r="G409" s="3">
        <v>13623.689999999999</v>
      </c>
      <c r="H409" s="3">
        <f t="shared" si="6"/>
        <v>13783.370000000015</v>
      </c>
      <c r="I409" s="3"/>
      <c r="J409" s="3"/>
      <c r="K409" s="3"/>
    </row>
    <row r="410" spans="1:11">
      <c r="A410" s="3">
        <v>42881</v>
      </c>
      <c r="B410" s="3">
        <v>325.14</v>
      </c>
      <c r="C410" s="4" cm="1">
        <f t="array" aca="1" ref="C410" ca="1">$B410-INDIRECT(ADDRESS(ROW()-C$2,2))</f>
        <v>19.029999999999973</v>
      </c>
      <c r="D410" s="4" cm="1">
        <f t="array" aca="1" ref="D410" ca="1">$B410-INDIRECT(ADDRESS(ROW()-D$2,2))</f>
        <v>14.310000000000002</v>
      </c>
      <c r="E410" s="4" cm="1">
        <f t="array" aca="1" ref="E410" ca="1">$B410-INDIRECT(ADDRESS(ROW()-E$2,2))</f>
        <v>21.279999999999973</v>
      </c>
      <c r="F410" s="3">
        <v>159.68000000001655</v>
      </c>
      <c r="G410" s="3">
        <v>13981.019999999999</v>
      </c>
      <c r="H410" s="3">
        <f t="shared" si="6"/>
        <v>14140.700000000015</v>
      </c>
      <c r="I410" s="3"/>
      <c r="J410" s="3"/>
      <c r="K410" s="3"/>
    </row>
    <row r="411" spans="1:11">
      <c r="A411" s="3">
        <v>42885</v>
      </c>
      <c r="B411" s="3">
        <v>335.1</v>
      </c>
      <c r="C411" s="4" cm="1">
        <f t="array" aca="1" ref="C411" ca="1">$B411-INDIRECT(ADDRESS(ROW()-C$2,2))</f>
        <v>22.04000000000002</v>
      </c>
      <c r="D411" s="4" cm="1">
        <f t="array" aca="1" ref="D411" ca="1">$B411-INDIRECT(ADDRESS(ROW()-D$2,2))</f>
        <v>24.75</v>
      </c>
      <c r="E411" s="4" cm="1">
        <f t="array" aca="1" ref="E411" ca="1">$B411-INDIRECT(ADDRESS(ROW()-E$2,2))</f>
        <v>24.879999999999995</v>
      </c>
      <c r="F411" s="3">
        <v>159.68000000001655</v>
      </c>
      <c r="G411" s="3">
        <v>14409.300000000001</v>
      </c>
      <c r="H411" s="3">
        <f t="shared" si="6"/>
        <v>14568.980000000018</v>
      </c>
      <c r="I411" s="3"/>
      <c r="J411" s="3"/>
      <c r="K411" s="3"/>
    </row>
    <row r="412" spans="1:11">
      <c r="A412" s="3">
        <v>42886</v>
      </c>
      <c r="B412" s="3">
        <v>341.01</v>
      </c>
      <c r="C412" s="4" cm="1">
        <f t="array" aca="1" ref="C412" ca="1">$B412-INDIRECT(ADDRESS(ROW()-C$2,2))</f>
        <v>30.180000000000007</v>
      </c>
      <c r="D412" s="4" cm="1">
        <f t="array" aca="1" ref="D412" ca="1">$B412-INDIRECT(ADDRESS(ROW()-D$2,2))</f>
        <v>37.149999999999977</v>
      </c>
      <c r="E412" s="4" cm="1">
        <f t="array" aca="1" ref="E412" ca="1">$B412-INDIRECT(ADDRESS(ROW()-E$2,2))</f>
        <v>24.180000000000007</v>
      </c>
      <c r="F412" s="3">
        <v>159.68000000001655</v>
      </c>
      <c r="G412" s="3">
        <v>14663.43</v>
      </c>
      <c r="H412" s="3">
        <f t="shared" si="6"/>
        <v>14823.110000000017</v>
      </c>
      <c r="I412" s="3"/>
      <c r="J412" s="3"/>
      <c r="K412" s="3"/>
    </row>
    <row r="413" spans="1:11">
      <c r="A413" s="3">
        <v>42887</v>
      </c>
      <c r="B413" s="3">
        <v>340.37</v>
      </c>
      <c r="C413" s="4" cm="1">
        <f t="array" aca="1" ref="C413" ca="1">$B413-INDIRECT(ADDRESS(ROW()-C$2,2))</f>
        <v>30.019999999999982</v>
      </c>
      <c r="D413" s="4" cm="1">
        <f t="array" aca="1" ref="D413" ca="1">$B413-INDIRECT(ADDRESS(ROW()-D$2,2))</f>
        <v>30.149999999999977</v>
      </c>
      <c r="E413" s="4" cm="1">
        <f t="array" aca="1" ref="E413" ca="1">$B413-INDIRECT(ADDRESS(ROW()-E$2,2))</f>
        <v>15.230000000000018</v>
      </c>
      <c r="F413" s="3">
        <v>159.68000000001655</v>
      </c>
      <c r="G413" s="3">
        <v>14635.91</v>
      </c>
      <c r="H413" s="3">
        <f t="shared" si="6"/>
        <v>14795.590000000017</v>
      </c>
      <c r="I413" s="3"/>
      <c r="J413" s="3"/>
      <c r="K413" s="3"/>
    </row>
    <row r="414" spans="1:11">
      <c r="A414" s="3">
        <v>42888</v>
      </c>
      <c r="B414" s="3">
        <v>339.85</v>
      </c>
      <c r="C414" s="4" cm="1">
        <f t="array" aca="1" ref="C414" ca="1">$B414-INDIRECT(ADDRESS(ROW()-C$2,2))</f>
        <v>35.990000000000009</v>
      </c>
      <c r="D414" s="4" cm="1">
        <f t="array" aca="1" ref="D414" ca="1">$B414-INDIRECT(ADDRESS(ROW()-D$2,2))</f>
        <v>23.020000000000039</v>
      </c>
      <c r="E414" s="4" cm="1">
        <f t="array" aca="1" ref="E414" ca="1">$B414-INDIRECT(ADDRESS(ROW()-E$2,2))</f>
        <v>4.75</v>
      </c>
      <c r="F414" s="3">
        <v>159.68000000001655</v>
      </c>
      <c r="G414" s="3">
        <v>14613.550000000001</v>
      </c>
      <c r="H414" s="3">
        <f t="shared" si="6"/>
        <v>14773.230000000018</v>
      </c>
      <c r="I414" s="3"/>
      <c r="J414" s="3"/>
      <c r="K414" s="3"/>
    </row>
    <row r="415" spans="1:11">
      <c r="A415" s="3">
        <v>42891</v>
      </c>
      <c r="B415" s="3">
        <v>347.32</v>
      </c>
      <c r="C415" s="4" cm="1">
        <f t="array" aca="1" ref="C415" ca="1">$B415-INDIRECT(ADDRESS(ROW()-C$2,2))</f>
        <v>37.099999999999966</v>
      </c>
      <c r="D415" s="4" cm="1">
        <f t="array" aca="1" ref="D415" ca="1">$B415-INDIRECT(ADDRESS(ROW()-D$2,2))</f>
        <v>22.180000000000007</v>
      </c>
      <c r="E415" s="4" cm="1">
        <f t="array" aca="1" ref="E415" ca="1">$B415-INDIRECT(ADDRESS(ROW()-E$2,2))</f>
        <v>6.3100000000000023</v>
      </c>
      <c r="F415" s="3">
        <v>159.68000000001655</v>
      </c>
      <c r="G415" s="3">
        <v>14934.76</v>
      </c>
      <c r="H415" s="3">
        <f t="shared" si="6"/>
        <v>15094.440000000017</v>
      </c>
      <c r="I415" s="3"/>
      <c r="J415" s="3"/>
      <c r="K415" s="3"/>
    </row>
    <row r="416" spans="1:11">
      <c r="A416" s="3">
        <v>42892</v>
      </c>
      <c r="B416" s="3">
        <v>352.85</v>
      </c>
      <c r="C416" s="4" cm="1">
        <f t="array" aca="1" ref="C416" ca="1">$B416-INDIRECT(ADDRESS(ROW()-C$2,2))</f>
        <v>36.020000000000039</v>
      </c>
      <c r="D416" s="4" cm="1">
        <f t="array" aca="1" ref="D416" ca="1">$B416-INDIRECT(ADDRESS(ROW()-D$2,2))</f>
        <v>17.75</v>
      </c>
      <c r="E416" s="4" cm="1">
        <f t="array" aca="1" ref="E416" ca="1">$B416-INDIRECT(ADDRESS(ROW()-E$2,2))</f>
        <v>12.480000000000018</v>
      </c>
      <c r="F416" s="3">
        <v>159.68000000001655</v>
      </c>
      <c r="G416" s="3">
        <v>15172.550000000001</v>
      </c>
      <c r="H416" s="3">
        <f t="shared" si="6"/>
        <v>15332.230000000018</v>
      </c>
      <c r="I416" s="3"/>
      <c r="J416" s="3"/>
      <c r="K416" s="3"/>
    </row>
    <row r="417" spans="1:11">
      <c r="A417" s="3">
        <v>42893</v>
      </c>
      <c r="B417" s="3">
        <v>359.65</v>
      </c>
      <c r="C417" s="4" cm="1">
        <f t="array" aca="1" ref="C417" ca="1">$B417-INDIRECT(ADDRESS(ROW()-C$2,2))</f>
        <v>34.509999999999991</v>
      </c>
      <c r="D417" s="4" cm="1">
        <f t="array" aca="1" ref="D417" ca="1">$B417-INDIRECT(ADDRESS(ROW()-D$2,2))</f>
        <v>18.639999999999986</v>
      </c>
      <c r="E417" s="4" cm="1">
        <f t="array" aca="1" ref="E417" ca="1">$B417-INDIRECT(ADDRESS(ROW()-E$2,2))</f>
        <v>19.799999999999955</v>
      </c>
      <c r="F417" s="3">
        <v>159.68000000001655</v>
      </c>
      <c r="G417" s="3">
        <v>15464.949999999999</v>
      </c>
      <c r="H417" s="3">
        <f t="shared" si="6"/>
        <v>15624.630000000016</v>
      </c>
      <c r="I417" s="3"/>
      <c r="J417" s="3"/>
      <c r="K417" s="3"/>
    </row>
    <row r="418" spans="1:11">
      <c r="A418" s="3">
        <v>42894</v>
      </c>
      <c r="B418" s="3">
        <v>370</v>
      </c>
      <c r="C418" s="4" cm="1">
        <f t="array" aca="1" ref="C418" ca="1">$B418-INDIRECT(ADDRESS(ROW()-C$2,2))</f>
        <v>34.899999999999977</v>
      </c>
      <c r="D418" s="4" cm="1">
        <f t="array" aca="1" ref="D418" ca="1">$B418-INDIRECT(ADDRESS(ROW()-D$2,2))</f>
        <v>29.629999999999995</v>
      </c>
      <c r="E418" s="4" cm="1">
        <f t="array" aca="1" ref="E418" ca="1">$B418-INDIRECT(ADDRESS(ROW()-E$2,2))</f>
        <v>22.680000000000007</v>
      </c>
      <c r="F418" s="3">
        <v>159.68000000001655</v>
      </c>
      <c r="G418" s="3">
        <v>15910</v>
      </c>
      <c r="H418" s="3">
        <f t="shared" si="6"/>
        <v>16069.680000000017</v>
      </c>
      <c r="I418" s="3"/>
      <c r="J418" s="3"/>
      <c r="K418" s="3"/>
    </row>
    <row r="419" spans="1:11">
      <c r="A419" s="3">
        <v>42895</v>
      </c>
      <c r="B419" s="3">
        <v>357.32</v>
      </c>
      <c r="C419" s="4" cm="1">
        <f t="array" aca="1" ref="C419" ca="1">$B419-INDIRECT(ADDRESS(ROW()-C$2,2))</f>
        <v>16.310000000000002</v>
      </c>
      <c r="D419" s="4" cm="1">
        <f t="array" aca="1" ref="D419" ca="1">$B419-INDIRECT(ADDRESS(ROW()-D$2,2))</f>
        <v>17.46999999999997</v>
      </c>
      <c r="E419" s="4" cm="1">
        <f t="array" aca="1" ref="E419" ca="1">$B419-INDIRECT(ADDRESS(ROW()-E$2,2))</f>
        <v>4.4699999999999704</v>
      </c>
      <c r="F419" s="3">
        <v>159.68000000001655</v>
      </c>
      <c r="G419" s="3">
        <v>15364.76</v>
      </c>
      <c r="H419" s="3">
        <f t="shared" si="6"/>
        <v>15524.440000000017</v>
      </c>
      <c r="I419" s="3"/>
      <c r="J419" s="3"/>
      <c r="K419" s="3"/>
    </row>
    <row r="420" spans="1:11">
      <c r="A420" s="3">
        <v>42898</v>
      </c>
      <c r="B420" s="3">
        <v>359.01</v>
      </c>
      <c r="C420" s="4" cm="1">
        <f t="array" aca="1" ref="C420" ca="1">$B420-INDIRECT(ADDRESS(ROW()-C$2,2))</f>
        <v>18.639999999999986</v>
      </c>
      <c r="D420" s="4" cm="1">
        <f t="array" aca="1" ref="D420" ca="1">$B420-INDIRECT(ADDRESS(ROW()-D$2,2))</f>
        <v>11.689999999999998</v>
      </c>
      <c r="E420" s="4" cm="1">
        <f t="array" aca="1" ref="E420" ca="1">$B420-INDIRECT(ADDRESS(ROW()-E$2,2))</f>
        <v>-0.63999999999998636</v>
      </c>
      <c r="F420" s="3">
        <v>159.68000000001655</v>
      </c>
      <c r="G420" s="3">
        <v>15437.43</v>
      </c>
      <c r="H420" s="3">
        <f t="shared" si="6"/>
        <v>15597.110000000017</v>
      </c>
      <c r="I420" s="3"/>
      <c r="J420" s="3"/>
      <c r="K420" s="3"/>
    </row>
    <row r="421" spans="1:11">
      <c r="A421" s="3">
        <v>42899</v>
      </c>
      <c r="B421" s="3">
        <v>375.95</v>
      </c>
      <c r="C421" s="4" cm="1">
        <f t="array" aca="1" ref="C421" ca="1">$B421-INDIRECT(ADDRESS(ROW()-C$2,2))</f>
        <v>36.099999999999966</v>
      </c>
      <c r="D421" s="4" cm="1">
        <f t="array" aca="1" ref="D421" ca="1">$B421-INDIRECT(ADDRESS(ROW()-D$2,2))</f>
        <v>23.099999999999966</v>
      </c>
      <c r="E421" s="4" cm="1">
        <f t="array" aca="1" ref="E421" ca="1">$B421-INDIRECT(ADDRESS(ROW()-E$2,2))</f>
        <v>5.9499999999999886</v>
      </c>
      <c r="F421" s="3">
        <v>159.68000000001655</v>
      </c>
      <c r="G421" s="3">
        <v>16165.85</v>
      </c>
      <c r="H421" s="3">
        <f t="shared" si="6"/>
        <v>16325.530000000017</v>
      </c>
      <c r="I421" s="3"/>
      <c r="J421" s="3"/>
      <c r="K421" s="3"/>
    </row>
    <row r="422" spans="1:11">
      <c r="A422" s="3">
        <v>42900</v>
      </c>
      <c r="B422" s="3">
        <v>380.66</v>
      </c>
      <c r="C422" s="4" cm="1">
        <f t="array" aca="1" ref="C422" ca="1">$B422-INDIRECT(ADDRESS(ROW()-C$2,2))</f>
        <v>33.340000000000032</v>
      </c>
      <c r="D422" s="4" cm="1">
        <f t="array" aca="1" ref="D422" ca="1">$B422-INDIRECT(ADDRESS(ROW()-D$2,2))</f>
        <v>21.010000000000048</v>
      </c>
      <c r="E422" s="4" cm="1">
        <f t="array" aca="1" ref="E422" ca="1">$B422-INDIRECT(ADDRESS(ROW()-E$2,2))</f>
        <v>23.340000000000032</v>
      </c>
      <c r="F422" s="3">
        <v>159.68000000001655</v>
      </c>
      <c r="G422" s="3">
        <v>16368.380000000001</v>
      </c>
      <c r="H422" s="3">
        <f t="shared" si="6"/>
        <v>16528.060000000016</v>
      </c>
      <c r="I422" s="3"/>
      <c r="J422" s="3"/>
      <c r="K422" s="3"/>
    </row>
    <row r="423" spans="1:11">
      <c r="A423" s="3">
        <v>42901</v>
      </c>
      <c r="B423" s="3">
        <v>375.34</v>
      </c>
      <c r="C423" s="4" cm="1">
        <f t="array" aca="1" ref="C423" ca="1">$B423-INDIRECT(ADDRESS(ROW()-C$2,2))</f>
        <v>22.489999999999952</v>
      </c>
      <c r="D423" s="4" cm="1">
        <f t="array" aca="1" ref="D423" ca="1">$B423-INDIRECT(ADDRESS(ROW()-D$2,2))</f>
        <v>5.339999999999975</v>
      </c>
      <c r="E423" s="4" cm="1">
        <f t="array" aca="1" ref="E423" ca="1">$B423-INDIRECT(ADDRESS(ROW()-E$2,2))</f>
        <v>16.329999999999984</v>
      </c>
      <c r="F423" s="3">
        <v>159.68000000001655</v>
      </c>
      <c r="G423" s="3">
        <v>16139.619999999999</v>
      </c>
      <c r="H423" s="3">
        <f t="shared" si="6"/>
        <v>16299.300000000016</v>
      </c>
      <c r="I423" s="3"/>
      <c r="J423" s="3"/>
      <c r="K423" s="3"/>
    </row>
    <row r="424" spans="1:11">
      <c r="A424" s="3">
        <v>42902</v>
      </c>
      <c r="B424" s="3">
        <v>371.4</v>
      </c>
      <c r="C424" s="4" cm="1">
        <f t="array" aca="1" ref="C424" ca="1">$B424-INDIRECT(ADDRESS(ROW()-C$2,2))</f>
        <v>11.75</v>
      </c>
      <c r="D424" s="4" cm="1">
        <f t="array" aca="1" ref="D424" ca="1">$B424-INDIRECT(ADDRESS(ROW()-D$2,2))</f>
        <v>14.079999999999984</v>
      </c>
      <c r="E424" s="4" cm="1">
        <f t="array" aca="1" ref="E424" ca="1">$B424-INDIRECT(ADDRESS(ROW()-E$2,2))</f>
        <v>-4.5500000000000114</v>
      </c>
      <c r="F424" s="3">
        <v>159.68000000001655</v>
      </c>
      <c r="G424" s="3">
        <v>15970.199999999999</v>
      </c>
      <c r="H424" s="3">
        <f t="shared" si="6"/>
        <v>16129.880000000016</v>
      </c>
      <c r="I424" s="3"/>
      <c r="J424" s="3"/>
      <c r="K424" s="3"/>
    </row>
    <row r="425" spans="1:11">
      <c r="A425" s="3">
        <v>42905</v>
      </c>
      <c r="B425" s="3">
        <v>369.8</v>
      </c>
      <c r="C425" s="4" cm="1">
        <f t="array" aca="1" ref="C425" ca="1">$B425-INDIRECT(ADDRESS(ROW()-C$2,2))</f>
        <v>-0.19999999999998863</v>
      </c>
      <c r="D425" s="4" cm="1">
        <f t="array" aca="1" ref="D425" ca="1">$B425-INDIRECT(ADDRESS(ROW()-D$2,2))</f>
        <v>10.79000000000002</v>
      </c>
      <c r="E425" s="4" cm="1">
        <f t="array" aca="1" ref="E425" ca="1">$B425-INDIRECT(ADDRESS(ROW()-E$2,2))</f>
        <v>-10.860000000000014</v>
      </c>
      <c r="F425" s="3">
        <v>159.68000000001655</v>
      </c>
      <c r="G425" s="3">
        <v>15901.4</v>
      </c>
      <c r="H425" s="3">
        <f t="shared" si="6"/>
        <v>16061.080000000016</v>
      </c>
      <c r="I425" s="3"/>
      <c r="J425" s="3"/>
      <c r="K425" s="3"/>
    </row>
    <row r="426" spans="1:11">
      <c r="A426" s="3">
        <v>42906</v>
      </c>
      <c r="B426" s="3">
        <v>372.24</v>
      </c>
      <c r="C426" s="4" cm="1">
        <f t="array" aca="1" ref="C426" ca="1">$B426-INDIRECT(ADDRESS(ROW()-C$2,2))</f>
        <v>14.920000000000016</v>
      </c>
      <c r="D426" s="4" cm="1">
        <f t="array" aca="1" ref="D426" ca="1">$B426-INDIRECT(ADDRESS(ROW()-D$2,2))</f>
        <v>-3.7099999999999795</v>
      </c>
      <c r="E426" s="4" cm="1">
        <f t="array" aca="1" ref="E426" ca="1">$B426-INDIRECT(ADDRESS(ROW()-E$2,2))</f>
        <v>-3.0999999999999659</v>
      </c>
      <c r="F426" s="3">
        <v>16166.000000000016</v>
      </c>
      <c r="G426" s="3">
        <v>0</v>
      </c>
      <c r="H426" s="3">
        <f t="shared" si="6"/>
        <v>16166.000000000016</v>
      </c>
      <c r="I426" s="3"/>
      <c r="J426" s="3"/>
      <c r="K426" s="3"/>
    </row>
    <row r="427" spans="1:11">
      <c r="A427" s="3">
        <v>42907</v>
      </c>
      <c r="B427" s="3">
        <v>376.4</v>
      </c>
      <c r="C427" s="4" cm="1">
        <f t="array" aca="1" ref="C427" ca="1">$B427-INDIRECT(ADDRESS(ROW()-C$2,2))</f>
        <v>17.389999999999986</v>
      </c>
      <c r="D427" s="4" cm="1">
        <f t="array" aca="1" ref="D427" ca="1">$B427-INDIRECT(ADDRESS(ROW()-D$2,2))</f>
        <v>-4.2600000000000477</v>
      </c>
      <c r="E427" s="4" cm="1">
        <f t="array" aca="1" ref="E427" ca="1">$B427-INDIRECT(ADDRESS(ROW()-E$2,2))</f>
        <v>5</v>
      </c>
      <c r="F427" s="3">
        <v>16166.000000000016</v>
      </c>
      <c r="G427" s="3">
        <v>0</v>
      </c>
      <c r="H427" s="3">
        <f t="shared" si="6"/>
        <v>16166.000000000016</v>
      </c>
      <c r="I427" s="3"/>
      <c r="J427" s="3"/>
      <c r="K427" s="3"/>
    </row>
    <row r="428" spans="1:11">
      <c r="A428" s="3">
        <v>42908</v>
      </c>
      <c r="B428" s="3">
        <v>382.61</v>
      </c>
      <c r="C428" s="4" cm="1">
        <f t="array" aca="1" ref="C428" ca="1">$B428-INDIRECT(ADDRESS(ROW()-C$2,2))</f>
        <v>6.660000000000025</v>
      </c>
      <c r="D428" s="4" cm="1">
        <f t="array" aca="1" ref="D428" ca="1">$B428-INDIRECT(ADDRESS(ROW()-D$2,2))</f>
        <v>7.2700000000000387</v>
      </c>
      <c r="E428" s="4" cm="1">
        <f t="array" aca="1" ref="E428" ca="1">$B428-INDIRECT(ADDRESS(ROW()-E$2,2))</f>
        <v>12.810000000000002</v>
      </c>
      <c r="F428" s="3">
        <v>16166.000000000016</v>
      </c>
      <c r="G428" s="3">
        <v>0</v>
      </c>
      <c r="H428" s="3">
        <f t="shared" si="6"/>
        <v>16166.000000000016</v>
      </c>
      <c r="I428" s="3"/>
      <c r="J428" s="3"/>
      <c r="K428" s="3"/>
    </row>
    <row r="429" spans="1:11">
      <c r="A429" s="3">
        <v>42909</v>
      </c>
      <c r="B429" s="3">
        <v>383.45</v>
      </c>
      <c r="C429" s="4" cm="1">
        <f t="array" aca="1" ref="C429" ca="1">$B429-INDIRECT(ADDRESS(ROW()-C$2,2))</f>
        <v>2.7899999999999636</v>
      </c>
      <c r="D429" s="4" cm="1">
        <f t="array" aca="1" ref="D429" ca="1">$B429-INDIRECT(ADDRESS(ROW()-D$2,2))</f>
        <v>12.050000000000011</v>
      </c>
      <c r="E429" s="4" cm="1">
        <f t="array" aca="1" ref="E429" ca="1">$B429-INDIRECT(ADDRESS(ROW()-E$2,2))</f>
        <v>11.20999999999998</v>
      </c>
      <c r="F429" s="3">
        <v>16166.000000000016</v>
      </c>
      <c r="G429" s="3">
        <v>0</v>
      </c>
      <c r="H429" s="3">
        <f t="shared" si="6"/>
        <v>16166.000000000016</v>
      </c>
      <c r="I429" s="3"/>
      <c r="J429" s="3"/>
      <c r="K429" s="3"/>
    </row>
    <row r="430" spans="1:11">
      <c r="A430" s="3">
        <v>42912</v>
      </c>
      <c r="B430" s="3">
        <v>377.49</v>
      </c>
      <c r="C430" s="4" cm="1">
        <f t="array" aca="1" ref="C430" ca="1">$B430-INDIRECT(ADDRESS(ROW()-C$2,2))</f>
        <v>2.1500000000000341</v>
      </c>
      <c r="D430" s="4" cm="1">
        <f t="array" aca="1" ref="D430" ca="1">$B430-INDIRECT(ADDRESS(ROW()-D$2,2))</f>
        <v>7.6899999999999977</v>
      </c>
      <c r="E430" s="4" cm="1">
        <f t="array" aca="1" ref="E430" ca="1">$B430-INDIRECT(ADDRESS(ROW()-E$2,2))</f>
        <v>1.0900000000000318</v>
      </c>
      <c r="F430" s="3">
        <v>16166.000000000016</v>
      </c>
      <c r="G430" s="3">
        <v>0</v>
      </c>
      <c r="H430" s="3">
        <f t="shared" si="6"/>
        <v>16166.000000000016</v>
      </c>
      <c r="I430" s="3"/>
      <c r="J430" s="3"/>
      <c r="K430" s="3"/>
    </row>
    <row r="431" spans="1:11">
      <c r="A431" s="3">
        <v>42913</v>
      </c>
      <c r="B431" s="3">
        <v>362.37</v>
      </c>
      <c r="C431" s="4" cm="1">
        <f t="array" aca="1" ref="C431" ca="1">$B431-INDIRECT(ADDRESS(ROW()-C$2,2))</f>
        <v>-9.0299999999999727</v>
      </c>
      <c r="D431" s="4" cm="1">
        <f t="array" aca="1" ref="D431" ca="1">$B431-INDIRECT(ADDRESS(ROW()-D$2,2))</f>
        <v>-9.8700000000000045</v>
      </c>
      <c r="E431" s="4" cm="1">
        <f t="array" aca="1" ref="E431" ca="1">$B431-INDIRECT(ADDRESS(ROW()-E$2,2))</f>
        <v>-20.240000000000009</v>
      </c>
      <c r="F431" s="3">
        <v>16166.000000000016</v>
      </c>
      <c r="G431" s="3">
        <v>0</v>
      </c>
      <c r="H431" s="3">
        <f t="shared" ref="H431:H494" si="7">G431+F431</f>
        <v>16166.000000000016</v>
      </c>
      <c r="I431" s="3"/>
      <c r="J431" s="3"/>
      <c r="K431" s="3"/>
    </row>
    <row r="432" spans="1:11">
      <c r="A432" s="3">
        <v>42914</v>
      </c>
      <c r="B432" s="3">
        <v>371.24</v>
      </c>
      <c r="C432" s="4" cm="1">
        <f t="array" aca="1" ref="C432" ca="1">$B432-INDIRECT(ADDRESS(ROW()-C$2,2))</f>
        <v>1.4399999999999977</v>
      </c>
      <c r="D432" s="4" cm="1">
        <f t="array" aca="1" ref="D432" ca="1">$B432-INDIRECT(ADDRESS(ROW()-D$2,2))</f>
        <v>-5.1599999999999682</v>
      </c>
      <c r="E432" s="4" cm="1">
        <f t="array" aca="1" ref="E432" ca="1">$B432-INDIRECT(ADDRESS(ROW()-E$2,2))</f>
        <v>-12.20999999999998</v>
      </c>
      <c r="F432" s="3">
        <v>16166.000000000016</v>
      </c>
      <c r="G432" s="3">
        <v>0</v>
      </c>
      <c r="H432" s="3">
        <f t="shared" si="7"/>
        <v>16166.000000000016</v>
      </c>
      <c r="I432" s="3"/>
      <c r="J432" s="3"/>
      <c r="K432" s="3"/>
    </row>
    <row r="433" spans="1:11">
      <c r="A433" s="3">
        <v>42915</v>
      </c>
      <c r="B433" s="3">
        <v>360.75</v>
      </c>
      <c r="C433" s="4" cm="1">
        <f t="array" aca="1" ref="C433" ca="1">$B433-INDIRECT(ADDRESS(ROW()-C$2,2))</f>
        <v>-11.490000000000009</v>
      </c>
      <c r="D433" s="4" cm="1">
        <f t="array" aca="1" ref="D433" ca="1">$B433-INDIRECT(ADDRESS(ROW()-D$2,2))</f>
        <v>-21.860000000000014</v>
      </c>
      <c r="E433" s="4" cm="1">
        <f t="array" aca="1" ref="E433" ca="1">$B433-INDIRECT(ADDRESS(ROW()-E$2,2))</f>
        <v>-16.740000000000009</v>
      </c>
      <c r="F433" s="3">
        <v>16166.000000000016</v>
      </c>
      <c r="G433" s="3">
        <v>0</v>
      </c>
      <c r="H433" s="3">
        <f t="shared" si="7"/>
        <v>16166.000000000016</v>
      </c>
      <c r="I433" s="3"/>
      <c r="J433" s="3"/>
      <c r="K433" s="3"/>
    </row>
    <row r="434" spans="1:11">
      <c r="A434" s="3">
        <v>42916</v>
      </c>
      <c r="B434" s="3">
        <v>361.61</v>
      </c>
      <c r="C434" s="4" cm="1">
        <f t="array" aca="1" ref="C434" ca="1">$B434-INDIRECT(ADDRESS(ROW()-C$2,2))</f>
        <v>-14.789999999999964</v>
      </c>
      <c r="D434" s="4" cm="1">
        <f t="array" aca="1" ref="D434" ca="1">$B434-INDIRECT(ADDRESS(ROW()-D$2,2))</f>
        <v>-21.839999999999975</v>
      </c>
      <c r="E434" s="4" cm="1">
        <f t="array" aca="1" ref="E434" ca="1">$B434-INDIRECT(ADDRESS(ROW()-E$2,2))</f>
        <v>-0.75999999999999091</v>
      </c>
      <c r="F434" s="3">
        <v>16166.000000000016</v>
      </c>
      <c r="G434" s="3">
        <v>0</v>
      </c>
      <c r="H434" s="3">
        <f t="shared" si="7"/>
        <v>16166.000000000016</v>
      </c>
      <c r="I434" s="3"/>
      <c r="J434" s="3"/>
      <c r="K434" s="3"/>
    </row>
    <row r="435" spans="1:11">
      <c r="A435" s="3">
        <v>42919</v>
      </c>
      <c r="B435" s="3">
        <v>352.62</v>
      </c>
      <c r="C435" s="4" cm="1">
        <f t="array" aca="1" ref="C435" ca="1">$B435-INDIRECT(ADDRESS(ROW()-C$2,2))</f>
        <v>-29.990000000000009</v>
      </c>
      <c r="D435" s="4" cm="1">
        <f t="array" aca="1" ref="D435" ca="1">$B435-INDIRECT(ADDRESS(ROW()-D$2,2))</f>
        <v>-24.870000000000005</v>
      </c>
      <c r="E435" s="4" cm="1">
        <f t="array" aca="1" ref="E435" ca="1">$B435-INDIRECT(ADDRESS(ROW()-E$2,2))</f>
        <v>-18.620000000000005</v>
      </c>
      <c r="F435" s="3">
        <v>16166.000000000016</v>
      </c>
      <c r="G435" s="3">
        <v>0</v>
      </c>
      <c r="H435" s="3">
        <f t="shared" si="7"/>
        <v>16166.000000000016</v>
      </c>
      <c r="I435" s="3"/>
      <c r="J435" s="3"/>
      <c r="K435" s="3"/>
    </row>
    <row r="436" spans="1:11">
      <c r="A436" s="3">
        <v>42921</v>
      </c>
      <c r="B436" s="3">
        <v>327.08999999999997</v>
      </c>
      <c r="C436" s="4" cm="1">
        <f t="array" aca="1" ref="C436" ca="1">$B436-INDIRECT(ADDRESS(ROW()-C$2,2))</f>
        <v>-56.360000000000014</v>
      </c>
      <c r="D436" s="4" cm="1">
        <f t="array" aca="1" ref="D436" ca="1">$B436-INDIRECT(ADDRESS(ROW()-D$2,2))</f>
        <v>-35.28000000000003</v>
      </c>
      <c r="E436" s="4" cm="1">
        <f t="array" aca="1" ref="E436" ca="1">$B436-INDIRECT(ADDRESS(ROW()-E$2,2))</f>
        <v>-33.660000000000025</v>
      </c>
      <c r="F436" s="3">
        <v>16166.000000000016</v>
      </c>
      <c r="G436" s="3">
        <v>0</v>
      </c>
      <c r="H436" s="3">
        <f t="shared" si="7"/>
        <v>16166.000000000016</v>
      </c>
      <c r="I436" s="3"/>
      <c r="J436" s="3"/>
      <c r="K436" s="3"/>
    </row>
    <row r="437" spans="1:11">
      <c r="A437" s="3">
        <v>42922</v>
      </c>
      <c r="B437" s="3">
        <v>308.83</v>
      </c>
      <c r="C437" s="4" cm="1">
        <f t="array" aca="1" ref="C437" ca="1">$B437-INDIRECT(ADDRESS(ROW()-C$2,2))</f>
        <v>-68.660000000000025</v>
      </c>
      <c r="D437" s="4" cm="1">
        <f t="array" aca="1" ref="D437" ca="1">$B437-INDIRECT(ADDRESS(ROW()-D$2,2))</f>
        <v>-62.410000000000025</v>
      </c>
      <c r="E437" s="4" cm="1">
        <f t="array" aca="1" ref="E437" ca="1">$B437-INDIRECT(ADDRESS(ROW()-E$2,2))</f>
        <v>-52.78000000000003</v>
      </c>
      <c r="F437" s="3">
        <v>16166.000000000016</v>
      </c>
      <c r="G437" s="3">
        <v>0</v>
      </c>
      <c r="H437" s="3">
        <f t="shared" si="7"/>
        <v>16166.000000000016</v>
      </c>
      <c r="I437" s="3"/>
      <c r="J437" s="3"/>
      <c r="K437" s="3"/>
    </row>
    <row r="438" spans="1:11">
      <c r="A438" s="3">
        <v>42923</v>
      </c>
      <c r="B438" s="3">
        <v>313.22000000000003</v>
      </c>
      <c r="C438" s="4" cm="1">
        <f t="array" aca="1" ref="C438" ca="1">$B438-INDIRECT(ADDRESS(ROW()-C$2,2))</f>
        <v>-49.149999999999977</v>
      </c>
      <c r="D438" s="4" cm="1">
        <f t="array" aca="1" ref="D438" ca="1">$B438-INDIRECT(ADDRESS(ROW()-D$2,2))</f>
        <v>-47.529999999999973</v>
      </c>
      <c r="E438" s="4" cm="1">
        <f t="array" aca="1" ref="E438" ca="1">$B438-INDIRECT(ADDRESS(ROW()-E$2,2))</f>
        <v>-39.399999999999977</v>
      </c>
      <c r="F438" s="3">
        <v>16166.000000000016</v>
      </c>
      <c r="G438" s="3">
        <v>0</v>
      </c>
      <c r="H438" s="3">
        <f t="shared" si="7"/>
        <v>16166.000000000016</v>
      </c>
      <c r="I438" s="3"/>
      <c r="J438" s="3"/>
      <c r="K438" s="3"/>
    </row>
    <row r="439" spans="1:11">
      <c r="A439" s="3">
        <v>42926</v>
      </c>
      <c r="B439" s="3">
        <v>316.05</v>
      </c>
      <c r="C439" s="4" cm="1">
        <f t="array" aca="1" ref="C439" ca="1">$B439-INDIRECT(ADDRESS(ROW()-C$2,2))</f>
        <v>-55.19</v>
      </c>
      <c r="D439" s="4" cm="1">
        <f t="array" aca="1" ref="D439" ca="1">$B439-INDIRECT(ADDRESS(ROW()-D$2,2))</f>
        <v>-45.56</v>
      </c>
      <c r="E439" s="4" cm="1">
        <f t="array" aca="1" ref="E439" ca="1">$B439-INDIRECT(ADDRESS(ROW()-E$2,2))</f>
        <v>-11.039999999999964</v>
      </c>
      <c r="F439" s="3">
        <v>16166.000000000016</v>
      </c>
      <c r="G439" s="3">
        <v>0</v>
      </c>
      <c r="H439" s="3">
        <f t="shared" si="7"/>
        <v>16166.000000000016</v>
      </c>
      <c r="I439" s="3"/>
      <c r="J439" s="3"/>
      <c r="K439" s="3"/>
    </row>
    <row r="440" spans="1:11">
      <c r="A440" s="3">
        <v>42927</v>
      </c>
      <c r="B440" s="3">
        <v>327.22000000000003</v>
      </c>
      <c r="C440" s="4" cm="1">
        <f t="array" aca="1" ref="C440" ca="1">$B440-INDIRECT(ADDRESS(ROW()-C$2,2))</f>
        <v>-33.529999999999973</v>
      </c>
      <c r="D440" s="4" cm="1">
        <f t="array" aca="1" ref="D440" ca="1">$B440-INDIRECT(ADDRESS(ROW()-D$2,2))</f>
        <v>-25.399999999999977</v>
      </c>
      <c r="E440" s="4" cm="1">
        <f t="array" aca="1" ref="E440" ca="1">$B440-INDIRECT(ADDRESS(ROW()-E$2,2))</f>
        <v>18.390000000000043</v>
      </c>
      <c r="F440" s="3">
        <v>16166.000000000016</v>
      </c>
      <c r="G440" s="3">
        <v>0</v>
      </c>
      <c r="H440" s="3">
        <f t="shared" si="7"/>
        <v>16166.000000000016</v>
      </c>
      <c r="I440" s="3"/>
      <c r="J440" s="3"/>
      <c r="K440" s="3"/>
    </row>
    <row r="441" spans="1:11">
      <c r="A441" s="3">
        <v>42928</v>
      </c>
      <c r="B441" s="3">
        <v>329.52</v>
      </c>
      <c r="C441" s="4" cm="1">
        <f t="array" aca="1" ref="C441" ca="1">$B441-INDIRECT(ADDRESS(ROW()-C$2,2))</f>
        <v>-32.090000000000032</v>
      </c>
      <c r="D441" s="4" cm="1">
        <f t="array" aca="1" ref="D441" ca="1">$B441-INDIRECT(ADDRESS(ROW()-D$2,2))</f>
        <v>2.4300000000000068</v>
      </c>
      <c r="E441" s="4" cm="1">
        <f t="array" aca="1" ref="E441" ca="1">$B441-INDIRECT(ADDRESS(ROW()-E$2,2))</f>
        <v>16.299999999999955</v>
      </c>
      <c r="F441" s="3">
        <v>19.520000000000891</v>
      </c>
      <c r="G441" s="3">
        <v>16146.48</v>
      </c>
      <c r="H441" s="3">
        <f t="shared" si="7"/>
        <v>16166</v>
      </c>
      <c r="I441" s="3"/>
      <c r="J441" s="3"/>
      <c r="K441" s="3"/>
    </row>
    <row r="442" spans="1:11">
      <c r="A442" s="3">
        <v>42929</v>
      </c>
      <c r="B442" s="3">
        <v>323.41000000000003</v>
      </c>
      <c r="C442" s="4" cm="1">
        <f t="array" aca="1" ref="C442" ca="1">$B442-INDIRECT(ADDRESS(ROW()-C$2,2))</f>
        <v>-29.20999999999998</v>
      </c>
      <c r="D442" s="4" cm="1">
        <f t="array" aca="1" ref="D442" ca="1">$B442-INDIRECT(ADDRESS(ROW()-D$2,2))</f>
        <v>14.580000000000041</v>
      </c>
      <c r="E442" s="4" cm="1">
        <f t="array" aca="1" ref="E442" ca="1">$B442-INDIRECT(ADDRESS(ROW()-E$2,2))</f>
        <v>7.3600000000000136</v>
      </c>
      <c r="F442" s="3">
        <v>19.520000000000891</v>
      </c>
      <c r="G442" s="3">
        <v>15847.090000000002</v>
      </c>
      <c r="H442" s="3">
        <f t="shared" si="7"/>
        <v>15866.610000000002</v>
      </c>
      <c r="I442" s="3"/>
      <c r="J442" s="3"/>
      <c r="K442" s="3"/>
    </row>
    <row r="443" spans="1:11">
      <c r="A443" s="3">
        <v>42930</v>
      </c>
      <c r="B443" s="3">
        <v>327.78</v>
      </c>
      <c r="C443" s="4" cm="1">
        <f t="array" aca="1" ref="C443" ca="1">$B443-INDIRECT(ADDRESS(ROW()-C$2,2))</f>
        <v>0.68999999999999773</v>
      </c>
      <c r="D443" s="4" cm="1">
        <f t="array" aca="1" ref="D443" ca="1">$B443-INDIRECT(ADDRESS(ROW()-D$2,2))</f>
        <v>14.559999999999945</v>
      </c>
      <c r="E443" s="4" cm="1">
        <f t="array" aca="1" ref="E443" ca="1">$B443-INDIRECT(ADDRESS(ROW()-E$2,2))</f>
        <v>0.55999999999994543</v>
      </c>
      <c r="F443" s="3">
        <v>19.520000000000891</v>
      </c>
      <c r="G443" s="3">
        <v>16061.22</v>
      </c>
      <c r="H443" s="3">
        <f t="shared" si="7"/>
        <v>16080.74</v>
      </c>
      <c r="I443" s="3"/>
      <c r="J443" s="3"/>
      <c r="K443" s="3"/>
    </row>
    <row r="444" spans="1:11">
      <c r="A444" s="3">
        <v>42933</v>
      </c>
      <c r="B444" s="3">
        <v>319.57</v>
      </c>
      <c r="C444" s="4" cm="1">
        <f t="array" aca="1" ref="C444" ca="1">$B444-INDIRECT(ADDRESS(ROW()-C$2,2))</f>
        <v>10.740000000000009</v>
      </c>
      <c r="D444" s="4" cm="1">
        <f t="array" aca="1" ref="D444" ca="1">$B444-INDIRECT(ADDRESS(ROW()-D$2,2))</f>
        <v>3.5199999999999818</v>
      </c>
      <c r="E444" s="4" cm="1">
        <f t="array" aca="1" ref="E444" ca="1">$B444-INDIRECT(ADDRESS(ROW()-E$2,2))</f>
        <v>-9.9499999999999886</v>
      </c>
      <c r="F444" s="3">
        <v>19.520000000000891</v>
      </c>
      <c r="G444" s="3">
        <v>15658.93</v>
      </c>
      <c r="H444" s="3">
        <f t="shared" si="7"/>
        <v>15678.45</v>
      </c>
      <c r="I444" s="3"/>
      <c r="J444" s="3"/>
      <c r="K444" s="3"/>
    </row>
    <row r="445" spans="1:11">
      <c r="A445" s="3">
        <v>42934</v>
      </c>
      <c r="B445" s="3">
        <v>328.24</v>
      </c>
      <c r="C445" s="4" cm="1">
        <f t="array" aca="1" ref="C445" ca="1">$B445-INDIRECT(ADDRESS(ROW()-C$2,2))</f>
        <v>15.019999999999982</v>
      </c>
      <c r="D445" s="4" cm="1">
        <f t="array" aca="1" ref="D445" ca="1">$B445-INDIRECT(ADDRESS(ROW()-D$2,2))</f>
        <v>1.0199999999999818</v>
      </c>
      <c r="E445" s="4" cm="1">
        <f t="array" aca="1" ref="E445" ca="1">$B445-INDIRECT(ADDRESS(ROW()-E$2,2))</f>
        <v>4.8299999999999841</v>
      </c>
      <c r="F445" s="3">
        <v>19.520000000000891</v>
      </c>
      <c r="G445" s="3">
        <v>16083.76</v>
      </c>
      <c r="H445" s="3">
        <f t="shared" si="7"/>
        <v>16103.28</v>
      </c>
      <c r="I445" s="3"/>
      <c r="J445" s="3"/>
      <c r="K445" s="3"/>
    </row>
    <row r="446" spans="1:11">
      <c r="A446" s="3">
        <v>42935</v>
      </c>
      <c r="B446" s="3">
        <v>325.26</v>
      </c>
      <c r="C446" s="4" cm="1">
        <f t="array" aca="1" ref="C446" ca="1">$B446-INDIRECT(ADDRESS(ROW()-C$2,2))</f>
        <v>9.2099999999999795</v>
      </c>
      <c r="D446" s="4" cm="1">
        <f t="array" aca="1" ref="D446" ca="1">$B446-INDIRECT(ADDRESS(ROW()-D$2,2))</f>
        <v>-4.2599999999999909</v>
      </c>
      <c r="E446" s="4" cm="1">
        <f t="array" aca="1" ref="E446" ca="1">$B446-INDIRECT(ADDRESS(ROW()-E$2,2))</f>
        <v>-2.5199999999999818</v>
      </c>
      <c r="F446" s="3">
        <v>15957.26</v>
      </c>
      <c r="G446" s="3">
        <v>0</v>
      </c>
      <c r="H446" s="3">
        <f t="shared" si="7"/>
        <v>15957.26</v>
      </c>
      <c r="I446" s="3"/>
      <c r="J446" s="3"/>
      <c r="K446" s="3"/>
    </row>
    <row r="447" spans="1:11">
      <c r="A447" s="3">
        <v>42936</v>
      </c>
      <c r="B447" s="3">
        <v>329.92</v>
      </c>
      <c r="C447" s="4" cm="1">
        <f t="array" aca="1" ref="C447" ca="1">$B447-INDIRECT(ADDRESS(ROW()-C$2,2))</f>
        <v>2.6999999999999886</v>
      </c>
      <c r="D447" s="4" cm="1">
        <f t="array" aca="1" ref="D447" ca="1">$B447-INDIRECT(ADDRESS(ROW()-D$2,2))</f>
        <v>6.5099999999999909</v>
      </c>
      <c r="E447" s="4" cm="1">
        <f t="array" aca="1" ref="E447" ca="1">$B447-INDIRECT(ADDRESS(ROW()-E$2,2))</f>
        <v>10.350000000000023</v>
      </c>
      <c r="F447" s="3">
        <v>15957.26</v>
      </c>
      <c r="G447" s="3">
        <v>0</v>
      </c>
      <c r="H447" s="3">
        <f t="shared" si="7"/>
        <v>15957.26</v>
      </c>
      <c r="I447" s="3"/>
      <c r="J447" s="3"/>
      <c r="K447" s="3"/>
    </row>
    <row r="448" spans="1:11">
      <c r="A448" s="3">
        <v>42937</v>
      </c>
      <c r="B448" s="3">
        <v>328.4</v>
      </c>
      <c r="C448" s="4" cm="1">
        <f t="array" aca="1" ref="C448" ca="1">$B448-INDIRECT(ADDRESS(ROW()-C$2,2))</f>
        <v>-1.1200000000000045</v>
      </c>
      <c r="D448" s="4" cm="1">
        <f t="array" aca="1" ref="D448" ca="1">$B448-INDIRECT(ADDRESS(ROW()-D$2,2))</f>
        <v>0.62000000000000455</v>
      </c>
      <c r="E448" s="4" cm="1">
        <f t="array" aca="1" ref="E448" ca="1">$B448-INDIRECT(ADDRESS(ROW()-E$2,2))</f>
        <v>0.15999999999996817</v>
      </c>
      <c r="F448" s="3">
        <v>194.06000000001256</v>
      </c>
      <c r="G448" s="3">
        <v>15763.199999999999</v>
      </c>
      <c r="H448" s="3">
        <f t="shared" si="7"/>
        <v>15957.260000000011</v>
      </c>
      <c r="I448" s="3"/>
      <c r="J448" s="3"/>
      <c r="K448" s="3"/>
    </row>
    <row r="449" spans="1:11">
      <c r="A449" s="3">
        <v>42940</v>
      </c>
      <c r="B449" s="3">
        <v>342.52</v>
      </c>
      <c r="C449" s="4" cm="1">
        <f t="array" aca="1" ref="C449" ca="1">$B449-INDIRECT(ADDRESS(ROW()-C$2,2))</f>
        <v>19.109999999999957</v>
      </c>
      <c r="D449" s="4" cm="1">
        <f t="array" aca="1" ref="D449" ca="1">$B449-INDIRECT(ADDRESS(ROW()-D$2,2))</f>
        <v>22.949999999999989</v>
      </c>
      <c r="E449" s="4" cm="1">
        <f t="array" aca="1" ref="E449" ca="1">$B449-INDIRECT(ADDRESS(ROW()-E$2,2))</f>
        <v>17.259999999999991</v>
      </c>
      <c r="F449" s="3">
        <v>194.06000000001256</v>
      </c>
      <c r="G449" s="3">
        <v>16440.96</v>
      </c>
      <c r="H449" s="3">
        <f t="shared" si="7"/>
        <v>16635.020000000011</v>
      </c>
      <c r="I449" s="3"/>
      <c r="J449" s="3"/>
      <c r="K449" s="3"/>
    </row>
    <row r="450" spans="1:11">
      <c r="A450" s="3">
        <v>42941</v>
      </c>
      <c r="B450" s="3">
        <v>339.6</v>
      </c>
      <c r="C450" s="4" cm="1">
        <f t="array" aca="1" ref="C450" ca="1">$B450-INDIRECT(ADDRESS(ROW()-C$2,2))</f>
        <v>11.82000000000005</v>
      </c>
      <c r="D450" s="4" cm="1">
        <f t="array" aca="1" ref="D450" ca="1">$B450-INDIRECT(ADDRESS(ROW()-D$2,2))</f>
        <v>11.360000000000014</v>
      </c>
      <c r="E450" s="4" cm="1">
        <f t="array" aca="1" ref="E450" ca="1">$B450-INDIRECT(ADDRESS(ROW()-E$2,2))</f>
        <v>9.6800000000000068</v>
      </c>
      <c r="F450" s="3">
        <v>194.06000000001256</v>
      </c>
      <c r="G450" s="3">
        <v>16300.800000000001</v>
      </c>
      <c r="H450" s="3">
        <f t="shared" si="7"/>
        <v>16494.860000000015</v>
      </c>
      <c r="I450" s="3"/>
      <c r="J450" s="3"/>
      <c r="K450" s="3"/>
    </row>
    <row r="451" spans="1:11">
      <c r="A451" s="3">
        <v>42942</v>
      </c>
      <c r="B451" s="3">
        <v>343.85</v>
      </c>
      <c r="C451" s="4" cm="1">
        <f t="array" aca="1" ref="C451" ca="1">$B451-INDIRECT(ADDRESS(ROW()-C$2,2))</f>
        <v>24.28000000000003</v>
      </c>
      <c r="D451" s="4" cm="1">
        <f t="array" aca="1" ref="D451" ca="1">$B451-INDIRECT(ADDRESS(ROW()-D$2,2))</f>
        <v>18.590000000000032</v>
      </c>
      <c r="E451" s="4" cm="1">
        <f t="array" aca="1" ref="E451" ca="1">$B451-INDIRECT(ADDRESS(ROW()-E$2,2))</f>
        <v>15.450000000000045</v>
      </c>
      <c r="F451" s="3">
        <v>194.06000000001256</v>
      </c>
      <c r="G451" s="3">
        <v>16504.800000000003</v>
      </c>
      <c r="H451" s="3">
        <f t="shared" si="7"/>
        <v>16698.860000000015</v>
      </c>
      <c r="I451" s="3"/>
      <c r="J451" s="3"/>
      <c r="K451" s="3"/>
    </row>
    <row r="452" spans="1:11">
      <c r="A452" s="3">
        <v>42943</v>
      </c>
      <c r="B452" s="3">
        <v>334.46</v>
      </c>
      <c r="C452" s="4" cm="1">
        <f t="array" aca="1" ref="C452" ca="1">$B452-INDIRECT(ADDRESS(ROW()-C$2,2))</f>
        <v>6.2199999999999704</v>
      </c>
      <c r="D452" s="4" cm="1">
        <f t="array" aca="1" ref="D452" ca="1">$B452-INDIRECT(ADDRESS(ROW()-D$2,2))</f>
        <v>4.5399999999999636</v>
      </c>
      <c r="E452" s="4" cm="1">
        <f t="array" aca="1" ref="E452" ca="1">$B452-INDIRECT(ADDRESS(ROW()-E$2,2))</f>
        <v>-8.0600000000000023</v>
      </c>
      <c r="F452" s="3">
        <v>194.06000000001256</v>
      </c>
      <c r="G452" s="3">
        <v>16054.079999999998</v>
      </c>
      <c r="H452" s="3">
        <f t="shared" si="7"/>
        <v>16248.14000000001</v>
      </c>
      <c r="I452" s="3"/>
      <c r="J452" s="3"/>
      <c r="K452" s="3"/>
    </row>
    <row r="453" spans="1:11">
      <c r="A453" s="3">
        <v>42944</v>
      </c>
      <c r="B453" s="3">
        <v>335.07</v>
      </c>
      <c r="C453" s="4" cm="1">
        <f t="array" aca="1" ref="C453" ca="1">$B453-INDIRECT(ADDRESS(ROW()-C$2,2))</f>
        <v>9.8100000000000023</v>
      </c>
      <c r="D453" s="4" cm="1">
        <f t="array" aca="1" ref="D453" ca="1">$B453-INDIRECT(ADDRESS(ROW()-D$2,2))</f>
        <v>6.6700000000000159</v>
      </c>
      <c r="E453" s="4" cm="1">
        <f t="array" aca="1" ref="E453" ca="1">$B453-INDIRECT(ADDRESS(ROW()-E$2,2))</f>
        <v>-4.5300000000000296</v>
      </c>
      <c r="F453" s="3">
        <v>194.06000000001256</v>
      </c>
      <c r="G453" s="3">
        <v>16083.36</v>
      </c>
      <c r="H453" s="3">
        <f t="shared" si="7"/>
        <v>16277.420000000013</v>
      </c>
      <c r="I453" s="3"/>
      <c r="J453" s="3"/>
      <c r="K453" s="3"/>
    </row>
    <row r="454" spans="1:11">
      <c r="A454" s="3">
        <v>42947</v>
      </c>
      <c r="B454" s="3">
        <v>323.47000000000003</v>
      </c>
      <c r="C454" s="4" cm="1">
        <f t="array" aca="1" ref="C454" ca="1">$B454-INDIRECT(ADDRESS(ROW()-C$2,2))</f>
        <v>-6.4499999999999886</v>
      </c>
      <c r="D454" s="4" cm="1">
        <f t="array" aca="1" ref="D454" ca="1">$B454-INDIRECT(ADDRESS(ROW()-D$2,2))</f>
        <v>-19.049999999999955</v>
      </c>
      <c r="E454" s="4" cm="1">
        <f t="array" aca="1" ref="E454" ca="1">$B454-INDIRECT(ADDRESS(ROW()-E$2,2))</f>
        <v>-20.379999999999995</v>
      </c>
      <c r="F454" s="3">
        <v>194.06000000001256</v>
      </c>
      <c r="G454" s="3">
        <v>15526.560000000001</v>
      </c>
      <c r="H454" s="3">
        <f t="shared" si="7"/>
        <v>15720.620000000014</v>
      </c>
      <c r="I454" s="3"/>
      <c r="J454" s="3"/>
      <c r="K454" s="3"/>
    </row>
    <row r="455" spans="1:11">
      <c r="A455" s="3">
        <v>42948</v>
      </c>
      <c r="B455" s="3">
        <v>319.57</v>
      </c>
      <c r="C455" s="4" cm="1">
        <f t="array" aca="1" ref="C455" ca="1">$B455-INDIRECT(ADDRESS(ROW()-C$2,2))</f>
        <v>-8.8299999999999841</v>
      </c>
      <c r="D455" s="4" cm="1">
        <f t="array" aca="1" ref="D455" ca="1">$B455-INDIRECT(ADDRESS(ROW()-D$2,2))</f>
        <v>-20.03000000000003</v>
      </c>
      <c r="E455" s="4" cm="1">
        <f t="array" aca="1" ref="E455" ca="1">$B455-INDIRECT(ADDRESS(ROW()-E$2,2))</f>
        <v>-14.889999999999986</v>
      </c>
      <c r="F455" s="3">
        <v>194.06000000001256</v>
      </c>
      <c r="G455" s="3">
        <v>15339.36</v>
      </c>
      <c r="H455" s="3">
        <f t="shared" si="7"/>
        <v>15533.420000000013</v>
      </c>
      <c r="I455" s="3"/>
      <c r="J455" s="3"/>
      <c r="K455" s="3"/>
    </row>
    <row r="456" spans="1:11">
      <c r="A456" s="3">
        <v>42949</v>
      </c>
      <c r="B456" s="3">
        <v>325.89</v>
      </c>
      <c r="C456" s="4" cm="1">
        <f t="array" aca="1" ref="C456" ca="1">$B456-INDIRECT(ADDRESS(ROW()-C$2,2))</f>
        <v>-16.629999999999995</v>
      </c>
      <c r="D456" s="4" cm="1">
        <f t="array" aca="1" ref="D456" ca="1">$B456-INDIRECT(ADDRESS(ROW()-D$2,2))</f>
        <v>-17.960000000000036</v>
      </c>
      <c r="E456" s="4" cm="1">
        <f t="array" aca="1" ref="E456" ca="1">$B456-INDIRECT(ADDRESS(ROW()-E$2,2))</f>
        <v>-9.1800000000000068</v>
      </c>
      <c r="F456" s="3">
        <v>194.06000000001256</v>
      </c>
      <c r="G456" s="3">
        <v>15642.72</v>
      </c>
      <c r="H456" s="3">
        <f t="shared" si="7"/>
        <v>15836.780000000012</v>
      </c>
      <c r="I456" s="3"/>
      <c r="J456" s="3"/>
      <c r="K456" s="3"/>
    </row>
    <row r="457" spans="1:11">
      <c r="A457" s="3">
        <v>42950</v>
      </c>
      <c r="B457" s="3">
        <v>347.09</v>
      </c>
      <c r="C457" s="4" cm="1">
        <f t="array" aca="1" ref="C457" ca="1">$B457-INDIRECT(ADDRESS(ROW()-C$2,2))</f>
        <v>7.4899999999999523</v>
      </c>
      <c r="D457" s="4" cm="1">
        <f t="array" aca="1" ref="D457" ca="1">$B457-INDIRECT(ADDRESS(ROW()-D$2,2))</f>
        <v>12.629999999999995</v>
      </c>
      <c r="E457" s="4" cm="1">
        <f t="array" aca="1" ref="E457" ca="1">$B457-INDIRECT(ADDRESS(ROW()-E$2,2))</f>
        <v>23.619999999999948</v>
      </c>
      <c r="F457" s="3">
        <v>194.06000000001256</v>
      </c>
      <c r="G457" s="3">
        <v>16660.32</v>
      </c>
      <c r="H457" s="3">
        <f t="shared" si="7"/>
        <v>16854.380000000012</v>
      </c>
      <c r="I457" s="3"/>
      <c r="J457" s="3"/>
      <c r="K457" s="3"/>
    </row>
    <row r="458" spans="1:11">
      <c r="A458" s="3">
        <v>42951</v>
      </c>
      <c r="B458" s="3">
        <v>356.91</v>
      </c>
      <c r="C458" s="4" cm="1">
        <f t="array" aca="1" ref="C458" ca="1">$B458-INDIRECT(ADDRESS(ROW()-C$2,2))</f>
        <v>13.060000000000002</v>
      </c>
      <c r="D458" s="4" cm="1">
        <f t="array" aca="1" ref="D458" ca="1">$B458-INDIRECT(ADDRESS(ROW()-D$2,2))</f>
        <v>21.840000000000032</v>
      </c>
      <c r="E458" s="4" cm="1">
        <f t="array" aca="1" ref="E458" ca="1">$B458-INDIRECT(ADDRESS(ROW()-E$2,2))</f>
        <v>37.340000000000032</v>
      </c>
      <c r="F458" s="3">
        <v>194.06000000001256</v>
      </c>
      <c r="G458" s="3">
        <v>17131.68</v>
      </c>
      <c r="H458" s="3">
        <f t="shared" si="7"/>
        <v>17325.740000000013</v>
      </c>
      <c r="I458" s="3"/>
      <c r="J458" s="3"/>
      <c r="K458" s="3"/>
    </row>
    <row r="459" spans="1:11">
      <c r="A459" s="3">
        <v>42954</v>
      </c>
      <c r="B459" s="3">
        <v>355.17</v>
      </c>
      <c r="C459" s="4" cm="1">
        <f t="array" aca="1" ref="C459" ca="1">$B459-INDIRECT(ADDRESS(ROW()-C$2,2))</f>
        <v>20.710000000000036</v>
      </c>
      <c r="D459" s="4" cm="1">
        <f t="array" aca="1" ref="D459" ca="1">$B459-INDIRECT(ADDRESS(ROW()-D$2,2))</f>
        <v>31.699999999999989</v>
      </c>
      <c r="E459" s="4" cm="1">
        <f t="array" aca="1" ref="E459" ca="1">$B459-INDIRECT(ADDRESS(ROW()-E$2,2))</f>
        <v>29.28000000000003</v>
      </c>
      <c r="F459" s="3">
        <v>194.06000000001256</v>
      </c>
      <c r="G459" s="3">
        <v>17048.16</v>
      </c>
      <c r="H459" s="3">
        <f t="shared" si="7"/>
        <v>17242.220000000012</v>
      </c>
      <c r="I459" s="3"/>
      <c r="J459" s="3"/>
      <c r="K459" s="3"/>
    </row>
    <row r="460" spans="1:11">
      <c r="A460" s="3">
        <v>42955</v>
      </c>
      <c r="B460" s="3">
        <v>365.22</v>
      </c>
      <c r="C460" s="4" cm="1">
        <f t="array" aca="1" ref="C460" ca="1">$B460-INDIRECT(ADDRESS(ROW()-C$2,2))</f>
        <v>30.150000000000034</v>
      </c>
      <c r="D460" s="4" cm="1">
        <f t="array" aca="1" ref="D460" ca="1">$B460-INDIRECT(ADDRESS(ROW()-D$2,2))</f>
        <v>45.650000000000034</v>
      </c>
      <c r="E460" s="4" cm="1">
        <f t="array" aca="1" ref="E460" ca="1">$B460-INDIRECT(ADDRESS(ROW()-E$2,2))</f>
        <v>18.130000000000052</v>
      </c>
      <c r="F460" s="3">
        <v>194.06000000001256</v>
      </c>
      <c r="G460" s="3">
        <v>17530.560000000001</v>
      </c>
      <c r="H460" s="3">
        <f t="shared" si="7"/>
        <v>17724.620000000014</v>
      </c>
      <c r="I460" s="3"/>
      <c r="J460" s="3"/>
      <c r="K460" s="3"/>
    </row>
    <row r="461" spans="1:11">
      <c r="A461" s="3">
        <v>42956</v>
      </c>
      <c r="B461" s="3">
        <v>363.53</v>
      </c>
      <c r="C461" s="4" cm="1">
        <f t="array" aca="1" ref="C461" ca="1">$B461-INDIRECT(ADDRESS(ROW()-C$2,2))</f>
        <v>40.059999999999945</v>
      </c>
      <c r="D461" s="4" cm="1">
        <f t="array" aca="1" ref="D461" ca="1">$B461-INDIRECT(ADDRESS(ROW()-D$2,2))</f>
        <v>37.639999999999986</v>
      </c>
      <c r="E461" s="4" cm="1">
        <f t="array" aca="1" ref="E461" ca="1">$B461-INDIRECT(ADDRESS(ROW()-E$2,2))</f>
        <v>6.6199999999999477</v>
      </c>
      <c r="F461" s="3">
        <v>194.06000000001256</v>
      </c>
      <c r="G461" s="3">
        <v>17449.439999999999</v>
      </c>
      <c r="H461" s="3">
        <f t="shared" si="7"/>
        <v>17643.500000000011</v>
      </c>
      <c r="I461" s="3"/>
      <c r="J461" s="3"/>
      <c r="K461" s="3"/>
    </row>
    <row r="462" spans="1:11">
      <c r="A462" s="3">
        <v>42957</v>
      </c>
      <c r="B462" s="3">
        <v>355.4</v>
      </c>
      <c r="C462" s="4" cm="1">
        <f t="array" aca="1" ref="C462" ca="1">$B462-INDIRECT(ADDRESS(ROW()-C$2,2))</f>
        <v>35.829999999999984</v>
      </c>
      <c r="D462" s="4" cm="1">
        <f t="array" aca="1" ref="D462" ca="1">$B462-INDIRECT(ADDRESS(ROW()-D$2,2))</f>
        <v>8.3100000000000023</v>
      </c>
      <c r="E462" s="4" cm="1">
        <f t="array" aca="1" ref="E462" ca="1">$B462-INDIRECT(ADDRESS(ROW()-E$2,2))</f>
        <v>0.22999999999996135</v>
      </c>
      <c r="F462" s="3">
        <v>194.06000000001256</v>
      </c>
      <c r="G462" s="3">
        <v>17059.199999999997</v>
      </c>
      <c r="H462" s="3">
        <f t="shared" si="7"/>
        <v>17253.260000000009</v>
      </c>
      <c r="I462" s="3"/>
      <c r="J462" s="3"/>
      <c r="K462" s="3"/>
    </row>
    <row r="463" spans="1:11">
      <c r="A463" s="3">
        <v>42958</v>
      </c>
      <c r="B463" s="3">
        <v>357.87</v>
      </c>
      <c r="C463" s="4" cm="1">
        <f t="array" aca="1" ref="C463" ca="1">$B463-INDIRECT(ADDRESS(ROW()-C$2,2))</f>
        <v>31.980000000000018</v>
      </c>
      <c r="D463" s="4" cm="1">
        <f t="array" aca="1" ref="D463" ca="1">$B463-INDIRECT(ADDRESS(ROW()-D$2,2))</f>
        <v>0.95999999999997954</v>
      </c>
      <c r="E463" s="4" cm="1">
        <f t="array" aca="1" ref="E463" ca="1">$B463-INDIRECT(ADDRESS(ROW()-E$2,2))</f>
        <v>-7.3500000000000227</v>
      </c>
      <c r="F463" s="3">
        <v>194.06000000001256</v>
      </c>
      <c r="G463" s="3">
        <v>17177.760000000002</v>
      </c>
      <c r="H463" s="3">
        <f t="shared" si="7"/>
        <v>17371.820000000014</v>
      </c>
      <c r="I463" s="3"/>
      <c r="J463" s="3"/>
      <c r="K463" s="3"/>
    </row>
    <row r="464" spans="1:11">
      <c r="A464" s="3">
        <v>42961</v>
      </c>
      <c r="B464" s="3">
        <v>363.8</v>
      </c>
      <c r="C464" s="4" cm="1">
        <f t="array" aca="1" ref="C464" ca="1">$B464-INDIRECT(ADDRESS(ROW()-C$2,2))</f>
        <v>16.710000000000036</v>
      </c>
      <c r="D464" s="4" cm="1">
        <f t="array" aca="1" ref="D464" ca="1">$B464-INDIRECT(ADDRESS(ROW()-D$2,2))</f>
        <v>8.6299999999999955</v>
      </c>
      <c r="E464" s="4" cm="1">
        <f t="array" aca="1" ref="E464" ca="1">$B464-INDIRECT(ADDRESS(ROW()-E$2,2))</f>
        <v>0.27000000000003865</v>
      </c>
      <c r="F464" s="3">
        <v>194.06000000001256</v>
      </c>
      <c r="G464" s="3">
        <v>17462.400000000001</v>
      </c>
      <c r="H464" s="3">
        <f t="shared" si="7"/>
        <v>17656.460000000014</v>
      </c>
      <c r="I464" s="3"/>
      <c r="J464" s="3"/>
      <c r="K464" s="3"/>
    </row>
    <row r="465" spans="1:11">
      <c r="A465" s="3">
        <v>42962</v>
      </c>
      <c r="B465" s="3">
        <v>362.33</v>
      </c>
      <c r="C465" s="4" cm="1">
        <f t="array" aca="1" ref="C465" ca="1">$B465-INDIRECT(ADDRESS(ROW()-C$2,2))</f>
        <v>5.4199999999999591</v>
      </c>
      <c r="D465" s="4" cm="1">
        <f t="array" aca="1" ref="D465" ca="1">$B465-INDIRECT(ADDRESS(ROW()-D$2,2))</f>
        <v>-2.8900000000000432</v>
      </c>
      <c r="E465" s="4" cm="1">
        <f t="array" aca="1" ref="E465" ca="1">$B465-INDIRECT(ADDRESS(ROW()-E$2,2))</f>
        <v>6.9300000000000068</v>
      </c>
      <c r="F465" s="3">
        <v>194.06000000001256</v>
      </c>
      <c r="G465" s="3">
        <v>17391.84</v>
      </c>
      <c r="H465" s="3">
        <f t="shared" si="7"/>
        <v>17585.900000000012</v>
      </c>
      <c r="I465" s="3"/>
      <c r="J465" s="3"/>
      <c r="K465" s="3"/>
    </row>
    <row r="466" spans="1:11">
      <c r="A466" s="3">
        <v>42963</v>
      </c>
      <c r="B466" s="3">
        <v>362.91</v>
      </c>
      <c r="C466" s="4" cm="1">
        <f t="array" aca="1" ref="C466" ca="1">$B466-INDIRECT(ADDRESS(ROW()-C$2,2))</f>
        <v>7.7400000000000091</v>
      </c>
      <c r="D466" s="4" cm="1">
        <f t="array" aca="1" ref="D466" ca="1">$B466-INDIRECT(ADDRESS(ROW()-D$2,2))</f>
        <v>-0.6199999999999477</v>
      </c>
      <c r="E466" s="4" cm="1">
        <f t="array" aca="1" ref="E466" ca="1">$B466-INDIRECT(ADDRESS(ROW()-E$2,2))</f>
        <v>5.0400000000000205</v>
      </c>
      <c r="F466" s="3">
        <v>194.06000000001256</v>
      </c>
      <c r="G466" s="3">
        <v>17419.68</v>
      </c>
      <c r="H466" s="3">
        <f t="shared" si="7"/>
        <v>17613.740000000013</v>
      </c>
      <c r="I466" s="3"/>
      <c r="J466" s="3"/>
      <c r="K466" s="3"/>
    </row>
    <row r="467" spans="1:11">
      <c r="A467" s="3">
        <v>42964</v>
      </c>
      <c r="B467" s="3">
        <v>351.92</v>
      </c>
      <c r="C467" s="4" cm="1">
        <f t="array" aca="1" ref="C467" ca="1">$B467-INDIRECT(ADDRESS(ROW()-C$2,2))</f>
        <v>-13.300000000000011</v>
      </c>
      <c r="D467" s="4" cm="1">
        <f t="array" aca="1" ref="D467" ca="1">$B467-INDIRECT(ADDRESS(ROW()-D$2,2))</f>
        <v>-3.4799999999999613</v>
      </c>
      <c r="E467" s="4" cm="1">
        <f t="array" aca="1" ref="E467" ca="1">$B467-INDIRECT(ADDRESS(ROW()-E$2,2))</f>
        <v>-11.879999999999995</v>
      </c>
      <c r="F467" s="3">
        <v>194.06000000001256</v>
      </c>
      <c r="G467" s="3">
        <v>16892.16</v>
      </c>
      <c r="H467" s="3">
        <f t="shared" si="7"/>
        <v>17086.220000000012</v>
      </c>
      <c r="I467" s="3"/>
      <c r="J467" s="3"/>
      <c r="K467" s="3"/>
    </row>
    <row r="468" spans="1:11">
      <c r="A468" s="3">
        <v>42965</v>
      </c>
      <c r="B468" s="3">
        <v>347.46</v>
      </c>
      <c r="C468" s="4" cm="1">
        <f t="array" aca="1" ref="C468" ca="1">$B468-INDIRECT(ADDRESS(ROW()-C$2,2))</f>
        <v>-16.069999999999993</v>
      </c>
      <c r="D468" s="4" cm="1">
        <f t="array" aca="1" ref="D468" ca="1">$B468-INDIRECT(ADDRESS(ROW()-D$2,2))</f>
        <v>-10.410000000000025</v>
      </c>
      <c r="E468" s="4" cm="1">
        <f t="array" aca="1" ref="E468" ca="1">$B468-INDIRECT(ADDRESS(ROW()-E$2,2))</f>
        <v>-14.870000000000005</v>
      </c>
      <c r="F468" s="3">
        <v>194.06000000001256</v>
      </c>
      <c r="G468" s="3">
        <v>16678.079999999998</v>
      </c>
      <c r="H468" s="3">
        <f t="shared" si="7"/>
        <v>16872.14000000001</v>
      </c>
      <c r="I468" s="3"/>
      <c r="J468" s="3"/>
      <c r="K468" s="3"/>
    </row>
    <row r="469" spans="1:11">
      <c r="A469" s="3">
        <v>42968</v>
      </c>
      <c r="B469" s="3">
        <v>337.86</v>
      </c>
      <c r="C469" s="4" cm="1">
        <f t="array" aca="1" ref="C469" ca="1">$B469-INDIRECT(ADDRESS(ROW()-C$2,2))</f>
        <v>-17.539999999999964</v>
      </c>
      <c r="D469" s="4" cm="1">
        <f t="array" aca="1" ref="D469" ca="1">$B469-INDIRECT(ADDRESS(ROW()-D$2,2))</f>
        <v>-25.939999999999998</v>
      </c>
      <c r="E469" s="4" cm="1">
        <f t="array" aca="1" ref="E469" ca="1">$B469-INDIRECT(ADDRESS(ROW()-E$2,2))</f>
        <v>-25.050000000000011</v>
      </c>
      <c r="F469" s="3">
        <v>194.06000000001256</v>
      </c>
      <c r="G469" s="3">
        <v>16217.28</v>
      </c>
      <c r="H469" s="3">
        <f t="shared" si="7"/>
        <v>16411.340000000015</v>
      </c>
      <c r="I469" s="3"/>
      <c r="J469" s="3"/>
      <c r="K469" s="3"/>
    </row>
    <row r="470" spans="1:11">
      <c r="A470" s="3">
        <v>42969</v>
      </c>
      <c r="B470" s="3">
        <v>341.35</v>
      </c>
      <c r="C470" s="4" cm="1">
        <f t="array" aca="1" ref="C470" ca="1">$B470-INDIRECT(ADDRESS(ROW()-C$2,2))</f>
        <v>-16.519999999999982</v>
      </c>
      <c r="D470" s="4" cm="1">
        <f t="array" aca="1" ref="D470" ca="1">$B470-INDIRECT(ADDRESS(ROW()-D$2,2))</f>
        <v>-20.979999999999961</v>
      </c>
      <c r="E470" s="4" cm="1">
        <f t="array" aca="1" ref="E470" ca="1">$B470-INDIRECT(ADDRESS(ROW()-E$2,2))</f>
        <v>-10.569999999999993</v>
      </c>
      <c r="F470" s="3">
        <v>194.06000000001256</v>
      </c>
      <c r="G470" s="3">
        <v>16384.800000000003</v>
      </c>
      <c r="H470" s="3">
        <f t="shared" si="7"/>
        <v>16578.860000000015</v>
      </c>
      <c r="I470" s="3"/>
      <c r="J470" s="3"/>
      <c r="K470" s="3"/>
    </row>
    <row r="471" spans="1:11">
      <c r="A471" s="3">
        <v>42970</v>
      </c>
      <c r="B471" s="3">
        <v>352.77</v>
      </c>
      <c r="C471" s="4" cm="1">
        <f t="array" aca="1" ref="C471" ca="1">$B471-INDIRECT(ADDRESS(ROW()-C$2,2))</f>
        <v>-11.03000000000003</v>
      </c>
      <c r="D471" s="4" cm="1">
        <f t="array" aca="1" ref="D471" ca="1">$B471-INDIRECT(ADDRESS(ROW()-D$2,2))</f>
        <v>-10.140000000000043</v>
      </c>
      <c r="E471" s="4" cm="1">
        <f t="array" aca="1" ref="E471" ca="1">$B471-INDIRECT(ADDRESS(ROW()-E$2,2))</f>
        <v>5.3100000000000023</v>
      </c>
      <c r="F471" s="3">
        <v>194.06000000001256</v>
      </c>
      <c r="G471" s="3">
        <v>16932.96</v>
      </c>
      <c r="H471" s="3">
        <f t="shared" si="7"/>
        <v>17127.020000000011</v>
      </c>
      <c r="I471" s="3"/>
      <c r="J471" s="3"/>
      <c r="K471" s="3"/>
    </row>
    <row r="472" spans="1:11">
      <c r="A472" s="3">
        <v>42971</v>
      </c>
      <c r="B472" s="3">
        <v>352.93</v>
      </c>
      <c r="C472" s="4" cm="1">
        <f t="array" aca="1" ref="C472" ca="1">$B472-INDIRECT(ADDRESS(ROW()-C$2,2))</f>
        <v>-9.3999999999999773</v>
      </c>
      <c r="D472" s="4" cm="1">
        <f t="array" aca="1" ref="D472" ca="1">$B472-INDIRECT(ADDRESS(ROW()-D$2,2))</f>
        <v>1.0099999999999909</v>
      </c>
      <c r="E472" s="4" cm="1">
        <f t="array" aca="1" ref="E472" ca="1">$B472-INDIRECT(ADDRESS(ROW()-E$2,2))</f>
        <v>15.069999999999993</v>
      </c>
      <c r="F472" s="3">
        <v>194.06000000001256</v>
      </c>
      <c r="G472" s="3">
        <v>16940.64</v>
      </c>
      <c r="H472" s="3">
        <f t="shared" si="7"/>
        <v>17134.700000000012</v>
      </c>
      <c r="I472" s="3"/>
      <c r="J472" s="3"/>
      <c r="K472" s="3"/>
    </row>
    <row r="473" spans="1:11">
      <c r="A473" s="3">
        <v>42972</v>
      </c>
      <c r="B473" s="3">
        <v>348.05</v>
      </c>
      <c r="C473" s="4" cm="1">
        <f t="array" aca="1" ref="C473" ca="1">$B473-INDIRECT(ADDRESS(ROW()-C$2,2))</f>
        <v>-14.860000000000014</v>
      </c>
      <c r="D473" s="4" cm="1">
        <f t="array" aca="1" ref="D473" ca="1">$B473-INDIRECT(ADDRESS(ROW()-D$2,2))</f>
        <v>0.59000000000003183</v>
      </c>
      <c r="E473" s="4" cm="1">
        <f t="array" aca="1" ref="E473" ca="1">$B473-INDIRECT(ADDRESS(ROW()-E$2,2))</f>
        <v>6.6999999999999886</v>
      </c>
      <c r="F473" s="3">
        <v>194.06000000001256</v>
      </c>
      <c r="G473" s="3">
        <v>16706.400000000001</v>
      </c>
      <c r="H473" s="3">
        <f t="shared" si="7"/>
        <v>16900.460000000014</v>
      </c>
      <c r="I473" s="3"/>
      <c r="J473" s="3"/>
      <c r="K473" s="3"/>
    </row>
    <row r="474" spans="1:11">
      <c r="A474" s="3">
        <v>42975</v>
      </c>
      <c r="B474" s="3">
        <v>345.66</v>
      </c>
      <c r="C474" s="4" cm="1">
        <f t="array" aca="1" ref="C474" ca="1">$B474-INDIRECT(ADDRESS(ROW()-C$2,2))</f>
        <v>-6.2599999999999909</v>
      </c>
      <c r="D474" s="4" cm="1">
        <f t="array" aca="1" ref="D474" ca="1">$B474-INDIRECT(ADDRESS(ROW()-D$2,2))</f>
        <v>7.8000000000000114</v>
      </c>
      <c r="E474" s="4" cm="1">
        <f t="array" aca="1" ref="E474" ca="1">$B474-INDIRECT(ADDRESS(ROW()-E$2,2))</f>
        <v>-7.1099999999999568</v>
      </c>
      <c r="F474" s="3">
        <v>194.06000000001256</v>
      </c>
      <c r="G474" s="3">
        <v>16591.68</v>
      </c>
      <c r="H474" s="3">
        <f t="shared" si="7"/>
        <v>16785.740000000013</v>
      </c>
      <c r="I474" s="3"/>
      <c r="J474" s="3"/>
      <c r="K474" s="3"/>
    </row>
    <row r="475" spans="1:11">
      <c r="A475" s="3">
        <v>42976</v>
      </c>
      <c r="B475" s="3">
        <v>347.36</v>
      </c>
      <c r="C475" s="4" cm="1">
        <f t="array" aca="1" ref="C475" ca="1">$B475-INDIRECT(ADDRESS(ROW()-C$2,2))</f>
        <v>-9.9999999999965894E-2</v>
      </c>
      <c r="D475" s="4" cm="1">
        <f t="array" aca="1" ref="D475" ca="1">$B475-INDIRECT(ADDRESS(ROW()-D$2,2))</f>
        <v>6.0099999999999909</v>
      </c>
      <c r="E475" s="4" cm="1">
        <f t="array" aca="1" ref="E475" ca="1">$B475-INDIRECT(ADDRESS(ROW()-E$2,2))</f>
        <v>-5.5699999999999932</v>
      </c>
      <c r="F475" s="3">
        <v>194.06000000001256</v>
      </c>
      <c r="G475" s="3">
        <v>16673.28</v>
      </c>
      <c r="H475" s="3">
        <f t="shared" si="7"/>
        <v>16867.340000000011</v>
      </c>
      <c r="I475" s="3"/>
      <c r="J475" s="3"/>
      <c r="K475" s="3"/>
    </row>
    <row r="476" spans="1:11">
      <c r="A476" s="3">
        <v>42977</v>
      </c>
      <c r="B476" s="3">
        <v>353.18</v>
      </c>
      <c r="C476" s="4" cm="1">
        <f t="array" aca="1" ref="C476" ca="1">$B476-INDIRECT(ADDRESS(ROW()-C$2,2))</f>
        <v>15.319999999999993</v>
      </c>
      <c r="D476" s="4" cm="1">
        <f t="array" aca="1" ref="D476" ca="1">$B476-INDIRECT(ADDRESS(ROW()-D$2,2))</f>
        <v>0.41000000000002501</v>
      </c>
      <c r="E476" s="4" cm="1">
        <f t="array" aca="1" ref="E476" ca="1">$B476-INDIRECT(ADDRESS(ROW()-E$2,2))</f>
        <v>5.1299999999999955</v>
      </c>
      <c r="F476" s="3">
        <v>194.06000000001256</v>
      </c>
      <c r="G476" s="3">
        <v>16952.64</v>
      </c>
      <c r="H476" s="3">
        <f t="shared" si="7"/>
        <v>17146.700000000012</v>
      </c>
      <c r="I476" s="3"/>
      <c r="J476" s="3"/>
      <c r="K476" s="3"/>
    </row>
    <row r="477" spans="1:11">
      <c r="A477" s="3">
        <v>42978</v>
      </c>
      <c r="B477" s="3">
        <v>355.9</v>
      </c>
      <c r="C477" s="4" cm="1">
        <f t="array" aca="1" ref="C477" ca="1">$B477-INDIRECT(ADDRESS(ROW()-C$2,2))</f>
        <v>14.549999999999955</v>
      </c>
      <c r="D477" s="4" cm="1">
        <f t="array" aca="1" ref="D477" ca="1">$B477-INDIRECT(ADDRESS(ROW()-D$2,2))</f>
        <v>2.9699999999999704</v>
      </c>
      <c r="E477" s="4" cm="1">
        <f t="array" aca="1" ref="E477" ca="1">$B477-INDIRECT(ADDRESS(ROW()-E$2,2))</f>
        <v>10.239999999999952</v>
      </c>
      <c r="F477" s="3">
        <v>194.06000000001256</v>
      </c>
      <c r="G477" s="3">
        <v>17083.199999999997</v>
      </c>
      <c r="H477" s="3">
        <f t="shared" si="7"/>
        <v>17277.260000000009</v>
      </c>
      <c r="I477" s="3"/>
      <c r="J477" s="3"/>
      <c r="K477" s="3"/>
    </row>
    <row r="478" spans="1:11">
      <c r="A478" s="3">
        <v>42979</v>
      </c>
      <c r="B478" s="3">
        <v>355.4</v>
      </c>
      <c r="C478" s="4" cm="1">
        <f t="array" aca="1" ref="C478" ca="1">$B478-INDIRECT(ADDRESS(ROW()-C$2,2))</f>
        <v>2.6299999999999955</v>
      </c>
      <c r="D478" s="4" cm="1">
        <f t="array" aca="1" ref="D478" ca="1">$B478-INDIRECT(ADDRESS(ROW()-D$2,2))</f>
        <v>7.3499999999999659</v>
      </c>
      <c r="E478" s="4" cm="1">
        <f t="array" aca="1" ref="E478" ca="1">$B478-INDIRECT(ADDRESS(ROW()-E$2,2))</f>
        <v>8.0399999999999636</v>
      </c>
      <c r="F478" s="3">
        <v>194.06000000001256</v>
      </c>
      <c r="G478" s="3">
        <v>17059.199999999997</v>
      </c>
      <c r="H478" s="3">
        <f t="shared" si="7"/>
        <v>17253.260000000009</v>
      </c>
      <c r="I478" s="3"/>
      <c r="J478" s="3"/>
      <c r="K478" s="3"/>
    </row>
    <row r="479" spans="1:11">
      <c r="A479" s="3">
        <v>42983</v>
      </c>
      <c r="B479" s="3">
        <v>349.59</v>
      </c>
      <c r="C479" s="4" cm="1">
        <f t="array" aca="1" ref="C479" ca="1">$B479-INDIRECT(ADDRESS(ROW()-C$2,2))</f>
        <v>-3.3400000000000318</v>
      </c>
      <c r="D479" s="4" cm="1">
        <f t="array" aca="1" ref="D479" ca="1">$B479-INDIRECT(ADDRESS(ROW()-D$2,2))</f>
        <v>3.92999999999995</v>
      </c>
      <c r="E479" s="4" cm="1">
        <f t="array" aca="1" ref="E479" ca="1">$B479-INDIRECT(ADDRESS(ROW()-E$2,2))</f>
        <v>-3.5900000000000318</v>
      </c>
      <c r="F479" s="3">
        <v>194.06000000001256</v>
      </c>
      <c r="G479" s="3">
        <v>16780.32</v>
      </c>
      <c r="H479" s="3">
        <f t="shared" si="7"/>
        <v>16974.380000000012</v>
      </c>
      <c r="I479" s="3"/>
      <c r="J479" s="3"/>
      <c r="K479" s="3"/>
    </row>
    <row r="480" spans="1:11">
      <c r="A480" s="3">
        <v>42984</v>
      </c>
      <c r="B480" s="3">
        <v>344.53</v>
      </c>
      <c r="C480" s="4" cm="1">
        <f t="array" aca="1" ref="C480" ca="1">$B480-INDIRECT(ADDRESS(ROW()-C$2,2))</f>
        <v>-3.5200000000000387</v>
      </c>
      <c r="D480" s="4" cm="1">
        <f t="array" aca="1" ref="D480" ca="1">$B480-INDIRECT(ADDRESS(ROW()-D$2,2))</f>
        <v>-2.8300000000000409</v>
      </c>
      <c r="E480" s="4" cm="1">
        <f t="array" aca="1" ref="E480" ca="1">$B480-INDIRECT(ADDRESS(ROW()-E$2,2))</f>
        <v>-11.370000000000005</v>
      </c>
      <c r="F480" s="3">
        <v>194.06000000001256</v>
      </c>
      <c r="G480" s="3">
        <v>16537.439999999999</v>
      </c>
      <c r="H480" s="3">
        <f t="shared" si="7"/>
        <v>16731.500000000011</v>
      </c>
      <c r="I480" s="3"/>
      <c r="J480" s="3"/>
      <c r="K480" s="3"/>
    </row>
    <row r="481" spans="1:11">
      <c r="A481" s="3">
        <v>42985</v>
      </c>
      <c r="B481" s="3">
        <v>350.61</v>
      </c>
      <c r="C481" s="4" cm="1">
        <f t="array" aca="1" ref="C481" ca="1">$B481-INDIRECT(ADDRESS(ROW()-C$2,2))</f>
        <v>4.9499999999999886</v>
      </c>
      <c r="D481" s="4" cm="1">
        <f t="array" aca="1" ref="D481" ca="1">$B481-INDIRECT(ADDRESS(ROW()-D$2,2))</f>
        <v>-2.5699999999999932</v>
      </c>
      <c r="E481" s="4" cm="1">
        <f t="array" aca="1" ref="E481" ca="1">$B481-INDIRECT(ADDRESS(ROW()-E$2,2))</f>
        <v>-4.7899999999999636</v>
      </c>
      <c r="F481" s="3">
        <v>17023.340000000011</v>
      </c>
      <c r="G481" s="3">
        <v>0</v>
      </c>
      <c r="H481" s="3">
        <f t="shared" si="7"/>
        <v>17023.340000000011</v>
      </c>
      <c r="I481" s="3"/>
      <c r="J481" s="3"/>
      <c r="K481" s="3"/>
    </row>
    <row r="482" spans="1:11">
      <c r="A482" s="3">
        <v>42986</v>
      </c>
      <c r="B482" s="3">
        <v>343.4</v>
      </c>
      <c r="C482" s="4" cm="1">
        <f t="array" aca="1" ref="C482" ca="1">$B482-INDIRECT(ADDRESS(ROW()-C$2,2))</f>
        <v>-3.9600000000000364</v>
      </c>
      <c r="D482" s="4" cm="1">
        <f t="array" aca="1" ref="D482" ca="1">$B482-INDIRECT(ADDRESS(ROW()-D$2,2))</f>
        <v>-12.5</v>
      </c>
      <c r="E482" s="4" cm="1">
        <f t="array" aca="1" ref="E482" ca="1">$B482-INDIRECT(ADDRESS(ROW()-E$2,2))</f>
        <v>-6.1899999999999977</v>
      </c>
      <c r="F482" s="3">
        <v>17023.340000000011</v>
      </c>
      <c r="G482" s="3">
        <v>0</v>
      </c>
      <c r="H482" s="3">
        <f t="shared" si="7"/>
        <v>17023.340000000011</v>
      </c>
      <c r="I482" s="3"/>
      <c r="J482" s="3"/>
      <c r="K482" s="3"/>
    </row>
    <row r="483" spans="1:11">
      <c r="A483" s="3">
        <v>42989</v>
      </c>
      <c r="B483" s="3">
        <v>363.69</v>
      </c>
      <c r="C483" s="4" cm="1">
        <f t="array" aca="1" ref="C483" ca="1">$B483-INDIRECT(ADDRESS(ROW()-C$2,2))</f>
        <v>10.509999999999991</v>
      </c>
      <c r="D483" s="4" cm="1">
        <f t="array" aca="1" ref="D483" ca="1">$B483-INDIRECT(ADDRESS(ROW()-D$2,2))</f>
        <v>8.2900000000000205</v>
      </c>
      <c r="E483" s="4" cm="1">
        <f t="array" aca="1" ref="E483" ca="1">$B483-INDIRECT(ADDRESS(ROW()-E$2,2))</f>
        <v>19.160000000000025</v>
      </c>
      <c r="F483" s="3">
        <v>17023.340000000011</v>
      </c>
      <c r="G483" s="3">
        <v>0</v>
      </c>
      <c r="H483" s="3">
        <f t="shared" si="7"/>
        <v>17023.340000000011</v>
      </c>
      <c r="I483" s="3"/>
      <c r="J483" s="3"/>
      <c r="K483" s="3"/>
    </row>
    <row r="484" spans="1:11">
      <c r="A484" s="3">
        <v>42990</v>
      </c>
      <c r="B484" s="3">
        <v>362.75</v>
      </c>
      <c r="C484" s="4" cm="1">
        <f t="array" aca="1" ref="C484" ca="1">$B484-INDIRECT(ADDRESS(ROW()-C$2,2))</f>
        <v>6.8500000000000227</v>
      </c>
      <c r="D484" s="4" cm="1">
        <f t="array" aca="1" ref="D484" ca="1">$B484-INDIRECT(ADDRESS(ROW()-D$2,2))</f>
        <v>13.160000000000025</v>
      </c>
      <c r="E484" s="4" cm="1">
        <f t="array" aca="1" ref="E484" ca="1">$B484-INDIRECT(ADDRESS(ROW()-E$2,2))</f>
        <v>12.139999999999986</v>
      </c>
      <c r="F484" s="3">
        <v>17023.340000000011</v>
      </c>
      <c r="G484" s="3">
        <v>0</v>
      </c>
      <c r="H484" s="3">
        <f t="shared" si="7"/>
        <v>17023.340000000011</v>
      </c>
      <c r="I484" s="3"/>
      <c r="J484" s="3"/>
      <c r="K484" s="3"/>
    </row>
    <row r="485" spans="1:11">
      <c r="A485" s="3">
        <v>42991</v>
      </c>
      <c r="B485" s="3">
        <v>366.23</v>
      </c>
      <c r="C485" s="4" cm="1">
        <f t="array" aca="1" ref="C485" ca="1">$B485-INDIRECT(ADDRESS(ROW()-C$2,2))</f>
        <v>10.830000000000041</v>
      </c>
      <c r="D485" s="4" cm="1">
        <f t="array" aca="1" ref="D485" ca="1">$B485-INDIRECT(ADDRESS(ROW()-D$2,2))</f>
        <v>21.700000000000045</v>
      </c>
      <c r="E485" s="4" cm="1">
        <f t="array" aca="1" ref="E485" ca="1">$B485-INDIRECT(ADDRESS(ROW()-E$2,2))</f>
        <v>22.830000000000041</v>
      </c>
      <c r="F485" s="3">
        <v>17023.340000000011</v>
      </c>
      <c r="G485" s="3">
        <v>0</v>
      </c>
      <c r="H485" s="3">
        <f t="shared" si="7"/>
        <v>17023.340000000011</v>
      </c>
      <c r="I485" s="3"/>
      <c r="J485" s="3"/>
      <c r="K485" s="3"/>
    </row>
    <row r="486" spans="1:11">
      <c r="A486" s="3">
        <v>42992</v>
      </c>
      <c r="B486" s="3">
        <v>377.64</v>
      </c>
      <c r="C486" s="4" cm="1">
        <f t="array" aca="1" ref="C486" ca="1">$B486-INDIRECT(ADDRESS(ROW()-C$2,2))</f>
        <v>28.050000000000011</v>
      </c>
      <c r="D486" s="4" cm="1">
        <f t="array" aca="1" ref="D486" ca="1">$B486-INDIRECT(ADDRESS(ROW()-D$2,2))</f>
        <v>27.029999999999973</v>
      </c>
      <c r="E486" s="4" cm="1">
        <f t="array" aca="1" ref="E486" ca="1">$B486-INDIRECT(ADDRESS(ROW()-E$2,2))</f>
        <v>13.949999999999989</v>
      </c>
      <c r="F486" s="3">
        <v>17023.340000000011</v>
      </c>
      <c r="G486" s="3">
        <v>0</v>
      </c>
      <c r="H486" s="3">
        <f t="shared" si="7"/>
        <v>17023.340000000011</v>
      </c>
      <c r="I486" s="3"/>
      <c r="J486" s="3"/>
      <c r="K486" s="3"/>
    </row>
    <row r="487" spans="1:11">
      <c r="A487" s="3">
        <v>42993</v>
      </c>
      <c r="B487" s="3">
        <v>379.81</v>
      </c>
      <c r="C487" s="4" cm="1">
        <f t="array" aca="1" ref="C487" ca="1">$B487-INDIRECT(ADDRESS(ROW()-C$2,2))</f>
        <v>35.28000000000003</v>
      </c>
      <c r="D487" s="4" cm="1">
        <f t="array" aca="1" ref="D487" ca="1">$B487-INDIRECT(ADDRESS(ROW()-D$2,2))</f>
        <v>36.410000000000025</v>
      </c>
      <c r="E487" s="4" cm="1">
        <f t="array" aca="1" ref="E487" ca="1">$B487-INDIRECT(ADDRESS(ROW()-E$2,2))</f>
        <v>17.060000000000002</v>
      </c>
      <c r="F487" s="3">
        <v>17023.340000000011</v>
      </c>
      <c r="G487" s="3">
        <v>0</v>
      </c>
      <c r="H487" s="3">
        <f t="shared" si="7"/>
        <v>17023.340000000011</v>
      </c>
      <c r="I487" s="3"/>
      <c r="J487" s="3"/>
      <c r="K487" s="3"/>
    </row>
    <row r="488" spans="1:11">
      <c r="A488" s="3">
        <v>42996</v>
      </c>
      <c r="B488" s="3">
        <v>385</v>
      </c>
      <c r="C488" s="4" cm="1">
        <f t="array" aca="1" ref="C488" ca="1">$B488-INDIRECT(ADDRESS(ROW()-C$2,2))</f>
        <v>34.389999999999986</v>
      </c>
      <c r="D488" s="4" cm="1">
        <f t="array" aca="1" ref="D488" ca="1">$B488-INDIRECT(ADDRESS(ROW()-D$2,2))</f>
        <v>21.310000000000002</v>
      </c>
      <c r="E488" s="4" cm="1">
        <f t="array" aca="1" ref="E488" ca="1">$B488-INDIRECT(ADDRESS(ROW()-E$2,2))</f>
        <v>18.769999999999982</v>
      </c>
      <c r="F488" s="3">
        <v>17023.340000000011</v>
      </c>
      <c r="G488" s="3">
        <v>0</v>
      </c>
      <c r="H488" s="3">
        <f t="shared" si="7"/>
        <v>17023.340000000011</v>
      </c>
      <c r="I488" s="3"/>
      <c r="J488" s="3"/>
      <c r="K488" s="3"/>
    </row>
    <row r="489" spans="1:11">
      <c r="A489" s="3">
        <v>42997</v>
      </c>
      <c r="B489" s="3">
        <v>375.1</v>
      </c>
      <c r="C489" s="4" cm="1">
        <f t="array" aca="1" ref="C489" ca="1">$B489-INDIRECT(ADDRESS(ROW()-C$2,2))</f>
        <v>31.700000000000045</v>
      </c>
      <c r="D489" s="4" cm="1">
        <f t="array" aca="1" ref="D489" ca="1">$B489-INDIRECT(ADDRESS(ROW()-D$2,2))</f>
        <v>12.350000000000023</v>
      </c>
      <c r="E489" s="4" cm="1">
        <f t="array" aca="1" ref="E489" ca="1">$B489-INDIRECT(ADDRESS(ROW()-E$2,2))</f>
        <v>-2.5399999999999636</v>
      </c>
      <c r="F489" s="3">
        <v>17023.340000000011</v>
      </c>
      <c r="G489" s="3">
        <v>0</v>
      </c>
      <c r="H489" s="3">
        <f t="shared" si="7"/>
        <v>17023.340000000011</v>
      </c>
      <c r="I489" s="3"/>
      <c r="J489" s="3"/>
      <c r="K489" s="3"/>
    </row>
    <row r="490" spans="1:11">
      <c r="A490" s="3">
        <v>42998</v>
      </c>
      <c r="B490" s="3">
        <v>373.91</v>
      </c>
      <c r="C490" s="4" cm="1">
        <f t="array" aca="1" ref="C490" ca="1">$B490-INDIRECT(ADDRESS(ROW()-C$2,2))</f>
        <v>10.220000000000027</v>
      </c>
      <c r="D490" s="4" cm="1">
        <f t="array" aca="1" ref="D490" ca="1">$B490-INDIRECT(ADDRESS(ROW()-D$2,2))</f>
        <v>7.6800000000000068</v>
      </c>
      <c r="E490" s="4" cm="1">
        <f t="array" aca="1" ref="E490" ca="1">$B490-INDIRECT(ADDRESS(ROW()-E$2,2))</f>
        <v>-5.8999999999999773</v>
      </c>
      <c r="F490" s="3">
        <v>17023.340000000011</v>
      </c>
      <c r="G490" s="3">
        <v>0</v>
      </c>
      <c r="H490" s="3">
        <f t="shared" si="7"/>
        <v>17023.340000000011</v>
      </c>
      <c r="I490" s="3"/>
      <c r="J490" s="3"/>
      <c r="K490" s="3"/>
    </row>
    <row r="491" spans="1:11">
      <c r="A491" s="3">
        <v>42999</v>
      </c>
      <c r="B491" s="3">
        <v>366.48</v>
      </c>
      <c r="C491" s="4" cm="1">
        <f t="array" aca="1" ref="C491" ca="1">$B491-INDIRECT(ADDRESS(ROW()-C$2,2))</f>
        <v>3.7300000000000182</v>
      </c>
      <c r="D491" s="4" cm="1">
        <f t="array" aca="1" ref="D491" ca="1">$B491-INDIRECT(ADDRESS(ROW()-D$2,2))</f>
        <v>-11.159999999999968</v>
      </c>
      <c r="E491" s="4" cm="1">
        <f t="array" aca="1" ref="E491" ca="1">$B491-INDIRECT(ADDRESS(ROW()-E$2,2))</f>
        <v>-18.519999999999982</v>
      </c>
      <c r="F491" s="3">
        <v>17023.340000000011</v>
      </c>
      <c r="G491" s="3">
        <v>0</v>
      </c>
      <c r="H491" s="3">
        <f t="shared" si="7"/>
        <v>17023.340000000011</v>
      </c>
      <c r="I491" s="3"/>
      <c r="J491" s="3"/>
      <c r="K491" s="3"/>
    </row>
    <row r="492" spans="1:11">
      <c r="A492" s="3">
        <v>43000</v>
      </c>
      <c r="B492" s="3">
        <v>351.09</v>
      </c>
      <c r="C492" s="4" cm="1">
        <f t="array" aca="1" ref="C492" ca="1">$B492-INDIRECT(ADDRESS(ROW()-C$2,2))</f>
        <v>-15.140000000000043</v>
      </c>
      <c r="D492" s="4" cm="1">
        <f t="array" aca="1" ref="D492" ca="1">$B492-INDIRECT(ADDRESS(ROW()-D$2,2))</f>
        <v>-28.720000000000027</v>
      </c>
      <c r="E492" s="4" cm="1">
        <f t="array" aca="1" ref="E492" ca="1">$B492-INDIRECT(ADDRESS(ROW()-E$2,2))</f>
        <v>-24.010000000000048</v>
      </c>
      <c r="F492" s="3">
        <v>17023.340000000011</v>
      </c>
      <c r="G492" s="3">
        <v>0</v>
      </c>
      <c r="H492" s="3">
        <f t="shared" si="7"/>
        <v>17023.340000000011</v>
      </c>
      <c r="I492" s="3"/>
      <c r="J492" s="3"/>
      <c r="K492" s="3"/>
    </row>
    <row r="493" spans="1:11">
      <c r="A493" s="3">
        <v>43003</v>
      </c>
      <c r="B493" s="3">
        <v>344.99</v>
      </c>
      <c r="C493" s="4" cm="1">
        <f t="array" aca="1" ref="C493" ca="1">$B493-INDIRECT(ADDRESS(ROW()-C$2,2))</f>
        <v>-32.649999999999977</v>
      </c>
      <c r="D493" s="4" cm="1">
        <f t="array" aca="1" ref="D493" ca="1">$B493-INDIRECT(ADDRESS(ROW()-D$2,2))</f>
        <v>-40.009999999999991</v>
      </c>
      <c r="E493" s="4" cm="1">
        <f t="array" aca="1" ref="E493" ca="1">$B493-INDIRECT(ADDRESS(ROW()-E$2,2))</f>
        <v>-28.920000000000016</v>
      </c>
      <c r="F493" s="3">
        <v>17023.340000000011</v>
      </c>
      <c r="G493" s="3">
        <v>0</v>
      </c>
      <c r="H493" s="3">
        <f t="shared" si="7"/>
        <v>17023.340000000011</v>
      </c>
      <c r="I493" s="3"/>
      <c r="J493" s="3"/>
      <c r="K493" s="3"/>
    </row>
    <row r="494" spans="1:11">
      <c r="A494" s="3">
        <v>43004</v>
      </c>
      <c r="B494" s="3">
        <v>345.25</v>
      </c>
      <c r="C494" s="4" cm="1">
        <f t="array" aca="1" ref="C494" ca="1">$B494-INDIRECT(ADDRESS(ROW()-C$2,2))</f>
        <v>-34.56</v>
      </c>
      <c r="D494" s="4" cm="1">
        <f t="array" aca="1" ref="D494" ca="1">$B494-INDIRECT(ADDRESS(ROW()-D$2,2))</f>
        <v>-29.850000000000023</v>
      </c>
      <c r="E494" s="4" cm="1">
        <f t="array" aca="1" ref="E494" ca="1">$B494-INDIRECT(ADDRESS(ROW()-E$2,2))</f>
        <v>-21.230000000000018</v>
      </c>
      <c r="F494" s="3">
        <v>17023.340000000011</v>
      </c>
      <c r="G494" s="3">
        <v>0</v>
      </c>
      <c r="H494" s="3">
        <f t="shared" si="7"/>
        <v>17023.340000000011</v>
      </c>
      <c r="I494" s="3"/>
      <c r="J494" s="3"/>
      <c r="K494" s="3"/>
    </row>
    <row r="495" spans="1:11">
      <c r="A495" s="3">
        <v>43005</v>
      </c>
      <c r="B495" s="3">
        <v>340.97</v>
      </c>
      <c r="C495" s="4" cm="1">
        <f t="array" aca="1" ref="C495" ca="1">$B495-INDIRECT(ADDRESS(ROW()-C$2,2))</f>
        <v>-44.029999999999973</v>
      </c>
      <c r="D495" s="4" cm="1">
        <f t="array" aca="1" ref="D495" ca="1">$B495-INDIRECT(ADDRESS(ROW()-D$2,2))</f>
        <v>-32.94</v>
      </c>
      <c r="E495" s="4" cm="1">
        <f t="array" aca="1" ref="E495" ca="1">$B495-INDIRECT(ADDRESS(ROW()-E$2,2))</f>
        <v>-10.119999999999948</v>
      </c>
      <c r="F495" s="3">
        <v>17023.340000000011</v>
      </c>
      <c r="G495" s="3">
        <v>0</v>
      </c>
      <c r="H495" s="3">
        <f t="shared" ref="H495:H558" si="8">G495+F495</f>
        <v>17023.340000000011</v>
      </c>
      <c r="I495" s="3"/>
      <c r="J495" s="3"/>
      <c r="K495" s="3"/>
    </row>
    <row r="496" spans="1:11">
      <c r="A496" s="3">
        <v>43006</v>
      </c>
      <c r="B496" s="3">
        <v>339.6</v>
      </c>
      <c r="C496" s="4" cm="1">
        <f t="array" aca="1" ref="C496" ca="1">$B496-INDIRECT(ADDRESS(ROW()-C$2,2))</f>
        <v>-35.5</v>
      </c>
      <c r="D496" s="4" cm="1">
        <f t="array" aca="1" ref="D496" ca="1">$B496-INDIRECT(ADDRESS(ROW()-D$2,2))</f>
        <v>-26.879999999999995</v>
      </c>
      <c r="E496" s="4" cm="1">
        <f t="array" aca="1" ref="E496" ca="1">$B496-INDIRECT(ADDRESS(ROW()-E$2,2))</f>
        <v>-5.3899999999999864</v>
      </c>
      <c r="F496" s="3">
        <v>17023.340000000011</v>
      </c>
      <c r="G496" s="3">
        <v>0</v>
      </c>
      <c r="H496" s="3">
        <f t="shared" si="8"/>
        <v>17023.340000000011</v>
      </c>
      <c r="I496" s="3"/>
      <c r="J496" s="3"/>
      <c r="K496" s="3"/>
    </row>
    <row r="497" spans="1:11">
      <c r="A497" s="3">
        <v>43007</v>
      </c>
      <c r="B497" s="3">
        <v>341.1</v>
      </c>
      <c r="C497" s="4" cm="1">
        <f t="array" aca="1" ref="C497" ca="1">$B497-INDIRECT(ADDRESS(ROW()-C$2,2))</f>
        <v>-32.81</v>
      </c>
      <c r="D497" s="4" cm="1">
        <f t="array" aca="1" ref="D497" ca="1">$B497-INDIRECT(ADDRESS(ROW()-D$2,2))</f>
        <v>-9.9899999999999523</v>
      </c>
      <c r="E497" s="4" cm="1">
        <f t="array" aca="1" ref="E497" ca="1">$B497-INDIRECT(ADDRESS(ROW()-E$2,2))</f>
        <v>-4.1499999999999773</v>
      </c>
      <c r="F497" s="3">
        <v>17023.340000000011</v>
      </c>
      <c r="G497" s="3">
        <v>0</v>
      </c>
      <c r="H497" s="3">
        <f t="shared" si="8"/>
        <v>17023.340000000011</v>
      </c>
      <c r="I497" s="3"/>
      <c r="J497" s="3"/>
      <c r="K497" s="3"/>
    </row>
    <row r="498" spans="1:11">
      <c r="A498" s="3">
        <v>43010</v>
      </c>
      <c r="B498" s="3">
        <v>341.53</v>
      </c>
      <c r="C498" s="4" cm="1">
        <f t="array" aca="1" ref="C498" ca="1">$B498-INDIRECT(ADDRESS(ROW()-C$2,2))</f>
        <v>-24.950000000000045</v>
      </c>
      <c r="D498" s="4" cm="1">
        <f t="array" aca="1" ref="D498" ca="1">$B498-INDIRECT(ADDRESS(ROW()-D$2,2))</f>
        <v>-3.4600000000000364</v>
      </c>
      <c r="E498" s="4" cm="1">
        <f t="array" aca="1" ref="E498" ca="1">$B498-INDIRECT(ADDRESS(ROW()-E$2,2))</f>
        <v>0.55999999999994543</v>
      </c>
      <c r="F498" s="3">
        <v>17023.340000000011</v>
      </c>
      <c r="G498" s="3">
        <v>0</v>
      </c>
      <c r="H498" s="3">
        <f t="shared" si="8"/>
        <v>17023.340000000011</v>
      </c>
      <c r="I498" s="3"/>
      <c r="J498" s="3"/>
      <c r="K498" s="3"/>
    </row>
    <row r="499" spans="1:11">
      <c r="A499" s="3">
        <v>43011</v>
      </c>
      <c r="B499" s="3">
        <v>348.14</v>
      </c>
      <c r="C499" s="4" cm="1">
        <f t="array" aca="1" ref="C499" ca="1">$B499-INDIRECT(ADDRESS(ROW()-C$2,2))</f>
        <v>-2.9499999999999886</v>
      </c>
      <c r="D499" s="4" cm="1">
        <f t="array" aca="1" ref="D499" ca="1">$B499-INDIRECT(ADDRESS(ROW()-D$2,2))</f>
        <v>2.8899999999999864</v>
      </c>
      <c r="E499" s="4" cm="1">
        <f t="array" aca="1" ref="E499" ca="1">$B499-INDIRECT(ADDRESS(ROW()-E$2,2))</f>
        <v>8.5399999999999636</v>
      </c>
      <c r="F499" s="3">
        <v>312.62000000002274</v>
      </c>
      <c r="G499" s="3">
        <v>16710.72</v>
      </c>
      <c r="H499" s="3">
        <f t="shared" si="8"/>
        <v>17023.340000000026</v>
      </c>
      <c r="I499" s="3"/>
      <c r="J499" s="3"/>
      <c r="K499" s="3"/>
    </row>
    <row r="500" spans="1:11">
      <c r="A500" s="3">
        <v>43012</v>
      </c>
      <c r="B500" s="3">
        <v>355.01</v>
      </c>
      <c r="C500" s="4" cm="1">
        <f t="array" aca="1" ref="C500" ca="1">$B500-INDIRECT(ADDRESS(ROW()-C$2,2))</f>
        <v>10.019999999999982</v>
      </c>
      <c r="D500" s="4" cm="1">
        <f t="array" aca="1" ref="D500" ca="1">$B500-INDIRECT(ADDRESS(ROW()-D$2,2))</f>
        <v>14.039999999999964</v>
      </c>
      <c r="E500" s="4" cm="1">
        <f t="array" aca="1" ref="E500" ca="1">$B500-INDIRECT(ADDRESS(ROW()-E$2,2))</f>
        <v>13.909999999999968</v>
      </c>
      <c r="F500" s="3">
        <v>312.62000000002274</v>
      </c>
      <c r="G500" s="3">
        <v>17040.48</v>
      </c>
      <c r="H500" s="3">
        <f t="shared" si="8"/>
        <v>17353.100000000024</v>
      </c>
      <c r="I500" s="3"/>
      <c r="J500" s="3"/>
      <c r="K500" s="3"/>
    </row>
    <row r="501" spans="1:11">
      <c r="A501" s="3">
        <v>43013</v>
      </c>
      <c r="B501" s="3">
        <v>355.33</v>
      </c>
      <c r="C501" s="4" cm="1">
        <f t="array" aca="1" ref="C501" ca="1">$B501-INDIRECT(ADDRESS(ROW()-C$2,2))</f>
        <v>10.079999999999984</v>
      </c>
      <c r="D501" s="4" cm="1">
        <f t="array" aca="1" ref="D501" ca="1">$B501-INDIRECT(ADDRESS(ROW()-D$2,2))</f>
        <v>15.729999999999961</v>
      </c>
      <c r="E501" s="4" cm="1">
        <f t="array" aca="1" ref="E501" ca="1">$B501-INDIRECT(ADDRESS(ROW()-E$2,2))</f>
        <v>13.800000000000011</v>
      </c>
      <c r="F501" s="3">
        <v>312.62000000002274</v>
      </c>
      <c r="G501" s="3">
        <v>17055.84</v>
      </c>
      <c r="H501" s="3">
        <f t="shared" si="8"/>
        <v>17368.460000000025</v>
      </c>
      <c r="I501" s="3"/>
      <c r="J501" s="3"/>
      <c r="K501" s="3"/>
    </row>
    <row r="502" spans="1:11">
      <c r="A502" s="3">
        <v>43014</v>
      </c>
      <c r="B502" s="3">
        <v>356.88</v>
      </c>
      <c r="C502" s="4" cm="1">
        <f t="array" aca="1" ref="C502" ca="1">$B502-INDIRECT(ADDRESS(ROW()-C$2,2))</f>
        <v>15.909999999999968</v>
      </c>
      <c r="D502" s="4" cm="1">
        <f t="array" aca="1" ref="D502" ca="1">$B502-INDIRECT(ADDRESS(ROW()-D$2,2))</f>
        <v>15.779999999999973</v>
      </c>
      <c r="E502" s="4" cm="1">
        <f t="array" aca="1" ref="E502" ca="1">$B502-INDIRECT(ADDRESS(ROW()-E$2,2))</f>
        <v>8.7400000000000091</v>
      </c>
      <c r="F502" s="3">
        <v>312.62000000002274</v>
      </c>
      <c r="G502" s="3">
        <v>17130.239999999998</v>
      </c>
      <c r="H502" s="3">
        <f t="shared" si="8"/>
        <v>17442.860000000022</v>
      </c>
      <c r="I502" s="3"/>
      <c r="J502" s="3"/>
      <c r="K502" s="3"/>
    </row>
    <row r="503" spans="1:11">
      <c r="A503" s="3">
        <v>43017</v>
      </c>
      <c r="B503" s="3">
        <v>342.94</v>
      </c>
      <c r="C503" s="4" cm="1">
        <f t="array" aca="1" ref="C503" ca="1">$B503-INDIRECT(ADDRESS(ROW()-C$2,2))</f>
        <v>3.339999999999975</v>
      </c>
      <c r="D503" s="4" cm="1">
        <f t="array" aca="1" ref="D503" ca="1">$B503-INDIRECT(ADDRESS(ROW()-D$2,2))</f>
        <v>1.410000000000025</v>
      </c>
      <c r="E503" s="4" cm="1">
        <f t="array" aca="1" ref="E503" ca="1">$B503-INDIRECT(ADDRESS(ROW()-E$2,2))</f>
        <v>-12.069999999999993</v>
      </c>
      <c r="F503" s="3">
        <v>312.62000000002274</v>
      </c>
      <c r="G503" s="3">
        <v>16461.12</v>
      </c>
      <c r="H503" s="3">
        <f t="shared" si="8"/>
        <v>16773.740000000023</v>
      </c>
      <c r="I503" s="3"/>
      <c r="J503" s="3"/>
      <c r="K503" s="3"/>
    </row>
    <row r="504" spans="1:11">
      <c r="A504" s="3">
        <v>43018</v>
      </c>
      <c r="B504" s="3">
        <v>355.59</v>
      </c>
      <c r="C504" s="4" cm="1">
        <f t="array" aca="1" ref="C504" ca="1">$B504-INDIRECT(ADDRESS(ROW()-C$2,2))</f>
        <v>14.489999999999952</v>
      </c>
      <c r="D504" s="4" cm="1">
        <f t="array" aca="1" ref="D504" ca="1">$B504-INDIRECT(ADDRESS(ROW()-D$2,2))</f>
        <v>7.4499999999999886</v>
      </c>
      <c r="E504" s="4" cm="1">
        <f t="array" aca="1" ref="E504" ca="1">$B504-INDIRECT(ADDRESS(ROW()-E$2,2))</f>
        <v>0.25999999999999091</v>
      </c>
      <c r="F504" s="3">
        <v>312.62000000002274</v>
      </c>
      <c r="G504" s="3">
        <v>17068.32</v>
      </c>
      <c r="H504" s="3">
        <f t="shared" si="8"/>
        <v>17380.940000000024</v>
      </c>
      <c r="I504" s="3"/>
      <c r="J504" s="3"/>
      <c r="K504" s="3"/>
    </row>
    <row r="505" spans="1:11">
      <c r="A505" s="3">
        <v>43019</v>
      </c>
      <c r="B505" s="3">
        <v>354.6</v>
      </c>
      <c r="C505" s="4" cm="1">
        <f t="array" aca="1" ref="C505" ca="1">$B505-INDIRECT(ADDRESS(ROW()-C$2,2))</f>
        <v>13.07000000000005</v>
      </c>
      <c r="D505" s="4" cm="1">
        <f t="array" aca="1" ref="D505" ca="1">$B505-INDIRECT(ADDRESS(ROW()-D$2,2))</f>
        <v>-0.40999999999996817</v>
      </c>
      <c r="E505" s="4" cm="1">
        <f t="array" aca="1" ref="E505" ca="1">$B505-INDIRECT(ADDRESS(ROW()-E$2,2))</f>
        <v>-2.2799999999999727</v>
      </c>
      <c r="F505" s="3">
        <v>17333.420000000027</v>
      </c>
      <c r="G505" s="3">
        <v>0</v>
      </c>
      <c r="H505" s="3">
        <f t="shared" si="8"/>
        <v>17333.420000000027</v>
      </c>
      <c r="I505" s="3"/>
      <c r="J505" s="3"/>
      <c r="K505" s="3"/>
    </row>
    <row r="506" spans="1:11">
      <c r="A506" s="3">
        <v>43020</v>
      </c>
      <c r="B506" s="3">
        <v>355.68</v>
      </c>
      <c r="C506" s="4" cm="1">
        <f t="array" aca="1" ref="C506" ca="1">$B506-INDIRECT(ADDRESS(ROW()-C$2,2))</f>
        <v>7.5400000000000205</v>
      </c>
      <c r="D506" s="4" cm="1">
        <f t="array" aca="1" ref="D506" ca="1">$B506-INDIRECT(ADDRESS(ROW()-D$2,2))</f>
        <v>0.35000000000002274</v>
      </c>
      <c r="E506" s="4" cm="1">
        <f t="array" aca="1" ref="E506" ca="1">$B506-INDIRECT(ADDRESS(ROW()-E$2,2))</f>
        <v>12.740000000000009</v>
      </c>
      <c r="F506" s="3">
        <v>17333.420000000027</v>
      </c>
      <c r="G506" s="3">
        <v>0</v>
      </c>
      <c r="H506" s="3">
        <f t="shared" si="8"/>
        <v>17333.420000000027</v>
      </c>
      <c r="I506" s="3"/>
      <c r="J506" s="3"/>
      <c r="K506" s="3"/>
    </row>
    <row r="507" spans="1:11">
      <c r="A507" s="3">
        <v>43021</v>
      </c>
      <c r="B507" s="3">
        <v>355.57</v>
      </c>
      <c r="C507" s="4" cm="1">
        <f t="array" aca="1" ref="C507" ca="1">$B507-INDIRECT(ADDRESS(ROW()-C$2,2))</f>
        <v>0.56000000000000227</v>
      </c>
      <c r="D507" s="4" cm="1">
        <f t="array" aca="1" ref="D507" ca="1">$B507-INDIRECT(ADDRESS(ROW()-D$2,2))</f>
        <v>-1.3100000000000023</v>
      </c>
      <c r="E507" s="4" cm="1">
        <f t="array" aca="1" ref="E507" ca="1">$B507-INDIRECT(ADDRESS(ROW()-E$2,2))</f>
        <v>-1.999999999998181E-2</v>
      </c>
      <c r="F507" s="3">
        <v>17333.420000000027</v>
      </c>
      <c r="G507" s="3">
        <v>0</v>
      </c>
      <c r="H507" s="3">
        <f t="shared" si="8"/>
        <v>17333.420000000027</v>
      </c>
      <c r="I507" s="3"/>
      <c r="J507" s="3"/>
      <c r="K507" s="3"/>
    </row>
    <row r="508" spans="1:11">
      <c r="A508" s="3">
        <v>43024</v>
      </c>
      <c r="B508" s="3">
        <v>350.6</v>
      </c>
      <c r="C508" s="4" cm="1">
        <f t="array" aca="1" ref="C508" ca="1">$B508-INDIRECT(ADDRESS(ROW()-C$2,2))</f>
        <v>-4.7299999999999613</v>
      </c>
      <c r="D508" s="4" cm="1">
        <f t="array" aca="1" ref="D508" ca="1">$B508-INDIRECT(ADDRESS(ROW()-D$2,2))</f>
        <v>7.660000000000025</v>
      </c>
      <c r="E508" s="4" cm="1">
        <f t="array" aca="1" ref="E508" ca="1">$B508-INDIRECT(ADDRESS(ROW()-E$2,2))</f>
        <v>-4</v>
      </c>
      <c r="F508" s="3">
        <v>17333.420000000027</v>
      </c>
      <c r="G508" s="3">
        <v>0</v>
      </c>
      <c r="H508" s="3">
        <f t="shared" si="8"/>
        <v>17333.420000000027</v>
      </c>
      <c r="I508" s="3"/>
      <c r="J508" s="3"/>
      <c r="K508" s="3"/>
    </row>
    <row r="509" spans="1:11">
      <c r="A509" s="3">
        <v>43025</v>
      </c>
      <c r="B509" s="3">
        <v>355.75</v>
      </c>
      <c r="C509" s="4" cm="1">
        <f t="array" aca="1" ref="C509" ca="1">$B509-INDIRECT(ADDRESS(ROW()-C$2,2))</f>
        <v>-1.1299999999999955</v>
      </c>
      <c r="D509" s="4" cm="1">
        <f t="array" aca="1" ref="D509" ca="1">$B509-INDIRECT(ADDRESS(ROW()-D$2,2))</f>
        <v>0.16000000000002501</v>
      </c>
      <c r="E509" s="4" cm="1">
        <f t="array" aca="1" ref="E509" ca="1">$B509-INDIRECT(ADDRESS(ROW()-E$2,2))</f>
        <v>6.9999999999993179E-2</v>
      </c>
      <c r="F509" s="3">
        <v>257.42000000002736</v>
      </c>
      <c r="G509" s="3">
        <v>17076</v>
      </c>
      <c r="H509" s="3">
        <f t="shared" si="8"/>
        <v>17333.420000000027</v>
      </c>
      <c r="I509" s="3"/>
      <c r="J509" s="3"/>
      <c r="K509" s="3"/>
    </row>
    <row r="510" spans="1:11">
      <c r="A510" s="3">
        <v>43026</v>
      </c>
      <c r="B510" s="3">
        <v>359.65</v>
      </c>
      <c r="C510" s="4" cm="1">
        <f t="array" aca="1" ref="C510" ca="1">$B510-INDIRECT(ADDRESS(ROW()-C$2,2))</f>
        <v>16.70999999999998</v>
      </c>
      <c r="D510" s="4" cm="1">
        <f t="array" aca="1" ref="D510" ca="1">$B510-INDIRECT(ADDRESS(ROW()-D$2,2))</f>
        <v>5.0499999999999545</v>
      </c>
      <c r="E510" s="4" cm="1">
        <f t="array" aca="1" ref="E510" ca="1">$B510-INDIRECT(ADDRESS(ROW()-E$2,2))</f>
        <v>4.0799999999999841</v>
      </c>
      <c r="F510" s="3">
        <v>257.42000000002736</v>
      </c>
      <c r="G510" s="3">
        <v>17263.199999999997</v>
      </c>
      <c r="H510" s="3">
        <f t="shared" si="8"/>
        <v>17520.620000000024</v>
      </c>
      <c r="I510" s="3"/>
      <c r="J510" s="3"/>
      <c r="K510" s="3"/>
    </row>
    <row r="511" spans="1:11">
      <c r="A511" s="3">
        <v>43027</v>
      </c>
      <c r="B511" s="3">
        <v>351.81</v>
      </c>
      <c r="C511" s="4" cm="1">
        <f t="array" aca="1" ref="C511" ca="1">$B511-INDIRECT(ADDRESS(ROW()-C$2,2))</f>
        <v>-3.7799999999999727</v>
      </c>
      <c r="D511" s="4" cm="1">
        <f t="array" aca="1" ref="D511" ca="1">$B511-INDIRECT(ADDRESS(ROW()-D$2,2))</f>
        <v>-3.8700000000000045</v>
      </c>
      <c r="E511" s="4" cm="1">
        <f t="array" aca="1" ref="E511" ca="1">$B511-INDIRECT(ADDRESS(ROW()-E$2,2))</f>
        <v>1.2099999999999795</v>
      </c>
      <c r="F511" s="3">
        <v>257.42000000002736</v>
      </c>
      <c r="G511" s="3">
        <v>16886.88</v>
      </c>
      <c r="H511" s="3">
        <f t="shared" si="8"/>
        <v>17144.300000000028</v>
      </c>
      <c r="I511" s="3"/>
      <c r="J511" s="3"/>
      <c r="K511" s="3"/>
    </row>
    <row r="512" spans="1:11">
      <c r="A512" s="3">
        <v>43028</v>
      </c>
      <c r="B512" s="3">
        <v>345.1</v>
      </c>
      <c r="C512" s="4" cm="1">
        <f t="array" aca="1" ref="C512" ca="1">$B512-INDIRECT(ADDRESS(ROW()-C$2,2))</f>
        <v>-9.5</v>
      </c>
      <c r="D512" s="4" cm="1">
        <f t="array" aca="1" ref="D512" ca="1">$B512-INDIRECT(ADDRESS(ROW()-D$2,2))</f>
        <v>-10.46999999999997</v>
      </c>
      <c r="E512" s="4" cm="1">
        <f t="array" aca="1" ref="E512" ca="1">$B512-INDIRECT(ADDRESS(ROW()-E$2,2))</f>
        <v>-10.649999999999977</v>
      </c>
      <c r="F512" s="3">
        <v>257.42000000002736</v>
      </c>
      <c r="G512" s="3">
        <v>16564.800000000003</v>
      </c>
      <c r="H512" s="3">
        <f t="shared" si="8"/>
        <v>16822.22000000003</v>
      </c>
      <c r="I512" s="3"/>
      <c r="J512" s="3"/>
      <c r="K512" s="3"/>
    </row>
    <row r="513" spans="1:11">
      <c r="A513" s="3">
        <v>43031</v>
      </c>
      <c r="B513" s="3">
        <v>337.02</v>
      </c>
      <c r="C513" s="4" cm="1">
        <f t="array" aca="1" ref="C513" ca="1">$B513-INDIRECT(ADDRESS(ROW()-C$2,2))</f>
        <v>-18.660000000000025</v>
      </c>
      <c r="D513" s="4" cm="1">
        <f t="array" aca="1" ref="D513" ca="1">$B513-INDIRECT(ADDRESS(ROW()-D$2,2))</f>
        <v>-13.580000000000041</v>
      </c>
      <c r="E513" s="4" cm="1">
        <f t="array" aca="1" ref="E513" ca="1">$B513-INDIRECT(ADDRESS(ROW()-E$2,2))</f>
        <v>-22.629999999999995</v>
      </c>
      <c r="F513" s="3">
        <v>257.42000000002736</v>
      </c>
      <c r="G513" s="3">
        <v>16176.96</v>
      </c>
      <c r="H513" s="3">
        <f t="shared" si="8"/>
        <v>16434.380000000026</v>
      </c>
      <c r="I513" s="3"/>
      <c r="J513" s="3"/>
      <c r="K513" s="3"/>
    </row>
    <row r="514" spans="1:11">
      <c r="A514" s="3">
        <v>43032</v>
      </c>
      <c r="B514" s="3">
        <v>337.34</v>
      </c>
      <c r="C514" s="4" cm="1">
        <f t="array" aca="1" ref="C514" ca="1">$B514-INDIRECT(ADDRESS(ROW()-C$2,2))</f>
        <v>-18.230000000000018</v>
      </c>
      <c r="D514" s="4" cm="1">
        <f t="array" aca="1" ref="D514" ca="1">$B514-INDIRECT(ADDRESS(ROW()-D$2,2))</f>
        <v>-18.410000000000025</v>
      </c>
      <c r="E514" s="4" cm="1">
        <f t="array" aca="1" ref="E514" ca="1">$B514-INDIRECT(ADDRESS(ROW()-E$2,2))</f>
        <v>-14.470000000000027</v>
      </c>
      <c r="F514" s="3">
        <v>257.42000000002736</v>
      </c>
      <c r="G514" s="3">
        <v>16192.32</v>
      </c>
      <c r="H514" s="3">
        <f t="shared" si="8"/>
        <v>16449.740000000027</v>
      </c>
      <c r="I514" s="3"/>
      <c r="J514" s="3"/>
      <c r="K514" s="3"/>
    </row>
    <row r="515" spans="1:11">
      <c r="A515" s="3">
        <v>43033</v>
      </c>
      <c r="B515" s="3">
        <v>325.83999999999997</v>
      </c>
      <c r="C515" s="4" cm="1">
        <f t="array" aca="1" ref="C515" ca="1">$B515-INDIRECT(ADDRESS(ROW()-C$2,2))</f>
        <v>-24.760000000000048</v>
      </c>
      <c r="D515" s="4" cm="1">
        <f t="array" aca="1" ref="D515" ca="1">$B515-INDIRECT(ADDRESS(ROW()-D$2,2))</f>
        <v>-33.81</v>
      </c>
      <c r="E515" s="4" cm="1">
        <f t="array" aca="1" ref="E515" ca="1">$B515-INDIRECT(ADDRESS(ROW()-E$2,2))</f>
        <v>-19.260000000000048</v>
      </c>
      <c r="F515" s="3">
        <v>257.42000000002736</v>
      </c>
      <c r="G515" s="3">
        <v>15640.32</v>
      </c>
      <c r="H515" s="3">
        <f t="shared" si="8"/>
        <v>15897.740000000027</v>
      </c>
      <c r="I515" s="3"/>
      <c r="J515" s="3"/>
      <c r="K515" s="3"/>
    </row>
    <row r="516" spans="1:11">
      <c r="A516" s="3">
        <v>43034</v>
      </c>
      <c r="B516" s="3">
        <v>326.17</v>
      </c>
      <c r="C516" s="4" cm="1">
        <f t="array" aca="1" ref="C516" ca="1">$B516-INDIRECT(ADDRESS(ROW()-C$2,2))</f>
        <v>-29.579999999999984</v>
      </c>
      <c r="D516" s="4" cm="1">
        <f t="array" aca="1" ref="D516" ca="1">$B516-INDIRECT(ADDRESS(ROW()-D$2,2))</f>
        <v>-25.639999999999986</v>
      </c>
      <c r="E516" s="4" cm="1">
        <f t="array" aca="1" ref="E516" ca="1">$B516-INDIRECT(ADDRESS(ROW()-E$2,2))</f>
        <v>-10.849999999999966</v>
      </c>
      <c r="F516" s="3">
        <v>257.42000000002736</v>
      </c>
      <c r="G516" s="3">
        <v>15656.16</v>
      </c>
      <c r="H516" s="3">
        <f t="shared" si="8"/>
        <v>15913.580000000027</v>
      </c>
      <c r="I516" s="3"/>
      <c r="J516" s="3"/>
      <c r="K516" s="3"/>
    </row>
    <row r="517" spans="1:11">
      <c r="A517" s="3">
        <v>43035</v>
      </c>
      <c r="B517" s="3">
        <v>320.87</v>
      </c>
      <c r="C517" s="4" cm="1">
        <f t="array" aca="1" ref="C517" ca="1">$B517-INDIRECT(ADDRESS(ROW()-C$2,2))</f>
        <v>-38.779999999999973</v>
      </c>
      <c r="D517" s="4" cm="1">
        <f t="array" aca="1" ref="D517" ca="1">$B517-INDIRECT(ADDRESS(ROW()-D$2,2))</f>
        <v>-24.230000000000018</v>
      </c>
      <c r="E517" s="4" cm="1">
        <f t="array" aca="1" ref="E517" ca="1">$B517-INDIRECT(ADDRESS(ROW()-E$2,2))</f>
        <v>-16.46999999999997</v>
      </c>
      <c r="F517" s="3">
        <v>257.42000000002736</v>
      </c>
      <c r="G517" s="3">
        <v>15401.76</v>
      </c>
      <c r="H517" s="3">
        <f t="shared" si="8"/>
        <v>15659.180000000028</v>
      </c>
      <c r="I517" s="3"/>
      <c r="J517" s="3"/>
      <c r="K517" s="3"/>
    </row>
    <row r="518" spans="1:11">
      <c r="A518" s="3">
        <v>43038</v>
      </c>
      <c r="B518" s="3">
        <v>320.08</v>
      </c>
      <c r="C518" s="4" cm="1">
        <f t="array" aca="1" ref="C518" ca="1">$B518-INDIRECT(ADDRESS(ROW()-C$2,2))</f>
        <v>-31.730000000000018</v>
      </c>
      <c r="D518" s="4" cm="1">
        <f t="array" aca="1" ref="D518" ca="1">$B518-INDIRECT(ADDRESS(ROW()-D$2,2))</f>
        <v>-16.939999999999998</v>
      </c>
      <c r="E518" s="4" cm="1">
        <f t="array" aca="1" ref="E518" ca="1">$B518-INDIRECT(ADDRESS(ROW()-E$2,2))</f>
        <v>-5.7599999999999909</v>
      </c>
      <c r="F518" s="3">
        <v>257.42000000002736</v>
      </c>
      <c r="G518" s="3">
        <v>15363.84</v>
      </c>
      <c r="H518" s="3">
        <f t="shared" si="8"/>
        <v>15621.260000000028</v>
      </c>
      <c r="I518" s="3"/>
      <c r="J518" s="3"/>
      <c r="K518" s="3"/>
    </row>
    <row r="519" spans="1:11">
      <c r="A519" s="3">
        <v>43039</v>
      </c>
      <c r="B519" s="3">
        <v>331.53</v>
      </c>
      <c r="C519" s="4" cm="1">
        <f t="array" aca="1" ref="C519" ca="1">$B519-INDIRECT(ADDRESS(ROW()-C$2,2))</f>
        <v>-13.57000000000005</v>
      </c>
      <c r="D519" s="4" cm="1">
        <f t="array" aca="1" ref="D519" ca="1">$B519-INDIRECT(ADDRESS(ROW()-D$2,2))</f>
        <v>-5.8100000000000023</v>
      </c>
      <c r="E519" s="4" cm="1">
        <f t="array" aca="1" ref="E519" ca="1">$B519-INDIRECT(ADDRESS(ROW()-E$2,2))</f>
        <v>5.3599999999999568</v>
      </c>
      <c r="F519" s="3">
        <v>257.42000000002736</v>
      </c>
      <c r="G519" s="3">
        <v>15913.439999999999</v>
      </c>
      <c r="H519" s="3">
        <f t="shared" si="8"/>
        <v>16170.860000000026</v>
      </c>
      <c r="I519" s="3"/>
      <c r="J519" s="3"/>
      <c r="K519" s="3"/>
    </row>
    <row r="520" spans="1:11">
      <c r="A520" s="3">
        <v>43040</v>
      </c>
      <c r="B520" s="3">
        <v>321.08</v>
      </c>
      <c r="C520" s="4" cm="1">
        <f t="array" aca="1" ref="C520" ca="1">$B520-INDIRECT(ADDRESS(ROW()-C$2,2))</f>
        <v>-15.939999999999998</v>
      </c>
      <c r="D520" s="4" cm="1">
        <f t="array" aca="1" ref="D520" ca="1">$B520-INDIRECT(ADDRESS(ROW()-D$2,2))</f>
        <v>-4.7599999999999909</v>
      </c>
      <c r="E520" s="4" cm="1">
        <f t="array" aca="1" ref="E520" ca="1">$B520-INDIRECT(ADDRESS(ROW()-E$2,2))</f>
        <v>0.20999999999997954</v>
      </c>
      <c r="F520" s="3">
        <v>257.42000000002736</v>
      </c>
      <c r="G520" s="3">
        <v>15411.84</v>
      </c>
      <c r="H520" s="3">
        <f t="shared" si="8"/>
        <v>15669.260000000028</v>
      </c>
      <c r="I520" s="3"/>
      <c r="J520" s="3"/>
      <c r="K520" s="3"/>
    </row>
    <row r="521" spans="1:11">
      <c r="A521" s="3">
        <v>43041</v>
      </c>
      <c r="B521" s="3">
        <v>299.26</v>
      </c>
      <c r="C521" s="4" cm="1">
        <f t="array" aca="1" ref="C521" ca="1">$B521-INDIRECT(ADDRESS(ROW()-C$2,2))</f>
        <v>-38.079999999999984</v>
      </c>
      <c r="D521" s="4" cm="1">
        <f t="array" aca="1" ref="D521" ca="1">$B521-INDIRECT(ADDRESS(ROW()-D$2,2))</f>
        <v>-26.910000000000025</v>
      </c>
      <c r="E521" s="4" cm="1">
        <f t="array" aca="1" ref="E521" ca="1">$B521-INDIRECT(ADDRESS(ROW()-E$2,2))</f>
        <v>-20.819999999999993</v>
      </c>
      <c r="F521" s="3">
        <v>257.42000000002736</v>
      </c>
      <c r="G521" s="3">
        <v>14364.48</v>
      </c>
      <c r="H521" s="3">
        <f t="shared" si="8"/>
        <v>14621.900000000027</v>
      </c>
      <c r="I521" s="3"/>
      <c r="J521" s="3"/>
      <c r="K521" s="3"/>
    </row>
    <row r="522" spans="1:11">
      <c r="A522" s="3">
        <v>43042</v>
      </c>
      <c r="B522" s="3">
        <v>306.08999999999997</v>
      </c>
      <c r="C522" s="4" cm="1">
        <f t="array" aca="1" ref="C522" ca="1">$B522-INDIRECT(ADDRESS(ROW()-C$2,2))</f>
        <v>-19.75</v>
      </c>
      <c r="D522" s="4" cm="1">
        <f t="array" aca="1" ref="D522" ca="1">$B522-INDIRECT(ADDRESS(ROW()-D$2,2))</f>
        <v>-14.78000000000003</v>
      </c>
      <c r="E522" s="4" cm="1">
        <f t="array" aca="1" ref="E522" ca="1">$B522-INDIRECT(ADDRESS(ROW()-E$2,2))</f>
        <v>-25.439999999999998</v>
      </c>
      <c r="F522" s="3">
        <v>257.42000000002736</v>
      </c>
      <c r="G522" s="3">
        <v>14692.32</v>
      </c>
      <c r="H522" s="3">
        <f t="shared" si="8"/>
        <v>14949.740000000027</v>
      </c>
      <c r="I522" s="3"/>
      <c r="J522" s="3"/>
      <c r="K522" s="3"/>
    </row>
    <row r="523" spans="1:11">
      <c r="A523" s="3">
        <v>43045</v>
      </c>
      <c r="B523" s="3">
        <v>302.77999999999997</v>
      </c>
      <c r="C523" s="4" cm="1">
        <f t="array" aca="1" ref="C523" ca="1">$B523-INDIRECT(ADDRESS(ROW()-C$2,2))</f>
        <v>-23.390000000000043</v>
      </c>
      <c r="D523" s="4" cm="1">
        <f t="array" aca="1" ref="D523" ca="1">$B523-INDIRECT(ADDRESS(ROW()-D$2,2))</f>
        <v>-17.300000000000011</v>
      </c>
      <c r="E523" s="4" cm="1">
        <f t="array" aca="1" ref="E523" ca="1">$B523-INDIRECT(ADDRESS(ROW()-E$2,2))</f>
        <v>-18.300000000000011</v>
      </c>
      <c r="F523" s="3">
        <v>257.42000000002736</v>
      </c>
      <c r="G523" s="3">
        <v>14533.439999999999</v>
      </c>
      <c r="H523" s="3">
        <f t="shared" si="8"/>
        <v>14790.860000000026</v>
      </c>
      <c r="I523" s="3"/>
      <c r="J523" s="3"/>
      <c r="K523" s="3"/>
    </row>
    <row r="524" spans="1:11">
      <c r="A524" s="3">
        <v>43046</v>
      </c>
      <c r="B524" s="3">
        <v>306.05</v>
      </c>
      <c r="C524" s="4" cm="1">
        <f t="array" aca="1" ref="C524" ca="1">$B524-INDIRECT(ADDRESS(ROW()-C$2,2))</f>
        <v>-14.819999999999993</v>
      </c>
      <c r="D524" s="4" cm="1">
        <f t="array" aca="1" ref="D524" ca="1">$B524-INDIRECT(ADDRESS(ROW()-D$2,2))</f>
        <v>-25.479999999999961</v>
      </c>
      <c r="E524" s="4" cm="1">
        <f t="array" aca="1" ref="E524" ca="1">$B524-INDIRECT(ADDRESS(ROW()-E$2,2))</f>
        <v>6.7900000000000205</v>
      </c>
      <c r="F524" s="3">
        <v>257.42000000002736</v>
      </c>
      <c r="G524" s="3">
        <v>14690.400000000001</v>
      </c>
      <c r="H524" s="3">
        <f t="shared" si="8"/>
        <v>14947.820000000029</v>
      </c>
      <c r="I524" s="3"/>
      <c r="J524" s="3"/>
      <c r="K524" s="3"/>
    </row>
    <row r="525" spans="1:11">
      <c r="A525" s="3">
        <v>43047</v>
      </c>
      <c r="B525" s="3">
        <v>304.39</v>
      </c>
      <c r="C525" s="4" cm="1">
        <f t="array" aca="1" ref="C525" ca="1">$B525-INDIRECT(ADDRESS(ROW()-C$2,2))</f>
        <v>-15.689999999999998</v>
      </c>
      <c r="D525" s="4" cm="1">
        <f t="array" aca="1" ref="D525" ca="1">$B525-INDIRECT(ADDRESS(ROW()-D$2,2))</f>
        <v>-16.689999999999998</v>
      </c>
      <c r="E525" s="4" cm="1">
        <f t="array" aca="1" ref="E525" ca="1">$B525-INDIRECT(ADDRESS(ROW()-E$2,2))</f>
        <v>-1.6999999999999886</v>
      </c>
      <c r="F525" s="3">
        <v>257.42000000002736</v>
      </c>
      <c r="G525" s="3">
        <v>14610.72</v>
      </c>
      <c r="H525" s="3">
        <f t="shared" si="8"/>
        <v>14868.140000000027</v>
      </c>
      <c r="I525" s="3"/>
      <c r="J525" s="3"/>
      <c r="K525" s="3"/>
    </row>
    <row r="526" spans="1:11">
      <c r="A526" s="3">
        <v>43048</v>
      </c>
      <c r="B526" s="3">
        <v>302.99</v>
      </c>
      <c r="C526" s="4" cm="1">
        <f t="array" aca="1" ref="C526" ca="1">$B526-INDIRECT(ADDRESS(ROW()-C$2,2))</f>
        <v>-28.539999999999964</v>
      </c>
      <c r="D526" s="4" cm="1">
        <f t="array" aca="1" ref="D526" ca="1">$B526-INDIRECT(ADDRESS(ROW()-D$2,2))</f>
        <v>3.7300000000000182</v>
      </c>
      <c r="E526" s="4" cm="1">
        <f t="array" aca="1" ref="E526" ca="1">$B526-INDIRECT(ADDRESS(ROW()-E$2,2))</f>
        <v>0.21000000000003638</v>
      </c>
      <c r="F526" s="3">
        <v>257.42000000002736</v>
      </c>
      <c r="G526" s="3">
        <v>14543.52</v>
      </c>
      <c r="H526" s="3">
        <f t="shared" si="8"/>
        <v>14800.940000000028</v>
      </c>
      <c r="I526" s="3"/>
      <c r="J526" s="3"/>
      <c r="K526" s="3"/>
    </row>
    <row r="527" spans="1:11">
      <c r="A527" s="3">
        <v>43049</v>
      </c>
      <c r="B527" s="3">
        <v>302.99</v>
      </c>
      <c r="C527" s="4" cm="1">
        <f t="array" aca="1" ref="C527" ca="1">$B527-INDIRECT(ADDRESS(ROW()-C$2,2))</f>
        <v>-18.089999999999975</v>
      </c>
      <c r="D527" s="4" cm="1">
        <f t="array" aca="1" ref="D527" ca="1">$B527-INDIRECT(ADDRESS(ROW()-D$2,2))</f>
        <v>-3.0999999999999659</v>
      </c>
      <c r="E527" s="4" cm="1">
        <f t="array" aca="1" ref="E527" ca="1">$B527-INDIRECT(ADDRESS(ROW()-E$2,2))</f>
        <v>-3.0600000000000023</v>
      </c>
      <c r="F527" s="3">
        <v>257.42000000002736</v>
      </c>
      <c r="G527" s="3">
        <v>14543.52</v>
      </c>
      <c r="H527" s="3">
        <f t="shared" si="8"/>
        <v>14800.940000000028</v>
      </c>
      <c r="I527" s="3"/>
      <c r="J527" s="3"/>
      <c r="K527" s="3"/>
    </row>
    <row r="528" spans="1:11">
      <c r="A528" s="3">
        <v>43052</v>
      </c>
      <c r="B528" s="3">
        <v>315.39999999999998</v>
      </c>
      <c r="C528" s="4" cm="1">
        <f t="array" aca="1" ref="C528" ca="1">$B528-INDIRECT(ADDRESS(ROW()-C$2,2))</f>
        <v>16.139999999999986</v>
      </c>
      <c r="D528" s="4" cm="1">
        <f t="array" aca="1" ref="D528" ca="1">$B528-INDIRECT(ADDRESS(ROW()-D$2,2))</f>
        <v>12.620000000000005</v>
      </c>
      <c r="E528" s="4" cm="1">
        <f t="array" aca="1" ref="E528" ca="1">$B528-INDIRECT(ADDRESS(ROW()-E$2,2))</f>
        <v>11.009999999999991</v>
      </c>
      <c r="F528" s="3">
        <v>257.42000000002736</v>
      </c>
      <c r="G528" s="3">
        <v>15139.199999999999</v>
      </c>
      <c r="H528" s="3">
        <f t="shared" si="8"/>
        <v>15396.620000000026</v>
      </c>
      <c r="I528" s="3"/>
      <c r="J528" s="3"/>
      <c r="K528" s="3"/>
    </row>
    <row r="529" spans="1:11">
      <c r="A529" s="3">
        <v>43053</v>
      </c>
      <c r="B529" s="3">
        <v>308.7</v>
      </c>
      <c r="C529" s="4" cm="1">
        <f t="array" aca="1" ref="C529" ca="1">$B529-INDIRECT(ADDRESS(ROW()-C$2,2))</f>
        <v>2.6100000000000136</v>
      </c>
      <c r="D529" s="4" cm="1">
        <f t="array" aca="1" ref="D529" ca="1">$B529-INDIRECT(ADDRESS(ROW()-D$2,2))</f>
        <v>2.6499999999999773</v>
      </c>
      <c r="E529" s="4" cm="1">
        <f t="array" aca="1" ref="E529" ca="1">$B529-INDIRECT(ADDRESS(ROW()-E$2,2))</f>
        <v>5.7099999999999795</v>
      </c>
      <c r="F529" s="3">
        <v>257.42000000002736</v>
      </c>
      <c r="G529" s="3">
        <v>14817.599999999999</v>
      </c>
      <c r="H529" s="3">
        <f t="shared" si="8"/>
        <v>15075.020000000026</v>
      </c>
      <c r="I529" s="3"/>
      <c r="J529" s="3"/>
      <c r="K529" s="3"/>
    </row>
    <row r="530" spans="1:11">
      <c r="A530" s="3">
        <v>43054</v>
      </c>
      <c r="B530" s="3">
        <v>311.3</v>
      </c>
      <c r="C530" s="4" cm="1">
        <f t="array" aca="1" ref="C530" ca="1">$B530-INDIRECT(ADDRESS(ROW()-C$2,2))</f>
        <v>8.5200000000000387</v>
      </c>
      <c r="D530" s="4" cm="1">
        <f t="array" aca="1" ref="D530" ca="1">$B530-INDIRECT(ADDRESS(ROW()-D$2,2))</f>
        <v>6.910000000000025</v>
      </c>
      <c r="E530" s="4" cm="1">
        <f t="array" aca="1" ref="E530" ca="1">$B530-INDIRECT(ADDRESS(ROW()-E$2,2))</f>
        <v>8.3100000000000023</v>
      </c>
      <c r="F530" s="3">
        <v>257.42000000002736</v>
      </c>
      <c r="G530" s="3">
        <v>14942.400000000001</v>
      </c>
      <c r="H530" s="3">
        <f t="shared" si="8"/>
        <v>15199.820000000029</v>
      </c>
      <c r="I530" s="3"/>
      <c r="J530" s="3"/>
      <c r="K530" s="3"/>
    </row>
    <row r="531" spans="1:11">
      <c r="A531" s="3">
        <v>43055</v>
      </c>
      <c r="B531" s="3">
        <v>312.5</v>
      </c>
      <c r="C531" s="4" cm="1">
        <f t="array" aca="1" ref="C531" ca="1">$B531-INDIRECT(ADDRESS(ROW()-C$2,2))</f>
        <v>6.4499999999999886</v>
      </c>
      <c r="D531" s="4" cm="1">
        <f t="array" aca="1" ref="D531" ca="1">$B531-INDIRECT(ADDRESS(ROW()-D$2,2))</f>
        <v>9.5099999999999909</v>
      </c>
      <c r="E531" s="4" cm="1">
        <f t="array" aca="1" ref="E531" ca="1">$B531-INDIRECT(ADDRESS(ROW()-E$2,2))</f>
        <v>-2.8999999999999773</v>
      </c>
      <c r="F531" s="3">
        <v>257.42000000002736</v>
      </c>
      <c r="G531" s="3">
        <v>15000</v>
      </c>
      <c r="H531" s="3">
        <f t="shared" si="8"/>
        <v>15257.420000000027</v>
      </c>
      <c r="I531" s="3"/>
      <c r="J531" s="3"/>
      <c r="K531" s="3"/>
    </row>
    <row r="532" spans="1:11">
      <c r="A532" s="3">
        <v>43056</v>
      </c>
      <c r="B532" s="3">
        <v>315.05</v>
      </c>
      <c r="C532" s="4" cm="1">
        <f t="array" aca="1" ref="C532" ca="1">$B532-INDIRECT(ADDRESS(ROW()-C$2,2))</f>
        <v>10.660000000000025</v>
      </c>
      <c r="D532" s="4" cm="1">
        <f t="array" aca="1" ref="D532" ca="1">$B532-INDIRECT(ADDRESS(ROW()-D$2,2))</f>
        <v>12.060000000000002</v>
      </c>
      <c r="E532" s="4" cm="1">
        <f t="array" aca="1" ref="E532" ca="1">$B532-INDIRECT(ADDRESS(ROW()-E$2,2))</f>
        <v>6.3500000000000227</v>
      </c>
      <c r="F532" s="3">
        <v>257.42000000002736</v>
      </c>
      <c r="G532" s="3">
        <v>15122.400000000001</v>
      </c>
      <c r="H532" s="3">
        <f t="shared" si="8"/>
        <v>15379.820000000029</v>
      </c>
      <c r="I532" s="3"/>
      <c r="J532" s="3"/>
      <c r="K532" s="3"/>
    </row>
    <row r="533" spans="1:11">
      <c r="A533" s="3">
        <v>43059</v>
      </c>
      <c r="B533" s="3">
        <v>308.74</v>
      </c>
      <c r="C533" s="4" cm="1">
        <f t="array" aca="1" ref="C533" ca="1">$B533-INDIRECT(ADDRESS(ROW()-C$2,2))</f>
        <v>5.75</v>
      </c>
      <c r="D533" s="4" cm="1">
        <f t="array" aca="1" ref="D533" ca="1">$B533-INDIRECT(ADDRESS(ROW()-D$2,2))</f>
        <v>-6.6599999999999682</v>
      </c>
      <c r="E533" s="4" cm="1">
        <f t="array" aca="1" ref="E533" ca="1">$B533-INDIRECT(ADDRESS(ROW()-E$2,2))</f>
        <v>-2.5600000000000023</v>
      </c>
      <c r="F533" s="3">
        <v>15076.940000000028</v>
      </c>
      <c r="G533" s="3">
        <v>0</v>
      </c>
      <c r="H533" s="3">
        <f t="shared" si="8"/>
        <v>15076.940000000028</v>
      </c>
      <c r="I533" s="3"/>
      <c r="J533" s="3"/>
      <c r="K533" s="3"/>
    </row>
    <row r="534" spans="1:11">
      <c r="A534" s="3">
        <v>43060</v>
      </c>
      <c r="B534" s="3">
        <v>317.81</v>
      </c>
      <c r="C534" s="4" cm="1">
        <f t="array" aca="1" ref="C534" ca="1">$B534-INDIRECT(ADDRESS(ROW()-C$2,2))</f>
        <v>14.819999999999993</v>
      </c>
      <c r="D534" s="4" cm="1">
        <f t="array" aca="1" ref="D534" ca="1">$B534-INDIRECT(ADDRESS(ROW()-D$2,2))</f>
        <v>9.1100000000000136</v>
      </c>
      <c r="E534" s="4" cm="1">
        <f t="array" aca="1" ref="E534" ca="1">$B534-INDIRECT(ADDRESS(ROW()-E$2,2))</f>
        <v>5.3100000000000023</v>
      </c>
      <c r="F534" s="3">
        <v>15076.940000000028</v>
      </c>
      <c r="G534" s="3">
        <v>0</v>
      </c>
      <c r="H534" s="3">
        <f t="shared" si="8"/>
        <v>15076.940000000028</v>
      </c>
      <c r="I534" s="3"/>
      <c r="J534" s="3"/>
      <c r="K534" s="3"/>
    </row>
    <row r="535" spans="1:11">
      <c r="A535" s="3">
        <v>43061</v>
      </c>
      <c r="B535" s="3">
        <v>312.60000000000002</v>
      </c>
      <c r="C535" s="4" cm="1">
        <f t="array" aca="1" ref="C535" ca="1">$B535-INDIRECT(ADDRESS(ROW()-C$2,2))</f>
        <v>-2.7999999999999545</v>
      </c>
      <c r="D535" s="4" cm="1">
        <f t="array" aca="1" ref="D535" ca="1">$B535-INDIRECT(ADDRESS(ROW()-D$2,2))</f>
        <v>1.3000000000000114</v>
      </c>
      <c r="E535" s="4" cm="1">
        <f t="array" aca="1" ref="E535" ca="1">$B535-INDIRECT(ADDRESS(ROW()-E$2,2))</f>
        <v>-2.4499999999999886</v>
      </c>
      <c r="F535" s="3">
        <v>15076.940000000028</v>
      </c>
      <c r="G535" s="3">
        <v>0</v>
      </c>
      <c r="H535" s="3">
        <f t="shared" si="8"/>
        <v>15076.940000000028</v>
      </c>
      <c r="I535" s="3"/>
      <c r="J535" s="3"/>
      <c r="K535" s="3"/>
    </row>
    <row r="536" spans="1:11">
      <c r="A536" s="3">
        <v>43063</v>
      </c>
      <c r="B536" s="3">
        <v>315.55</v>
      </c>
      <c r="C536" s="4" cm="1">
        <f t="array" aca="1" ref="C536" ca="1">$B536-INDIRECT(ADDRESS(ROW()-C$2,2))</f>
        <v>6.8500000000000227</v>
      </c>
      <c r="D536" s="4" cm="1">
        <f t="array" aca="1" ref="D536" ca="1">$B536-INDIRECT(ADDRESS(ROW()-D$2,2))</f>
        <v>3.0500000000000114</v>
      </c>
      <c r="E536" s="4" cm="1">
        <f t="array" aca="1" ref="E536" ca="1">$B536-INDIRECT(ADDRESS(ROW()-E$2,2))</f>
        <v>6.8100000000000023</v>
      </c>
      <c r="F536" s="3">
        <v>15076.940000000028</v>
      </c>
      <c r="G536" s="3">
        <v>0</v>
      </c>
      <c r="H536" s="3">
        <f t="shared" si="8"/>
        <v>15076.940000000028</v>
      </c>
      <c r="I536" s="3"/>
      <c r="J536" s="3"/>
      <c r="K536" s="3"/>
    </row>
    <row r="537" spans="1:11">
      <c r="A537" s="3">
        <v>43066</v>
      </c>
      <c r="B537" s="3">
        <v>316.81</v>
      </c>
      <c r="C537" s="4" cm="1">
        <f t="array" aca="1" ref="C537" ca="1">$B537-INDIRECT(ADDRESS(ROW()-C$2,2))</f>
        <v>5.5099999999999909</v>
      </c>
      <c r="D537" s="4" cm="1">
        <f t="array" aca="1" ref="D537" ca="1">$B537-INDIRECT(ADDRESS(ROW()-D$2,2))</f>
        <v>1.7599999999999909</v>
      </c>
      <c r="E537" s="4" cm="1">
        <f t="array" aca="1" ref="E537" ca="1">$B537-INDIRECT(ADDRESS(ROW()-E$2,2))</f>
        <v>-1</v>
      </c>
      <c r="F537" s="3">
        <v>15076.940000000028</v>
      </c>
      <c r="G537" s="3">
        <v>0</v>
      </c>
      <c r="H537" s="3">
        <f t="shared" si="8"/>
        <v>15076.940000000028</v>
      </c>
      <c r="I537" s="3"/>
      <c r="J537" s="3"/>
      <c r="K537" s="3"/>
    </row>
    <row r="538" spans="1:11">
      <c r="A538" s="3">
        <v>43067</v>
      </c>
      <c r="B538" s="3">
        <v>317.55</v>
      </c>
      <c r="C538" s="4" cm="1">
        <f t="array" aca="1" ref="C538" ca="1">$B538-INDIRECT(ADDRESS(ROW()-C$2,2))</f>
        <v>5.0500000000000114</v>
      </c>
      <c r="D538" s="4" cm="1">
        <f t="array" aca="1" ref="D538" ca="1">$B538-INDIRECT(ADDRESS(ROW()-D$2,2))</f>
        <v>8.8100000000000023</v>
      </c>
      <c r="E538" s="4" cm="1">
        <f t="array" aca="1" ref="E538" ca="1">$B538-INDIRECT(ADDRESS(ROW()-E$2,2))</f>
        <v>4.9499999999999886</v>
      </c>
      <c r="F538" s="3">
        <v>15076.940000000028</v>
      </c>
      <c r="G538" s="3">
        <v>0</v>
      </c>
      <c r="H538" s="3">
        <f t="shared" si="8"/>
        <v>15076.940000000028</v>
      </c>
      <c r="I538" s="3"/>
      <c r="J538" s="3"/>
      <c r="K538" s="3"/>
    </row>
    <row r="539" spans="1:11">
      <c r="A539" s="3">
        <v>43068</v>
      </c>
      <c r="B539" s="3">
        <v>307.54000000000002</v>
      </c>
      <c r="C539" s="4" cm="1">
        <f t="array" aca="1" ref="C539" ca="1">$B539-INDIRECT(ADDRESS(ROW()-C$2,2))</f>
        <v>-7.5099999999999909</v>
      </c>
      <c r="D539" s="4" cm="1">
        <f t="array" aca="1" ref="D539" ca="1">$B539-INDIRECT(ADDRESS(ROW()-D$2,2))</f>
        <v>-10.269999999999982</v>
      </c>
      <c r="E539" s="4" cm="1">
        <f t="array" aca="1" ref="E539" ca="1">$B539-INDIRECT(ADDRESS(ROW()-E$2,2))</f>
        <v>-8.0099999999999909</v>
      </c>
      <c r="F539" s="3">
        <v>15076.940000000028</v>
      </c>
      <c r="G539" s="3">
        <v>0</v>
      </c>
      <c r="H539" s="3">
        <f t="shared" si="8"/>
        <v>15076.940000000028</v>
      </c>
      <c r="I539" s="3"/>
      <c r="J539" s="3"/>
      <c r="K539" s="3"/>
    </row>
    <row r="540" spans="1:11">
      <c r="A540" s="3">
        <v>43069</v>
      </c>
      <c r="B540" s="3">
        <v>308.85000000000002</v>
      </c>
      <c r="C540" s="4" cm="1">
        <f t="array" aca="1" ref="C540" ca="1">$B540-INDIRECT(ADDRESS(ROW()-C$2,2))</f>
        <v>0.11000000000001364</v>
      </c>
      <c r="D540" s="4" cm="1">
        <f t="array" aca="1" ref="D540" ca="1">$B540-INDIRECT(ADDRESS(ROW()-D$2,2))</f>
        <v>-3.75</v>
      </c>
      <c r="E540" s="4" cm="1">
        <f t="array" aca="1" ref="E540" ca="1">$B540-INDIRECT(ADDRESS(ROW()-E$2,2))</f>
        <v>-7.9599999999999795</v>
      </c>
      <c r="F540" s="3">
        <v>15076.940000000028</v>
      </c>
      <c r="G540" s="3">
        <v>0</v>
      </c>
      <c r="H540" s="3">
        <f t="shared" si="8"/>
        <v>15076.940000000028</v>
      </c>
      <c r="I540" s="3"/>
      <c r="J540" s="3"/>
      <c r="K540" s="3"/>
    </row>
    <row r="541" spans="1:11">
      <c r="A541" s="3">
        <v>43070</v>
      </c>
      <c r="B541" s="3">
        <v>306.52999999999997</v>
      </c>
      <c r="C541" s="4" cm="1">
        <f t="array" aca="1" ref="C541" ca="1">$B541-INDIRECT(ADDRESS(ROW()-C$2,2))</f>
        <v>-11.28000000000003</v>
      </c>
      <c r="D541" s="4" cm="1">
        <f t="array" aca="1" ref="D541" ca="1">$B541-INDIRECT(ADDRESS(ROW()-D$2,2))</f>
        <v>-9.0200000000000387</v>
      </c>
      <c r="E541" s="4" cm="1">
        <f t="array" aca="1" ref="E541" ca="1">$B541-INDIRECT(ADDRESS(ROW()-E$2,2))</f>
        <v>-11.020000000000039</v>
      </c>
      <c r="F541" s="3">
        <v>15076.940000000028</v>
      </c>
      <c r="G541" s="3">
        <v>0</v>
      </c>
      <c r="H541" s="3">
        <f t="shared" si="8"/>
        <v>15076.940000000028</v>
      </c>
      <c r="I541" s="3"/>
      <c r="J541" s="3"/>
      <c r="K541" s="3"/>
    </row>
    <row r="542" spans="1:11">
      <c r="A542" s="3">
        <v>43073</v>
      </c>
      <c r="B542" s="3">
        <v>305.2</v>
      </c>
      <c r="C542" s="4" cm="1">
        <f t="array" aca="1" ref="C542" ca="1">$B542-INDIRECT(ADDRESS(ROW()-C$2,2))</f>
        <v>-7.4000000000000341</v>
      </c>
      <c r="D542" s="4" cm="1">
        <f t="array" aca="1" ref="D542" ca="1">$B542-INDIRECT(ADDRESS(ROW()-D$2,2))</f>
        <v>-11.610000000000014</v>
      </c>
      <c r="E542" s="4" cm="1">
        <f t="array" aca="1" ref="E542" ca="1">$B542-INDIRECT(ADDRESS(ROW()-E$2,2))</f>
        <v>-2.3400000000000318</v>
      </c>
      <c r="F542" s="3">
        <v>15076.940000000028</v>
      </c>
      <c r="G542" s="3">
        <v>0</v>
      </c>
      <c r="H542" s="3">
        <f t="shared" si="8"/>
        <v>15076.940000000028</v>
      </c>
      <c r="I542" s="3"/>
      <c r="J542" s="3"/>
      <c r="K542" s="3"/>
    </row>
    <row r="543" spans="1:11">
      <c r="A543" s="3">
        <v>43074</v>
      </c>
      <c r="B543" s="3">
        <v>303.7</v>
      </c>
      <c r="C543" s="4" cm="1">
        <f t="array" aca="1" ref="C543" ca="1">$B543-INDIRECT(ADDRESS(ROW()-C$2,2))</f>
        <v>-11.850000000000023</v>
      </c>
      <c r="D543" s="4" cm="1">
        <f t="array" aca="1" ref="D543" ca="1">$B543-INDIRECT(ADDRESS(ROW()-D$2,2))</f>
        <v>-13.850000000000023</v>
      </c>
      <c r="E543" s="4" cm="1">
        <f t="array" aca="1" ref="E543" ca="1">$B543-INDIRECT(ADDRESS(ROW()-E$2,2))</f>
        <v>-5.1500000000000341</v>
      </c>
      <c r="F543" s="3">
        <v>15076.940000000028</v>
      </c>
      <c r="G543" s="3">
        <v>0</v>
      </c>
      <c r="H543" s="3">
        <f t="shared" si="8"/>
        <v>15076.940000000028</v>
      </c>
      <c r="I543" s="3"/>
      <c r="J543" s="3"/>
      <c r="K543" s="3"/>
    </row>
    <row r="544" spans="1:11">
      <c r="A544" s="3">
        <v>43075</v>
      </c>
      <c r="B544" s="3">
        <v>313.26</v>
      </c>
      <c r="C544" s="4" cm="1">
        <f t="array" aca="1" ref="C544" ca="1">$B544-INDIRECT(ADDRESS(ROW()-C$2,2))</f>
        <v>-3.5500000000000114</v>
      </c>
      <c r="D544" s="4" cm="1">
        <f t="array" aca="1" ref="D544" ca="1">$B544-INDIRECT(ADDRESS(ROW()-D$2,2))</f>
        <v>5.7199999999999704</v>
      </c>
      <c r="E544" s="4" cm="1">
        <f t="array" aca="1" ref="E544" ca="1">$B544-INDIRECT(ADDRESS(ROW()-E$2,2))</f>
        <v>6.7300000000000182</v>
      </c>
      <c r="F544" s="3">
        <v>40.460000000018908</v>
      </c>
      <c r="G544" s="3">
        <v>15036.48</v>
      </c>
      <c r="H544" s="3">
        <f t="shared" si="8"/>
        <v>15076.940000000019</v>
      </c>
      <c r="I544" s="3"/>
      <c r="J544" s="3"/>
      <c r="K544" s="3"/>
    </row>
    <row r="545" spans="1:11">
      <c r="A545" s="3">
        <v>43076</v>
      </c>
      <c r="B545" s="3">
        <v>311.24</v>
      </c>
      <c r="C545" s="4" cm="1">
        <f t="array" aca="1" ref="C545" ca="1">$B545-INDIRECT(ADDRESS(ROW()-C$2,2))</f>
        <v>-6.3100000000000023</v>
      </c>
      <c r="D545" s="4" cm="1">
        <f t="array" aca="1" ref="D545" ca="1">$B545-INDIRECT(ADDRESS(ROW()-D$2,2))</f>
        <v>2.3899999999999864</v>
      </c>
      <c r="E545" s="4" cm="1">
        <f t="array" aca="1" ref="E545" ca="1">$B545-INDIRECT(ADDRESS(ROW()-E$2,2))</f>
        <v>6.0400000000000205</v>
      </c>
      <c r="F545" s="3">
        <v>40.460000000018908</v>
      </c>
      <c r="G545" s="3">
        <v>14939.52</v>
      </c>
      <c r="H545" s="3">
        <f t="shared" si="8"/>
        <v>14979.98000000002</v>
      </c>
      <c r="I545" s="3"/>
      <c r="J545" s="3"/>
      <c r="K545" s="3"/>
    </row>
    <row r="546" spans="1:11">
      <c r="A546" s="3">
        <v>43077</v>
      </c>
      <c r="B546" s="3">
        <v>315.13</v>
      </c>
      <c r="C546" s="4" cm="1">
        <f t="array" aca="1" ref="C546" ca="1">$B546-INDIRECT(ADDRESS(ROW()-C$2,2))</f>
        <v>7.589999999999975</v>
      </c>
      <c r="D546" s="4" cm="1">
        <f t="array" aca="1" ref="D546" ca="1">$B546-INDIRECT(ADDRESS(ROW()-D$2,2))</f>
        <v>8.6000000000000227</v>
      </c>
      <c r="E546" s="4" cm="1">
        <f t="array" aca="1" ref="E546" ca="1">$B546-INDIRECT(ADDRESS(ROW()-E$2,2))</f>
        <v>11.430000000000007</v>
      </c>
      <c r="F546" s="3">
        <v>40.460000000018908</v>
      </c>
      <c r="G546" s="3">
        <v>15126.24</v>
      </c>
      <c r="H546" s="3">
        <f t="shared" si="8"/>
        <v>15166.700000000019</v>
      </c>
      <c r="I546" s="3"/>
      <c r="J546" s="3"/>
      <c r="K546" s="3"/>
    </row>
    <row r="547" spans="1:11">
      <c r="A547" s="3">
        <v>43080</v>
      </c>
      <c r="B547" s="3">
        <v>328.91</v>
      </c>
      <c r="C547" s="4" cm="1">
        <f t="array" aca="1" ref="C547" ca="1">$B547-INDIRECT(ADDRESS(ROW()-C$2,2))</f>
        <v>20.060000000000002</v>
      </c>
      <c r="D547" s="4" cm="1">
        <f t="array" aca="1" ref="D547" ca="1">$B547-INDIRECT(ADDRESS(ROW()-D$2,2))</f>
        <v>23.710000000000036</v>
      </c>
      <c r="E547" s="4" cm="1">
        <f t="array" aca="1" ref="E547" ca="1">$B547-INDIRECT(ADDRESS(ROW()-E$2,2))</f>
        <v>15.650000000000034</v>
      </c>
      <c r="F547" s="3">
        <v>40.460000000018908</v>
      </c>
      <c r="G547" s="3">
        <v>15787.68</v>
      </c>
      <c r="H547" s="3">
        <f t="shared" si="8"/>
        <v>15828.140000000019</v>
      </c>
      <c r="I547" s="3"/>
      <c r="J547" s="3"/>
      <c r="K547" s="3"/>
    </row>
    <row r="548" spans="1:11">
      <c r="A548" s="3">
        <v>43081</v>
      </c>
      <c r="B548" s="3">
        <v>341.03</v>
      </c>
      <c r="C548" s="4" cm="1">
        <f t="array" aca="1" ref="C548" ca="1">$B548-INDIRECT(ADDRESS(ROW()-C$2,2))</f>
        <v>34.5</v>
      </c>
      <c r="D548" s="4" cm="1">
        <f t="array" aca="1" ref="D548" ca="1">$B548-INDIRECT(ADDRESS(ROW()-D$2,2))</f>
        <v>37.329999999999984</v>
      </c>
      <c r="E548" s="4" cm="1">
        <f t="array" aca="1" ref="E548" ca="1">$B548-INDIRECT(ADDRESS(ROW()-E$2,2))</f>
        <v>29.789999999999964</v>
      </c>
      <c r="F548" s="3">
        <v>40.460000000018908</v>
      </c>
      <c r="G548" s="3">
        <v>16369.439999999999</v>
      </c>
      <c r="H548" s="3">
        <f t="shared" si="8"/>
        <v>16409.900000000016</v>
      </c>
      <c r="I548" s="3"/>
      <c r="J548" s="3"/>
      <c r="K548" s="3"/>
    </row>
    <row r="549" spans="1:11">
      <c r="A549" s="3">
        <v>43082</v>
      </c>
      <c r="B549" s="3">
        <v>339.03</v>
      </c>
      <c r="C549" s="4" cm="1">
        <f t="array" aca="1" ref="C549" ca="1">$B549-INDIRECT(ADDRESS(ROW()-C$2,2))</f>
        <v>33.829999999999984</v>
      </c>
      <c r="D549" s="4" cm="1">
        <f t="array" aca="1" ref="D549" ca="1">$B549-INDIRECT(ADDRESS(ROW()-D$2,2))</f>
        <v>25.769999999999982</v>
      </c>
      <c r="E549" s="4" cm="1">
        <f t="array" aca="1" ref="E549" ca="1">$B549-INDIRECT(ADDRESS(ROW()-E$2,2))</f>
        <v>23.899999999999977</v>
      </c>
      <c r="F549" s="3">
        <v>40.460000000018908</v>
      </c>
      <c r="G549" s="3">
        <v>16273.439999999999</v>
      </c>
      <c r="H549" s="3">
        <f t="shared" si="8"/>
        <v>16313.900000000018</v>
      </c>
      <c r="I549" s="3"/>
      <c r="J549" s="3"/>
      <c r="K549" s="3"/>
    </row>
    <row r="550" spans="1:11">
      <c r="A550" s="3">
        <v>43083</v>
      </c>
      <c r="B550" s="3">
        <v>337.89</v>
      </c>
      <c r="C550" s="4" cm="1">
        <f t="array" aca="1" ref="C550" ca="1">$B550-INDIRECT(ADDRESS(ROW()-C$2,2))</f>
        <v>34.19</v>
      </c>
      <c r="D550" s="4" cm="1">
        <f t="array" aca="1" ref="D550" ca="1">$B550-INDIRECT(ADDRESS(ROW()-D$2,2))</f>
        <v>26.649999999999977</v>
      </c>
      <c r="E550" s="4" cm="1">
        <f t="array" aca="1" ref="E550" ca="1">$B550-INDIRECT(ADDRESS(ROW()-E$2,2))</f>
        <v>8.9799999999999613</v>
      </c>
      <c r="F550" s="3">
        <v>40.460000000018908</v>
      </c>
      <c r="G550" s="3">
        <v>16218.72</v>
      </c>
      <c r="H550" s="3">
        <f t="shared" si="8"/>
        <v>16259.180000000018</v>
      </c>
      <c r="I550" s="3"/>
      <c r="J550" s="3"/>
      <c r="K550" s="3"/>
    </row>
    <row r="551" spans="1:11">
      <c r="A551" s="3">
        <v>43084</v>
      </c>
      <c r="B551" s="3">
        <v>343.45</v>
      </c>
      <c r="C551" s="4" cm="1">
        <f t="array" aca="1" ref="C551" ca="1">$B551-INDIRECT(ADDRESS(ROW()-C$2,2))</f>
        <v>30.189999999999998</v>
      </c>
      <c r="D551" s="4" cm="1">
        <f t="array" aca="1" ref="D551" ca="1">$B551-INDIRECT(ADDRESS(ROW()-D$2,2))</f>
        <v>28.319999999999993</v>
      </c>
      <c r="E551" s="4" cm="1">
        <f t="array" aca="1" ref="E551" ca="1">$B551-INDIRECT(ADDRESS(ROW()-E$2,2))</f>
        <v>2.4200000000000159</v>
      </c>
      <c r="F551" s="3">
        <v>40.460000000018908</v>
      </c>
      <c r="G551" s="3">
        <v>16485.599999999999</v>
      </c>
      <c r="H551" s="3">
        <f t="shared" si="8"/>
        <v>16526.060000000016</v>
      </c>
      <c r="I551" s="3"/>
      <c r="J551" s="3"/>
      <c r="K551" s="3"/>
    </row>
    <row r="552" spans="1:11">
      <c r="A552" s="3">
        <v>43087</v>
      </c>
      <c r="B552" s="3">
        <v>338.87</v>
      </c>
      <c r="C552" s="4" cm="1">
        <f t="array" aca="1" ref="C552" ca="1">$B552-INDIRECT(ADDRESS(ROW()-C$2,2))</f>
        <v>27.629999999999995</v>
      </c>
      <c r="D552" s="4" cm="1">
        <f t="array" aca="1" ref="D552" ca="1">$B552-INDIRECT(ADDRESS(ROW()-D$2,2))</f>
        <v>9.9599999999999795</v>
      </c>
      <c r="E552" s="4" cm="1">
        <f t="array" aca="1" ref="E552" ca="1">$B552-INDIRECT(ADDRESS(ROW()-E$2,2))</f>
        <v>-0.15999999999996817</v>
      </c>
      <c r="F552" s="3">
        <v>40.460000000018908</v>
      </c>
      <c r="G552" s="3">
        <v>16265.76</v>
      </c>
      <c r="H552" s="3">
        <f t="shared" si="8"/>
        <v>16306.220000000019</v>
      </c>
      <c r="I552" s="3"/>
      <c r="J552" s="3"/>
      <c r="K552" s="3"/>
    </row>
    <row r="553" spans="1:11">
      <c r="A553" s="3">
        <v>43088</v>
      </c>
      <c r="B553" s="3">
        <v>331.1</v>
      </c>
      <c r="C553" s="4" cm="1">
        <f t="array" aca="1" ref="C553" ca="1">$B553-INDIRECT(ADDRESS(ROW()-C$2,2))</f>
        <v>15.970000000000027</v>
      </c>
      <c r="D553" s="4" cm="1">
        <f t="array" aca="1" ref="D553" ca="1">$B553-INDIRECT(ADDRESS(ROW()-D$2,2))</f>
        <v>-9.92999999999995</v>
      </c>
      <c r="E553" s="4" cm="1">
        <f t="array" aca="1" ref="E553" ca="1">$B553-INDIRECT(ADDRESS(ROW()-E$2,2))</f>
        <v>-6.7899999999999636</v>
      </c>
      <c r="F553" s="3">
        <v>15933.26000000002</v>
      </c>
      <c r="G553" s="3">
        <v>0</v>
      </c>
      <c r="H553" s="3">
        <f t="shared" si="8"/>
        <v>15933.26000000002</v>
      </c>
      <c r="I553" s="3"/>
      <c r="J553" s="3"/>
      <c r="K553" s="3"/>
    </row>
    <row r="554" spans="1:11">
      <c r="A554" s="3">
        <v>43089</v>
      </c>
      <c r="B554" s="3">
        <v>328.98</v>
      </c>
      <c r="C554" s="4" cm="1">
        <f t="array" aca="1" ref="C554" ca="1">$B554-INDIRECT(ADDRESS(ROW()-C$2,2))</f>
        <v>6.9999999999993179E-2</v>
      </c>
      <c r="D554" s="4" cm="1">
        <f t="array" aca="1" ref="D554" ca="1">$B554-INDIRECT(ADDRESS(ROW()-D$2,2))</f>
        <v>-10.049999999999955</v>
      </c>
      <c r="E554" s="4" cm="1">
        <f t="array" aca="1" ref="E554" ca="1">$B554-INDIRECT(ADDRESS(ROW()-E$2,2))</f>
        <v>-14.46999999999997</v>
      </c>
      <c r="F554" s="3">
        <v>15933.26000000002</v>
      </c>
      <c r="G554" s="3">
        <v>0</v>
      </c>
      <c r="H554" s="3">
        <f t="shared" si="8"/>
        <v>15933.26000000002</v>
      </c>
      <c r="I554" s="3"/>
      <c r="J554" s="3"/>
      <c r="K554" s="3"/>
    </row>
    <row r="555" spans="1:11">
      <c r="A555" s="3">
        <v>43090</v>
      </c>
      <c r="B555" s="3">
        <v>331.66</v>
      </c>
      <c r="C555" s="4" cm="1">
        <f t="array" aca="1" ref="C555" ca="1">$B555-INDIRECT(ADDRESS(ROW()-C$2,2))</f>
        <v>-9.3699999999999477</v>
      </c>
      <c r="D555" s="4" cm="1">
        <f t="array" aca="1" ref="D555" ca="1">$B555-INDIRECT(ADDRESS(ROW()-D$2,2))</f>
        <v>-6.2299999999999613</v>
      </c>
      <c r="E555" s="4" cm="1">
        <f t="array" aca="1" ref="E555" ca="1">$B555-INDIRECT(ADDRESS(ROW()-E$2,2))</f>
        <v>-7.2099999999999795</v>
      </c>
      <c r="F555" s="3">
        <v>15933.26000000002</v>
      </c>
      <c r="G555" s="3">
        <v>0</v>
      </c>
      <c r="H555" s="3">
        <f t="shared" si="8"/>
        <v>15933.26000000002</v>
      </c>
      <c r="I555" s="3"/>
      <c r="J555" s="3"/>
      <c r="K555" s="3"/>
    </row>
    <row r="556" spans="1:11">
      <c r="A556" s="3">
        <v>43091</v>
      </c>
      <c r="B556" s="3">
        <v>325.2</v>
      </c>
      <c r="C556" s="4" cm="1">
        <f t="array" aca="1" ref="C556" ca="1">$B556-INDIRECT(ADDRESS(ROW()-C$2,2))</f>
        <v>-13.829999999999984</v>
      </c>
      <c r="D556" s="4" cm="1">
        <f t="array" aca="1" ref="D556" ca="1">$B556-INDIRECT(ADDRESS(ROW()-D$2,2))</f>
        <v>-18.25</v>
      </c>
      <c r="E556" s="4" cm="1">
        <f t="array" aca="1" ref="E556" ca="1">$B556-INDIRECT(ADDRESS(ROW()-E$2,2))</f>
        <v>-5.9000000000000341</v>
      </c>
      <c r="F556" s="3">
        <v>15933.26000000002</v>
      </c>
      <c r="G556" s="3">
        <v>0</v>
      </c>
      <c r="H556" s="3">
        <f t="shared" si="8"/>
        <v>15933.26000000002</v>
      </c>
      <c r="I556" s="3"/>
      <c r="J556" s="3"/>
      <c r="K556" s="3"/>
    </row>
    <row r="557" spans="1:11">
      <c r="A557" s="3">
        <v>43095</v>
      </c>
      <c r="B557" s="3">
        <v>317.29000000000002</v>
      </c>
      <c r="C557" s="4" cm="1">
        <f t="array" aca="1" ref="C557" ca="1">$B557-INDIRECT(ADDRESS(ROW()-C$2,2))</f>
        <v>-20.599999999999966</v>
      </c>
      <c r="D557" s="4" cm="1">
        <f t="array" aca="1" ref="D557" ca="1">$B557-INDIRECT(ADDRESS(ROW()-D$2,2))</f>
        <v>-21.579999999999984</v>
      </c>
      <c r="E557" s="4" cm="1">
        <f t="array" aca="1" ref="E557" ca="1">$B557-INDIRECT(ADDRESS(ROW()-E$2,2))</f>
        <v>-11.689999999999998</v>
      </c>
      <c r="F557" s="3">
        <v>15933.26000000002</v>
      </c>
      <c r="G557" s="3">
        <v>0</v>
      </c>
      <c r="H557" s="3">
        <f t="shared" si="8"/>
        <v>15933.26000000002</v>
      </c>
      <c r="I557" s="3"/>
      <c r="J557" s="3"/>
      <c r="K557" s="3"/>
    </row>
    <row r="558" spans="1:11">
      <c r="A558" s="3">
        <v>43096</v>
      </c>
      <c r="B558" s="3">
        <v>311.64</v>
      </c>
      <c r="C558" s="4" cm="1">
        <f t="array" aca="1" ref="C558" ca="1">$B558-INDIRECT(ADDRESS(ROW()-C$2,2))</f>
        <v>-31.810000000000002</v>
      </c>
      <c r="D558" s="4" cm="1">
        <f t="array" aca="1" ref="D558" ca="1">$B558-INDIRECT(ADDRESS(ROW()-D$2,2))</f>
        <v>-19.460000000000036</v>
      </c>
      <c r="E558" s="4" cm="1">
        <f t="array" aca="1" ref="E558" ca="1">$B558-INDIRECT(ADDRESS(ROW()-E$2,2))</f>
        <v>-20.020000000000039</v>
      </c>
      <c r="F558" s="3">
        <v>15933.26000000002</v>
      </c>
      <c r="G558" s="3">
        <v>0</v>
      </c>
      <c r="H558" s="3">
        <f t="shared" si="8"/>
        <v>15933.26000000002</v>
      </c>
      <c r="I558" s="3"/>
      <c r="J558" s="3"/>
      <c r="K558" s="3"/>
    </row>
    <row r="559" spans="1:11">
      <c r="A559" s="3">
        <v>43097</v>
      </c>
      <c r="B559" s="3">
        <v>315.36</v>
      </c>
      <c r="C559" s="4" cm="1">
        <f t="array" aca="1" ref="C559" ca="1">$B559-INDIRECT(ADDRESS(ROW()-C$2,2))</f>
        <v>-23.509999999999991</v>
      </c>
      <c r="D559" s="4" cm="1">
        <f t="array" aca="1" ref="D559" ca="1">$B559-INDIRECT(ADDRESS(ROW()-D$2,2))</f>
        <v>-13.620000000000005</v>
      </c>
      <c r="E559" s="4" cm="1">
        <f t="array" aca="1" ref="E559" ca="1">$B559-INDIRECT(ADDRESS(ROW()-E$2,2))</f>
        <v>-9.839999999999975</v>
      </c>
      <c r="F559" s="3">
        <v>15933.26000000002</v>
      </c>
      <c r="G559" s="3">
        <v>0</v>
      </c>
      <c r="H559" s="3">
        <f t="shared" ref="H559:H622" si="9">G559+F559</f>
        <v>15933.26000000002</v>
      </c>
      <c r="I559" s="3"/>
      <c r="J559" s="3"/>
      <c r="K559" s="3"/>
    </row>
    <row r="560" spans="1:11">
      <c r="A560" s="3">
        <v>43098</v>
      </c>
      <c r="B560" s="3">
        <v>311.35000000000002</v>
      </c>
      <c r="C560" s="4" cm="1">
        <f t="array" aca="1" ref="C560" ca="1">$B560-INDIRECT(ADDRESS(ROW()-C$2,2))</f>
        <v>-19.75</v>
      </c>
      <c r="D560" s="4" cm="1">
        <f t="array" aca="1" ref="D560" ca="1">$B560-INDIRECT(ADDRESS(ROW()-D$2,2))</f>
        <v>-20.310000000000002</v>
      </c>
      <c r="E560" s="4" cm="1">
        <f t="array" aca="1" ref="E560" ca="1">$B560-INDIRECT(ADDRESS(ROW()-E$2,2))</f>
        <v>-5.9399999999999977</v>
      </c>
      <c r="F560" s="3">
        <v>15933.26000000002</v>
      </c>
      <c r="G560" s="3">
        <v>0</v>
      </c>
      <c r="H560" s="3">
        <f t="shared" si="9"/>
        <v>15933.26000000002</v>
      </c>
      <c r="I560" s="3"/>
      <c r="J560" s="3"/>
      <c r="K560" s="3"/>
    </row>
    <row r="561" spans="1:11">
      <c r="A561" s="3">
        <v>43102</v>
      </c>
      <c r="B561" s="3">
        <v>320.52999999999997</v>
      </c>
      <c r="C561" s="4" cm="1">
        <f t="array" aca="1" ref="C561" ca="1">$B561-INDIRECT(ADDRESS(ROW()-C$2,2))</f>
        <v>-8.4500000000000455</v>
      </c>
      <c r="D561" s="4" cm="1">
        <f t="array" aca="1" ref="D561" ca="1">$B561-INDIRECT(ADDRESS(ROW()-D$2,2))</f>
        <v>-4.6700000000000159</v>
      </c>
      <c r="E561" s="4" cm="1">
        <f t="array" aca="1" ref="E561" ca="1">$B561-INDIRECT(ADDRESS(ROW()-E$2,2))</f>
        <v>8.8899999999999864</v>
      </c>
      <c r="F561" s="3">
        <v>15933.26000000002</v>
      </c>
      <c r="G561" s="3">
        <v>0</v>
      </c>
      <c r="H561" s="3">
        <f t="shared" si="9"/>
        <v>15933.26000000002</v>
      </c>
      <c r="I561" s="3"/>
      <c r="J561" s="3"/>
      <c r="K561" s="3"/>
    </row>
    <row r="562" spans="1:11">
      <c r="A562" s="3">
        <v>43103</v>
      </c>
      <c r="B562" s="3">
        <v>317.25</v>
      </c>
      <c r="C562" s="4" cm="1">
        <f t="array" aca="1" ref="C562" ca="1">$B562-INDIRECT(ADDRESS(ROW()-C$2,2))</f>
        <v>-14.410000000000025</v>
      </c>
      <c r="D562" s="4" cm="1">
        <f t="array" aca="1" ref="D562" ca="1">$B562-INDIRECT(ADDRESS(ROW()-D$2,2))</f>
        <v>-4.0000000000020464E-2</v>
      </c>
      <c r="E562" s="4" cm="1">
        <f t="array" aca="1" ref="E562" ca="1">$B562-INDIRECT(ADDRESS(ROW()-E$2,2))</f>
        <v>1.8899999999999864</v>
      </c>
      <c r="F562" s="3">
        <v>15933.26000000002</v>
      </c>
      <c r="G562" s="3">
        <v>0</v>
      </c>
      <c r="H562" s="3">
        <f t="shared" si="9"/>
        <v>15933.26000000002</v>
      </c>
      <c r="I562" s="3"/>
      <c r="J562" s="3"/>
      <c r="K562" s="3"/>
    </row>
    <row r="563" spans="1:11">
      <c r="A563" s="3">
        <v>43104</v>
      </c>
      <c r="B563" s="3">
        <v>314.62</v>
      </c>
      <c r="C563" s="4" cm="1">
        <f t="array" aca="1" ref="C563" ca="1">$B563-INDIRECT(ADDRESS(ROW()-C$2,2))</f>
        <v>-10.579999999999984</v>
      </c>
      <c r="D563" s="4" cm="1">
        <f t="array" aca="1" ref="D563" ca="1">$B563-INDIRECT(ADDRESS(ROW()-D$2,2))</f>
        <v>2.9800000000000182</v>
      </c>
      <c r="E563" s="4" cm="1">
        <f t="array" aca="1" ref="E563" ca="1">$B563-INDIRECT(ADDRESS(ROW()-E$2,2))</f>
        <v>3.2699999999999818</v>
      </c>
      <c r="F563" s="3">
        <v>202.26000000000352</v>
      </c>
      <c r="G563" s="3">
        <v>15731</v>
      </c>
      <c r="H563" s="3">
        <f t="shared" si="9"/>
        <v>15933.260000000004</v>
      </c>
      <c r="I563" s="3"/>
      <c r="J563" s="3"/>
      <c r="K563" s="3"/>
    </row>
    <row r="564" spans="1:11">
      <c r="A564" s="3">
        <v>43105</v>
      </c>
      <c r="B564" s="3">
        <v>316.58</v>
      </c>
      <c r="C564" s="4" cm="1">
        <f t="array" aca="1" ref="C564" ca="1">$B564-INDIRECT(ADDRESS(ROW()-C$2,2))</f>
        <v>-0.71000000000003638</v>
      </c>
      <c r="D564" s="4" cm="1">
        <f t="array" aca="1" ref="D564" ca="1">$B564-INDIRECT(ADDRESS(ROW()-D$2,2))</f>
        <v>1.2199999999999704</v>
      </c>
      <c r="E564" s="4" cm="1">
        <f t="array" aca="1" ref="E564" ca="1">$B564-INDIRECT(ADDRESS(ROW()-E$2,2))</f>
        <v>-3.9499999999999886</v>
      </c>
      <c r="F564" s="3">
        <v>202.26000000000352</v>
      </c>
      <c r="G564" s="3">
        <v>15829</v>
      </c>
      <c r="H564" s="3">
        <f t="shared" si="9"/>
        <v>16031.260000000004</v>
      </c>
      <c r="I564" s="3"/>
      <c r="J564" s="3"/>
      <c r="K564" s="3"/>
    </row>
    <row r="565" spans="1:11">
      <c r="A565" s="3">
        <v>43108</v>
      </c>
      <c r="B565" s="3">
        <v>336.41</v>
      </c>
      <c r="C565" s="4" cm="1">
        <f t="array" aca="1" ref="C565" ca="1">$B565-INDIRECT(ADDRESS(ROW()-C$2,2))</f>
        <v>24.770000000000039</v>
      </c>
      <c r="D565" s="4" cm="1">
        <f t="array" aca="1" ref="D565" ca="1">$B565-INDIRECT(ADDRESS(ROW()-D$2,2))</f>
        <v>25.060000000000002</v>
      </c>
      <c r="E565" s="4" cm="1">
        <f t="array" aca="1" ref="E565" ca="1">$B565-INDIRECT(ADDRESS(ROW()-E$2,2))</f>
        <v>19.160000000000025</v>
      </c>
      <c r="F565" s="3">
        <v>202.26000000000352</v>
      </c>
      <c r="G565" s="3">
        <v>16820.5</v>
      </c>
      <c r="H565" s="3">
        <f t="shared" si="9"/>
        <v>17022.760000000002</v>
      </c>
      <c r="I565" s="3"/>
      <c r="J565" s="3"/>
      <c r="K565" s="3"/>
    </row>
    <row r="566" spans="1:11">
      <c r="A566" s="3">
        <v>43109</v>
      </c>
      <c r="B566" s="3">
        <v>333.69</v>
      </c>
      <c r="C566" s="4" cm="1">
        <f t="array" aca="1" ref="C566" ca="1">$B566-INDIRECT(ADDRESS(ROW()-C$2,2))</f>
        <v>18.329999999999984</v>
      </c>
      <c r="D566" s="4" cm="1">
        <f t="array" aca="1" ref="D566" ca="1">$B566-INDIRECT(ADDRESS(ROW()-D$2,2))</f>
        <v>13.160000000000025</v>
      </c>
      <c r="E566" s="4" cm="1">
        <f t="array" aca="1" ref="E566" ca="1">$B566-INDIRECT(ADDRESS(ROW()-E$2,2))</f>
        <v>19.069999999999993</v>
      </c>
      <c r="F566" s="3">
        <v>202.26000000000352</v>
      </c>
      <c r="G566" s="3">
        <v>16684.5</v>
      </c>
      <c r="H566" s="3">
        <f t="shared" si="9"/>
        <v>16886.760000000002</v>
      </c>
      <c r="I566" s="3"/>
      <c r="J566" s="3"/>
      <c r="K566" s="3"/>
    </row>
    <row r="567" spans="1:11">
      <c r="A567" s="3">
        <v>43110</v>
      </c>
      <c r="B567" s="3">
        <v>334.8</v>
      </c>
      <c r="C567" s="4" cm="1">
        <f t="array" aca="1" ref="C567" ca="1">$B567-INDIRECT(ADDRESS(ROW()-C$2,2))</f>
        <v>23.449999999999989</v>
      </c>
      <c r="D567" s="4" cm="1">
        <f t="array" aca="1" ref="D567" ca="1">$B567-INDIRECT(ADDRESS(ROW()-D$2,2))</f>
        <v>17.550000000000011</v>
      </c>
      <c r="E567" s="4" cm="1">
        <f t="array" aca="1" ref="E567" ca="1">$B567-INDIRECT(ADDRESS(ROW()-E$2,2))</f>
        <v>18.220000000000027</v>
      </c>
      <c r="F567" s="3">
        <v>202.26000000000352</v>
      </c>
      <c r="G567" s="3">
        <v>16740</v>
      </c>
      <c r="H567" s="3">
        <f t="shared" si="9"/>
        <v>16942.260000000002</v>
      </c>
      <c r="I567" s="3"/>
      <c r="J567" s="3"/>
      <c r="K567" s="3"/>
    </row>
    <row r="568" spans="1:11">
      <c r="A568" s="3">
        <v>43111</v>
      </c>
      <c r="B568" s="3">
        <v>337.95</v>
      </c>
      <c r="C568" s="4" cm="1">
        <f t="array" aca="1" ref="C568" ca="1">$B568-INDIRECT(ADDRESS(ROW()-C$2,2))</f>
        <v>17.420000000000016</v>
      </c>
      <c r="D568" s="4" cm="1">
        <f t="array" aca="1" ref="D568" ca="1">$B568-INDIRECT(ADDRESS(ROW()-D$2,2))</f>
        <v>23.329999999999984</v>
      </c>
      <c r="E568" s="4" cm="1">
        <f t="array" aca="1" ref="E568" ca="1">$B568-INDIRECT(ADDRESS(ROW()-E$2,2))</f>
        <v>1.5399999999999636</v>
      </c>
      <c r="F568" s="3">
        <v>202.26000000000352</v>
      </c>
      <c r="G568" s="3">
        <v>16897.5</v>
      </c>
      <c r="H568" s="3">
        <f t="shared" si="9"/>
        <v>17099.760000000002</v>
      </c>
      <c r="I568" s="3"/>
      <c r="J568" s="3"/>
      <c r="K568" s="3"/>
    </row>
    <row r="569" spans="1:11">
      <c r="A569" s="3">
        <v>43112</v>
      </c>
      <c r="B569" s="3">
        <v>336.22</v>
      </c>
      <c r="C569" s="4" cm="1">
        <f t="array" aca="1" ref="C569" ca="1">$B569-INDIRECT(ADDRESS(ROW()-C$2,2))</f>
        <v>18.970000000000027</v>
      </c>
      <c r="D569" s="4" cm="1">
        <f t="array" aca="1" ref="D569" ca="1">$B569-INDIRECT(ADDRESS(ROW()-D$2,2))</f>
        <v>19.640000000000043</v>
      </c>
      <c r="E569" s="4" cm="1">
        <f t="array" aca="1" ref="E569" ca="1">$B569-INDIRECT(ADDRESS(ROW()-E$2,2))</f>
        <v>2.5300000000000296</v>
      </c>
      <c r="F569" s="3">
        <v>202.26000000000352</v>
      </c>
      <c r="G569" s="3">
        <v>16811</v>
      </c>
      <c r="H569" s="3">
        <f t="shared" si="9"/>
        <v>17013.260000000002</v>
      </c>
      <c r="I569" s="3"/>
      <c r="J569" s="3"/>
      <c r="K569" s="3"/>
    </row>
    <row r="570" spans="1:11">
      <c r="A570" s="3">
        <v>43116</v>
      </c>
      <c r="B570" s="3">
        <v>340.06</v>
      </c>
      <c r="C570" s="4" cm="1">
        <f t="array" aca="1" ref="C570" ca="1">$B570-INDIRECT(ADDRESS(ROW()-C$2,2))</f>
        <v>25.439999999999998</v>
      </c>
      <c r="D570" s="4" cm="1">
        <f t="array" aca="1" ref="D570" ca="1">$B570-INDIRECT(ADDRESS(ROW()-D$2,2))</f>
        <v>3.6499999999999773</v>
      </c>
      <c r="E570" s="4" cm="1">
        <f t="array" aca="1" ref="E570" ca="1">$B570-INDIRECT(ADDRESS(ROW()-E$2,2))</f>
        <v>5.2599999999999909</v>
      </c>
      <c r="F570" s="3">
        <v>202.26000000000352</v>
      </c>
      <c r="G570" s="3">
        <v>17003</v>
      </c>
      <c r="H570" s="3">
        <f t="shared" si="9"/>
        <v>17205.260000000002</v>
      </c>
      <c r="I570" s="3"/>
      <c r="J570" s="3"/>
      <c r="K570" s="3"/>
    </row>
    <row r="571" spans="1:11">
      <c r="A571" s="3">
        <v>43117</v>
      </c>
      <c r="B571" s="3">
        <v>347.16</v>
      </c>
      <c r="C571" s="4" cm="1">
        <f t="array" aca="1" ref="C571" ca="1">$B571-INDIRECT(ADDRESS(ROW()-C$2,2))</f>
        <v>30.580000000000041</v>
      </c>
      <c r="D571" s="4" cm="1">
        <f t="array" aca="1" ref="D571" ca="1">$B571-INDIRECT(ADDRESS(ROW()-D$2,2))</f>
        <v>13.470000000000027</v>
      </c>
      <c r="E571" s="4" cm="1">
        <f t="array" aca="1" ref="E571" ca="1">$B571-INDIRECT(ADDRESS(ROW()-E$2,2))</f>
        <v>9.2100000000000364</v>
      </c>
      <c r="F571" s="3">
        <v>202.26000000000352</v>
      </c>
      <c r="G571" s="3">
        <v>17358</v>
      </c>
      <c r="H571" s="3">
        <f t="shared" si="9"/>
        <v>17560.260000000002</v>
      </c>
      <c r="I571" s="3"/>
      <c r="J571" s="3"/>
      <c r="K571" s="3"/>
    </row>
    <row r="572" spans="1:11">
      <c r="A572" s="3">
        <v>43118</v>
      </c>
      <c r="B572" s="3">
        <v>344.57</v>
      </c>
      <c r="C572" s="4" cm="1">
        <f t="array" aca="1" ref="C572" ca="1">$B572-INDIRECT(ADDRESS(ROW()-C$2,2))</f>
        <v>8.1599999999999682</v>
      </c>
      <c r="D572" s="4" cm="1">
        <f t="array" aca="1" ref="D572" ca="1">$B572-INDIRECT(ADDRESS(ROW()-D$2,2))</f>
        <v>9.7699999999999818</v>
      </c>
      <c r="E572" s="4" cm="1">
        <f t="array" aca="1" ref="E572" ca="1">$B572-INDIRECT(ADDRESS(ROW()-E$2,2))</f>
        <v>8.3499999999999659</v>
      </c>
      <c r="F572" s="3">
        <v>202.26000000000352</v>
      </c>
      <c r="G572" s="3">
        <v>17228.5</v>
      </c>
      <c r="H572" s="3">
        <f t="shared" si="9"/>
        <v>17430.760000000002</v>
      </c>
      <c r="I572" s="3"/>
      <c r="J572" s="3"/>
      <c r="K572" s="3"/>
    </row>
    <row r="573" spans="1:11">
      <c r="A573" s="3">
        <v>43119</v>
      </c>
      <c r="B573" s="3">
        <v>350.02</v>
      </c>
      <c r="C573" s="4" cm="1">
        <f t="array" aca="1" ref="C573" ca="1">$B573-INDIRECT(ADDRESS(ROW()-C$2,2))</f>
        <v>16.329999999999984</v>
      </c>
      <c r="D573" s="4" cm="1">
        <f t="array" aca="1" ref="D573" ca="1">$B573-INDIRECT(ADDRESS(ROW()-D$2,2))</f>
        <v>12.069999999999993</v>
      </c>
      <c r="E573" s="4" cm="1">
        <f t="array" aca="1" ref="E573" ca="1">$B573-INDIRECT(ADDRESS(ROW()-E$2,2))</f>
        <v>9.9599999999999795</v>
      </c>
      <c r="F573" s="3">
        <v>202.26000000000352</v>
      </c>
      <c r="G573" s="3">
        <v>17501</v>
      </c>
      <c r="H573" s="3">
        <f t="shared" si="9"/>
        <v>17703.260000000002</v>
      </c>
      <c r="I573" s="3"/>
      <c r="J573" s="3"/>
      <c r="K573" s="3"/>
    </row>
    <row r="574" spans="1:11">
      <c r="A574" s="3">
        <v>43122</v>
      </c>
      <c r="B574" s="3">
        <v>351.56</v>
      </c>
      <c r="C574" s="4" cm="1">
        <f t="array" aca="1" ref="C574" ca="1">$B574-INDIRECT(ADDRESS(ROW()-C$2,2))</f>
        <v>16.759999999999991</v>
      </c>
      <c r="D574" s="4" cm="1">
        <f t="array" aca="1" ref="D574" ca="1">$B574-INDIRECT(ADDRESS(ROW()-D$2,2))</f>
        <v>15.339999999999975</v>
      </c>
      <c r="E574" s="4" cm="1">
        <f t="array" aca="1" ref="E574" ca="1">$B574-INDIRECT(ADDRESS(ROW()-E$2,2))</f>
        <v>4.3999999999999773</v>
      </c>
      <c r="F574" s="3">
        <v>202.26000000000352</v>
      </c>
      <c r="G574" s="3">
        <v>17578</v>
      </c>
      <c r="H574" s="3">
        <f t="shared" si="9"/>
        <v>17780.260000000002</v>
      </c>
      <c r="I574" s="3"/>
      <c r="J574" s="3"/>
      <c r="K574" s="3"/>
    </row>
    <row r="575" spans="1:11">
      <c r="A575" s="3">
        <v>43123</v>
      </c>
      <c r="B575" s="3">
        <v>352.79</v>
      </c>
      <c r="C575" s="4" cm="1">
        <f t="array" aca="1" ref="C575" ca="1">$B575-INDIRECT(ADDRESS(ROW()-C$2,2))</f>
        <v>14.840000000000032</v>
      </c>
      <c r="D575" s="4" cm="1">
        <f t="array" aca="1" ref="D575" ca="1">$B575-INDIRECT(ADDRESS(ROW()-D$2,2))</f>
        <v>12.730000000000018</v>
      </c>
      <c r="E575" s="4" cm="1">
        <f t="array" aca="1" ref="E575" ca="1">$B575-INDIRECT(ADDRESS(ROW()-E$2,2))</f>
        <v>8.2200000000000273</v>
      </c>
      <c r="F575" s="3">
        <v>202.26000000000352</v>
      </c>
      <c r="G575" s="3">
        <v>17639.5</v>
      </c>
      <c r="H575" s="3">
        <f t="shared" si="9"/>
        <v>17841.760000000002</v>
      </c>
      <c r="I575" s="3"/>
      <c r="J575" s="3"/>
      <c r="K575" s="3"/>
    </row>
    <row r="576" spans="1:11">
      <c r="A576" s="3">
        <v>43124</v>
      </c>
      <c r="B576" s="3">
        <v>345.89</v>
      </c>
      <c r="C576" s="4" cm="1">
        <f t="array" aca="1" ref="C576" ca="1">$B576-INDIRECT(ADDRESS(ROW()-C$2,2))</f>
        <v>9.6699999999999591</v>
      </c>
      <c r="D576" s="4" cm="1">
        <f t="array" aca="1" ref="D576" ca="1">$B576-INDIRECT(ADDRESS(ROW()-D$2,2))</f>
        <v>-1.2700000000000387</v>
      </c>
      <c r="E576" s="4" cm="1">
        <f t="array" aca="1" ref="E576" ca="1">$B576-INDIRECT(ADDRESS(ROW()-E$2,2))</f>
        <v>-4.1299999999999955</v>
      </c>
      <c r="F576" s="3">
        <v>17496.760000000002</v>
      </c>
      <c r="G576" s="3">
        <v>0</v>
      </c>
      <c r="H576" s="3">
        <f t="shared" si="9"/>
        <v>17496.760000000002</v>
      </c>
      <c r="I576" s="3"/>
      <c r="J576" s="3"/>
      <c r="K576" s="3"/>
    </row>
    <row r="577" spans="1:11">
      <c r="A577" s="3">
        <v>43125</v>
      </c>
      <c r="B577" s="3">
        <v>337.64</v>
      </c>
      <c r="C577" s="4" cm="1">
        <f t="array" aca="1" ref="C577" ca="1">$B577-INDIRECT(ADDRESS(ROW()-C$2,2))</f>
        <v>-2.4200000000000159</v>
      </c>
      <c r="D577" s="4" cm="1">
        <f t="array" aca="1" ref="D577" ca="1">$B577-INDIRECT(ADDRESS(ROW()-D$2,2))</f>
        <v>-6.9300000000000068</v>
      </c>
      <c r="E577" s="4" cm="1">
        <f t="array" aca="1" ref="E577" ca="1">$B577-INDIRECT(ADDRESS(ROW()-E$2,2))</f>
        <v>-13.920000000000016</v>
      </c>
      <c r="F577" s="3">
        <v>17496.760000000002</v>
      </c>
      <c r="G577" s="3">
        <v>0</v>
      </c>
      <c r="H577" s="3">
        <f t="shared" si="9"/>
        <v>17496.760000000002</v>
      </c>
      <c r="I577" s="3"/>
      <c r="J577" s="3"/>
      <c r="K577" s="3"/>
    </row>
    <row r="578" spans="1:11">
      <c r="A578" s="3">
        <v>43126</v>
      </c>
      <c r="B578" s="3">
        <v>342.85</v>
      </c>
      <c r="C578" s="4" cm="1">
        <f t="array" aca="1" ref="C578" ca="1">$B578-INDIRECT(ADDRESS(ROW()-C$2,2))</f>
        <v>-4.3100000000000023</v>
      </c>
      <c r="D578" s="4" cm="1">
        <f t="array" aca="1" ref="D578" ca="1">$B578-INDIRECT(ADDRESS(ROW()-D$2,2))</f>
        <v>-7.1699999999999591</v>
      </c>
      <c r="E578" s="4" cm="1">
        <f t="array" aca="1" ref="E578" ca="1">$B578-INDIRECT(ADDRESS(ROW()-E$2,2))</f>
        <v>-9.9399999999999977</v>
      </c>
      <c r="F578" s="3">
        <v>17496.760000000002</v>
      </c>
      <c r="G578" s="3">
        <v>0</v>
      </c>
      <c r="H578" s="3">
        <f t="shared" si="9"/>
        <v>17496.760000000002</v>
      </c>
      <c r="I578" s="3"/>
      <c r="J578" s="3"/>
      <c r="K578" s="3"/>
    </row>
    <row r="579" spans="1:11">
      <c r="A579" s="3">
        <v>43129</v>
      </c>
      <c r="B579" s="3">
        <v>349.53</v>
      </c>
      <c r="C579" s="4" cm="1">
        <f t="array" aca="1" ref="C579" ca="1">$B579-INDIRECT(ADDRESS(ROW()-C$2,2))</f>
        <v>4.9599999999999795</v>
      </c>
      <c r="D579" s="4" cm="1">
        <f t="array" aca="1" ref="D579" ca="1">$B579-INDIRECT(ADDRESS(ROW()-D$2,2))</f>
        <v>-2.0300000000000296</v>
      </c>
      <c r="E579" s="4" cm="1">
        <f t="array" aca="1" ref="E579" ca="1">$B579-INDIRECT(ADDRESS(ROW()-E$2,2))</f>
        <v>3.6399999999999864</v>
      </c>
      <c r="F579" s="3">
        <v>17496.760000000002</v>
      </c>
      <c r="G579" s="3">
        <v>0</v>
      </c>
      <c r="H579" s="3">
        <f t="shared" si="9"/>
        <v>17496.760000000002</v>
      </c>
      <c r="I579" s="3"/>
      <c r="J579" s="3"/>
      <c r="K579" s="3"/>
    </row>
    <row r="580" spans="1:11">
      <c r="A580" s="3">
        <v>43130</v>
      </c>
      <c r="B580" s="3">
        <v>345.82</v>
      </c>
      <c r="C580" s="4" cm="1">
        <f t="array" aca="1" ref="C580" ca="1">$B580-INDIRECT(ADDRESS(ROW()-C$2,2))</f>
        <v>-4.1999999999999886</v>
      </c>
      <c r="D580" s="4" cm="1">
        <f t="array" aca="1" ref="D580" ca="1">$B580-INDIRECT(ADDRESS(ROW()-D$2,2))</f>
        <v>-6.9700000000000273</v>
      </c>
      <c r="E580" s="4" cm="1">
        <f t="array" aca="1" ref="E580" ca="1">$B580-INDIRECT(ADDRESS(ROW()-E$2,2))</f>
        <v>8.1800000000000068</v>
      </c>
      <c r="F580" s="3">
        <v>17496.760000000002</v>
      </c>
      <c r="G580" s="3">
        <v>0</v>
      </c>
      <c r="H580" s="3">
        <f t="shared" si="9"/>
        <v>17496.760000000002</v>
      </c>
      <c r="I580" s="3"/>
      <c r="J580" s="3"/>
      <c r="K580" s="3"/>
    </row>
    <row r="581" spans="1:11">
      <c r="A581" s="3">
        <v>43131</v>
      </c>
      <c r="B581" s="3">
        <v>354.31</v>
      </c>
      <c r="C581" s="4" cm="1">
        <f t="array" aca="1" ref="C581" ca="1">$B581-INDIRECT(ADDRESS(ROW()-C$2,2))</f>
        <v>2.75</v>
      </c>
      <c r="D581" s="4" cm="1">
        <f t="array" aca="1" ref="D581" ca="1">$B581-INDIRECT(ADDRESS(ROW()-D$2,2))</f>
        <v>8.4200000000000159</v>
      </c>
      <c r="E581" s="4" cm="1">
        <f t="array" aca="1" ref="E581" ca="1">$B581-INDIRECT(ADDRESS(ROW()-E$2,2))</f>
        <v>11.45999999999998</v>
      </c>
      <c r="F581" s="3">
        <v>17496.760000000002</v>
      </c>
      <c r="G581" s="3">
        <v>0</v>
      </c>
      <c r="H581" s="3">
        <f t="shared" si="9"/>
        <v>17496.760000000002</v>
      </c>
      <c r="I581" s="3"/>
      <c r="J581" s="3"/>
      <c r="K581" s="3"/>
    </row>
    <row r="582" spans="1:11">
      <c r="A582" s="3">
        <v>43132</v>
      </c>
      <c r="B582" s="3">
        <v>349.25</v>
      </c>
      <c r="C582" s="4" cm="1">
        <f t="array" aca="1" ref="C582" ca="1">$B582-INDIRECT(ADDRESS(ROW()-C$2,2))</f>
        <v>-3.5400000000000205</v>
      </c>
      <c r="D582" s="4" cm="1">
        <f t="array" aca="1" ref="D582" ca="1">$B582-INDIRECT(ADDRESS(ROW()-D$2,2))</f>
        <v>11.610000000000014</v>
      </c>
      <c r="E582" s="4" cm="1">
        <f t="array" aca="1" ref="E582" ca="1">$B582-INDIRECT(ADDRESS(ROW()-E$2,2))</f>
        <v>-0.27999999999997272</v>
      </c>
      <c r="F582" s="3">
        <v>17496.760000000002</v>
      </c>
      <c r="G582" s="3">
        <v>0</v>
      </c>
      <c r="H582" s="3">
        <f t="shared" si="9"/>
        <v>17496.760000000002</v>
      </c>
      <c r="I582" s="3"/>
      <c r="J582" s="3"/>
      <c r="K582" s="3"/>
    </row>
    <row r="583" spans="1:11">
      <c r="A583" s="3">
        <v>43133</v>
      </c>
      <c r="B583" s="3">
        <v>343.75</v>
      </c>
      <c r="C583" s="4" cm="1">
        <f t="array" aca="1" ref="C583" ca="1">$B583-INDIRECT(ADDRESS(ROW()-C$2,2))</f>
        <v>-2.1399999999999864</v>
      </c>
      <c r="D583" s="4" cm="1">
        <f t="array" aca="1" ref="D583" ca="1">$B583-INDIRECT(ADDRESS(ROW()-D$2,2))</f>
        <v>0.89999999999997726</v>
      </c>
      <c r="E583" s="4" cm="1">
        <f t="array" aca="1" ref="E583" ca="1">$B583-INDIRECT(ADDRESS(ROW()-E$2,2))</f>
        <v>-2.0699999999999932</v>
      </c>
      <c r="F583" s="3">
        <v>17496.760000000002</v>
      </c>
      <c r="G583" s="3">
        <v>0</v>
      </c>
      <c r="H583" s="3">
        <f t="shared" si="9"/>
        <v>17496.760000000002</v>
      </c>
      <c r="I583" s="3"/>
      <c r="J583" s="3"/>
      <c r="K583" s="3"/>
    </row>
    <row r="584" spans="1:11">
      <c r="A584" s="3">
        <v>43136</v>
      </c>
      <c r="B584" s="3">
        <v>333.13</v>
      </c>
      <c r="C584" s="4" cm="1">
        <f t="array" aca="1" ref="C584" ca="1">$B584-INDIRECT(ADDRESS(ROW()-C$2,2))</f>
        <v>-4.5099999999999909</v>
      </c>
      <c r="D584" s="4" cm="1">
        <f t="array" aca="1" ref="D584" ca="1">$B584-INDIRECT(ADDRESS(ROW()-D$2,2))</f>
        <v>-16.399999999999977</v>
      </c>
      <c r="E584" s="4" cm="1">
        <f t="array" aca="1" ref="E584" ca="1">$B584-INDIRECT(ADDRESS(ROW()-E$2,2))</f>
        <v>-21.180000000000007</v>
      </c>
      <c r="F584" s="3">
        <v>17496.760000000002</v>
      </c>
      <c r="G584" s="3">
        <v>0</v>
      </c>
      <c r="H584" s="3">
        <f t="shared" si="9"/>
        <v>17496.760000000002</v>
      </c>
      <c r="I584" s="3"/>
      <c r="J584" s="3"/>
      <c r="K584" s="3"/>
    </row>
    <row r="585" spans="1:11">
      <c r="A585" s="3">
        <v>43137</v>
      </c>
      <c r="B585" s="3">
        <v>333.97</v>
      </c>
      <c r="C585" s="4" cm="1">
        <f t="array" aca="1" ref="C585" ca="1">$B585-INDIRECT(ADDRESS(ROW()-C$2,2))</f>
        <v>-8.8799999999999955</v>
      </c>
      <c r="D585" s="4" cm="1">
        <f t="array" aca="1" ref="D585" ca="1">$B585-INDIRECT(ADDRESS(ROW()-D$2,2))</f>
        <v>-11.849999999999966</v>
      </c>
      <c r="E585" s="4" cm="1">
        <f t="array" aca="1" ref="E585" ca="1">$B585-INDIRECT(ADDRESS(ROW()-E$2,2))</f>
        <v>-15.279999999999973</v>
      </c>
      <c r="F585" s="3">
        <v>17496.760000000002</v>
      </c>
      <c r="G585" s="3">
        <v>0</v>
      </c>
      <c r="H585" s="3">
        <f t="shared" si="9"/>
        <v>17496.760000000002</v>
      </c>
      <c r="I585" s="3"/>
      <c r="J585" s="3"/>
      <c r="K585" s="3"/>
    </row>
    <row r="586" spans="1:11">
      <c r="A586" s="3">
        <v>43138</v>
      </c>
      <c r="B586" s="3">
        <v>345</v>
      </c>
      <c r="C586" s="4" cm="1">
        <f t="array" aca="1" ref="C586" ca="1">$B586-INDIRECT(ADDRESS(ROW()-C$2,2))</f>
        <v>-4.5299999999999727</v>
      </c>
      <c r="D586" s="4" cm="1">
        <f t="array" aca="1" ref="D586" ca="1">$B586-INDIRECT(ADDRESS(ROW()-D$2,2))</f>
        <v>-9.3100000000000023</v>
      </c>
      <c r="E586" s="4" cm="1">
        <f t="array" aca="1" ref="E586" ca="1">$B586-INDIRECT(ADDRESS(ROW()-E$2,2))</f>
        <v>1.25</v>
      </c>
      <c r="F586" s="3">
        <v>17496.760000000002</v>
      </c>
      <c r="G586" s="3">
        <v>0</v>
      </c>
      <c r="H586" s="3">
        <f t="shared" si="9"/>
        <v>17496.760000000002</v>
      </c>
      <c r="I586" s="3"/>
      <c r="J586" s="3"/>
      <c r="K586" s="3"/>
    </row>
    <row r="587" spans="1:11">
      <c r="A587" s="3">
        <v>43139</v>
      </c>
      <c r="B587" s="3">
        <v>315.23</v>
      </c>
      <c r="C587" s="4" cm="1">
        <f t="array" aca="1" ref="C587" ca="1">$B587-INDIRECT(ADDRESS(ROW()-C$2,2))</f>
        <v>-30.589999999999975</v>
      </c>
      <c r="D587" s="4" cm="1">
        <f t="array" aca="1" ref="D587" ca="1">$B587-INDIRECT(ADDRESS(ROW()-D$2,2))</f>
        <v>-34.019999999999982</v>
      </c>
      <c r="E587" s="4" cm="1">
        <f t="array" aca="1" ref="E587" ca="1">$B587-INDIRECT(ADDRESS(ROW()-E$2,2))</f>
        <v>-17.899999999999977</v>
      </c>
      <c r="F587" s="3">
        <v>17496.760000000002</v>
      </c>
      <c r="G587" s="3">
        <v>0</v>
      </c>
      <c r="H587" s="3">
        <f t="shared" si="9"/>
        <v>17496.760000000002</v>
      </c>
      <c r="I587" s="3"/>
      <c r="J587" s="3"/>
      <c r="K587" s="3"/>
    </row>
    <row r="588" spans="1:11">
      <c r="A588" s="3">
        <v>43140</v>
      </c>
      <c r="B588" s="3">
        <v>310.42</v>
      </c>
      <c r="C588" s="4" cm="1">
        <f t="array" aca="1" ref="C588" ca="1">$B588-INDIRECT(ADDRESS(ROW()-C$2,2))</f>
        <v>-43.889999999999986</v>
      </c>
      <c r="D588" s="4" cm="1">
        <f t="array" aca="1" ref="D588" ca="1">$B588-INDIRECT(ADDRESS(ROW()-D$2,2))</f>
        <v>-33.329999999999984</v>
      </c>
      <c r="E588" s="4" cm="1">
        <f t="array" aca="1" ref="E588" ca="1">$B588-INDIRECT(ADDRESS(ROW()-E$2,2))</f>
        <v>-23.550000000000011</v>
      </c>
      <c r="F588" s="3">
        <v>17496.760000000002</v>
      </c>
      <c r="G588" s="3">
        <v>0</v>
      </c>
      <c r="H588" s="3">
        <f t="shared" si="9"/>
        <v>17496.760000000002</v>
      </c>
      <c r="I588" s="3"/>
      <c r="J588" s="3"/>
      <c r="K588" s="3"/>
    </row>
    <row r="589" spans="1:11">
      <c r="A589" s="3">
        <v>43143</v>
      </c>
      <c r="B589" s="3">
        <v>315.73</v>
      </c>
      <c r="C589" s="4" cm="1">
        <f t="array" aca="1" ref="C589" ca="1">$B589-INDIRECT(ADDRESS(ROW()-C$2,2))</f>
        <v>-33.519999999999982</v>
      </c>
      <c r="D589" s="4" cm="1">
        <f t="array" aca="1" ref="D589" ca="1">$B589-INDIRECT(ADDRESS(ROW()-D$2,2))</f>
        <v>-17.399999999999977</v>
      </c>
      <c r="E589" s="4" cm="1">
        <f t="array" aca="1" ref="E589" ca="1">$B589-INDIRECT(ADDRESS(ROW()-E$2,2))</f>
        <v>-29.269999999999982</v>
      </c>
      <c r="F589" s="3">
        <v>17496.760000000002</v>
      </c>
      <c r="G589" s="3">
        <v>0</v>
      </c>
      <c r="H589" s="3">
        <f t="shared" si="9"/>
        <v>17496.760000000002</v>
      </c>
      <c r="I589" s="3"/>
      <c r="J589" s="3"/>
      <c r="K589" s="3"/>
    </row>
    <row r="590" spans="1:11">
      <c r="A590" s="3">
        <v>43144</v>
      </c>
      <c r="B590" s="3">
        <v>323.66000000000003</v>
      </c>
      <c r="C590" s="4" cm="1">
        <f t="array" aca="1" ref="C590" ca="1">$B590-INDIRECT(ADDRESS(ROW()-C$2,2))</f>
        <v>-20.089999999999975</v>
      </c>
      <c r="D590" s="4" cm="1">
        <f t="array" aca="1" ref="D590" ca="1">$B590-INDIRECT(ADDRESS(ROW()-D$2,2))</f>
        <v>-10.310000000000002</v>
      </c>
      <c r="E590" s="4" cm="1">
        <f t="array" aca="1" ref="E590" ca="1">$B590-INDIRECT(ADDRESS(ROW()-E$2,2))</f>
        <v>8.4300000000000068</v>
      </c>
      <c r="F590" s="3">
        <v>17496.760000000002</v>
      </c>
      <c r="G590" s="3">
        <v>0</v>
      </c>
      <c r="H590" s="3">
        <f t="shared" si="9"/>
        <v>17496.760000000002</v>
      </c>
      <c r="I590" s="3"/>
      <c r="J590" s="3"/>
      <c r="K590" s="3"/>
    </row>
    <row r="591" spans="1:11">
      <c r="A591" s="3">
        <v>43145</v>
      </c>
      <c r="B591" s="3">
        <v>322.31</v>
      </c>
      <c r="C591" s="4" cm="1">
        <f t="array" aca="1" ref="C591" ca="1">$B591-INDIRECT(ADDRESS(ROW()-C$2,2))</f>
        <v>-10.819999999999993</v>
      </c>
      <c r="D591" s="4" cm="1">
        <f t="array" aca="1" ref="D591" ca="1">$B591-INDIRECT(ADDRESS(ROW()-D$2,2))</f>
        <v>-22.689999999999998</v>
      </c>
      <c r="E591" s="4" cm="1">
        <f t="array" aca="1" ref="E591" ca="1">$B591-INDIRECT(ADDRESS(ROW()-E$2,2))</f>
        <v>11.889999999999986</v>
      </c>
      <c r="F591" s="3">
        <v>17496.760000000002</v>
      </c>
      <c r="G591" s="3">
        <v>0</v>
      </c>
      <c r="H591" s="3">
        <f t="shared" si="9"/>
        <v>17496.760000000002</v>
      </c>
      <c r="I591" s="3"/>
      <c r="J591" s="3"/>
      <c r="K591" s="3"/>
    </row>
    <row r="592" spans="1:11">
      <c r="A592" s="3">
        <v>43146</v>
      </c>
      <c r="B592" s="3">
        <v>334.065</v>
      </c>
      <c r="C592" s="4" cm="1">
        <f t="array" aca="1" ref="C592" ca="1">$B592-INDIRECT(ADDRESS(ROW()-C$2,2))</f>
        <v>9.4999999999970441E-2</v>
      </c>
      <c r="D592" s="4" cm="1">
        <f t="array" aca="1" ref="D592" ca="1">$B592-INDIRECT(ADDRESS(ROW()-D$2,2))</f>
        <v>18.83499999999998</v>
      </c>
      <c r="E592" s="4" cm="1">
        <f t="array" aca="1" ref="E592" ca="1">$B592-INDIRECT(ADDRESS(ROW()-E$2,2))</f>
        <v>18.33499999999998</v>
      </c>
      <c r="F592" s="3">
        <v>17496.760000000002</v>
      </c>
      <c r="G592" s="3">
        <v>0</v>
      </c>
      <c r="H592" s="3">
        <f t="shared" si="9"/>
        <v>17496.760000000002</v>
      </c>
      <c r="I592" s="3"/>
      <c r="J592" s="3"/>
      <c r="K592" s="3"/>
    </row>
    <row r="593" spans="1:11">
      <c r="A593" s="3">
        <v>43147</v>
      </c>
      <c r="B593" s="3">
        <v>335.49</v>
      </c>
      <c r="C593" s="4" cm="1">
        <f t="array" aca="1" ref="C593" ca="1">$B593-INDIRECT(ADDRESS(ROW()-C$2,2))</f>
        <v>-9.5099999999999909</v>
      </c>
      <c r="D593" s="4" cm="1">
        <f t="array" aca="1" ref="D593" ca="1">$B593-INDIRECT(ADDRESS(ROW()-D$2,2))</f>
        <v>25.069999999999993</v>
      </c>
      <c r="E593" s="4" cm="1">
        <f t="array" aca="1" ref="E593" ca="1">$B593-INDIRECT(ADDRESS(ROW()-E$2,2))</f>
        <v>11.829999999999984</v>
      </c>
      <c r="F593" s="3">
        <v>51.280000000006567</v>
      </c>
      <c r="G593" s="3">
        <v>17445.48</v>
      </c>
      <c r="H593" s="3">
        <f t="shared" si="9"/>
        <v>17496.760000000006</v>
      </c>
      <c r="I593" s="3"/>
      <c r="J593" s="3"/>
      <c r="K593" s="3"/>
    </row>
    <row r="594" spans="1:11">
      <c r="A594" s="3">
        <v>43151</v>
      </c>
      <c r="B594" s="3">
        <v>334.77</v>
      </c>
      <c r="C594" s="4" cm="1">
        <f t="array" aca="1" ref="C594" ca="1">$B594-INDIRECT(ADDRESS(ROW()-C$2,2))</f>
        <v>19.539999999999964</v>
      </c>
      <c r="D594" s="4" cm="1">
        <f t="array" aca="1" ref="D594" ca="1">$B594-INDIRECT(ADDRESS(ROW()-D$2,2))</f>
        <v>19.039999999999964</v>
      </c>
      <c r="E594" s="4" cm="1">
        <f t="array" aca="1" ref="E594" ca="1">$B594-INDIRECT(ADDRESS(ROW()-E$2,2))</f>
        <v>12.45999999999998</v>
      </c>
      <c r="F594" s="3">
        <v>51.280000000006567</v>
      </c>
      <c r="G594" s="3">
        <v>17408.04</v>
      </c>
      <c r="H594" s="3">
        <f t="shared" si="9"/>
        <v>17459.320000000007</v>
      </c>
      <c r="I594" s="3"/>
      <c r="J594" s="3"/>
      <c r="K594" s="3"/>
    </row>
    <row r="595" spans="1:11">
      <c r="A595" s="3">
        <v>43152</v>
      </c>
      <c r="B595" s="3">
        <v>333.3</v>
      </c>
      <c r="C595" s="4" cm="1">
        <f t="array" aca="1" ref="C595" ca="1">$B595-INDIRECT(ADDRESS(ROW()-C$2,2))</f>
        <v>22.879999999999995</v>
      </c>
      <c r="D595" s="4" cm="1">
        <f t="array" aca="1" ref="D595" ca="1">$B595-INDIRECT(ADDRESS(ROW()-D$2,2))</f>
        <v>9.6399999999999864</v>
      </c>
      <c r="E595" s="4" cm="1">
        <f t="array" aca="1" ref="E595" ca="1">$B595-INDIRECT(ADDRESS(ROW()-E$2,2))</f>
        <v>-0.76499999999998636</v>
      </c>
      <c r="F595" s="3">
        <v>51.280000000006567</v>
      </c>
      <c r="G595" s="3">
        <v>17331.600000000002</v>
      </c>
      <c r="H595" s="3">
        <f t="shared" si="9"/>
        <v>17382.880000000008</v>
      </c>
      <c r="I595" s="3"/>
      <c r="J595" s="3"/>
      <c r="K595" s="3"/>
    </row>
    <row r="596" spans="1:11">
      <c r="A596" s="3">
        <v>43153</v>
      </c>
      <c r="B596" s="3">
        <v>346.17</v>
      </c>
      <c r="C596" s="4" cm="1">
        <f t="array" aca="1" ref="C596" ca="1">$B596-INDIRECT(ADDRESS(ROW()-C$2,2))</f>
        <v>30.439999999999998</v>
      </c>
      <c r="D596" s="4" cm="1">
        <f t="array" aca="1" ref="D596" ca="1">$B596-INDIRECT(ADDRESS(ROW()-D$2,2))</f>
        <v>23.860000000000014</v>
      </c>
      <c r="E596" s="4" cm="1">
        <f t="array" aca="1" ref="E596" ca="1">$B596-INDIRECT(ADDRESS(ROW()-E$2,2))</f>
        <v>10.680000000000007</v>
      </c>
      <c r="F596" s="3">
        <v>51.280000000006567</v>
      </c>
      <c r="G596" s="3">
        <v>18000.84</v>
      </c>
      <c r="H596" s="3">
        <f t="shared" si="9"/>
        <v>18052.120000000006</v>
      </c>
      <c r="I596" s="3"/>
      <c r="J596" s="3"/>
      <c r="K596" s="3"/>
    </row>
    <row r="597" spans="1:11">
      <c r="A597" s="3">
        <v>43154</v>
      </c>
      <c r="B597" s="3">
        <v>352.05</v>
      </c>
      <c r="C597" s="4" cm="1">
        <f t="array" aca="1" ref="C597" ca="1">$B597-INDIRECT(ADDRESS(ROW()-C$2,2))</f>
        <v>28.389999999999986</v>
      </c>
      <c r="D597" s="4" cm="1">
        <f t="array" aca="1" ref="D597" ca="1">$B597-INDIRECT(ADDRESS(ROW()-D$2,2))</f>
        <v>17.985000000000014</v>
      </c>
      <c r="E597" s="4" cm="1">
        <f t="array" aca="1" ref="E597" ca="1">$B597-INDIRECT(ADDRESS(ROW()-E$2,2))</f>
        <v>17.28000000000003</v>
      </c>
      <c r="F597" s="3">
        <v>51.280000000006567</v>
      </c>
      <c r="G597" s="3">
        <v>18306.600000000002</v>
      </c>
      <c r="H597" s="3">
        <f t="shared" si="9"/>
        <v>18357.880000000008</v>
      </c>
      <c r="I597" s="3"/>
      <c r="J597" s="3"/>
      <c r="K597" s="3"/>
    </row>
    <row r="598" spans="1:11">
      <c r="A598" s="3">
        <v>43157</v>
      </c>
      <c r="B598" s="3">
        <v>357.42</v>
      </c>
      <c r="C598" s="4" cm="1">
        <f t="array" aca="1" ref="C598" ca="1">$B598-INDIRECT(ADDRESS(ROW()-C$2,2))</f>
        <v>35.110000000000014</v>
      </c>
      <c r="D598" s="4" cm="1">
        <f t="array" aca="1" ref="D598" ca="1">$B598-INDIRECT(ADDRESS(ROW()-D$2,2))</f>
        <v>21.930000000000007</v>
      </c>
      <c r="E598" s="4" cm="1">
        <f t="array" aca="1" ref="E598" ca="1">$B598-INDIRECT(ADDRESS(ROW()-E$2,2))</f>
        <v>24.120000000000005</v>
      </c>
      <c r="F598" s="3">
        <v>51.280000000006567</v>
      </c>
      <c r="G598" s="3">
        <v>18585.84</v>
      </c>
      <c r="H598" s="3">
        <f t="shared" si="9"/>
        <v>18637.120000000006</v>
      </c>
      <c r="I598" s="3"/>
      <c r="J598" s="3"/>
      <c r="K598" s="3"/>
    </row>
    <row r="599" spans="1:11">
      <c r="A599" s="3">
        <v>43158</v>
      </c>
      <c r="B599" s="3">
        <v>350.99</v>
      </c>
      <c r="C599" s="4" cm="1">
        <f t="array" aca="1" ref="C599" ca="1">$B599-INDIRECT(ADDRESS(ROW()-C$2,2))</f>
        <v>16.925000000000011</v>
      </c>
      <c r="D599" s="4" cm="1">
        <f t="array" aca="1" ref="D599" ca="1">$B599-INDIRECT(ADDRESS(ROW()-D$2,2))</f>
        <v>16.220000000000027</v>
      </c>
      <c r="E599" s="4" cm="1">
        <f t="array" aca="1" ref="E599" ca="1">$B599-INDIRECT(ADDRESS(ROW()-E$2,2))</f>
        <v>4.8199999999999932</v>
      </c>
      <c r="F599" s="3">
        <v>51.280000000006567</v>
      </c>
      <c r="G599" s="3">
        <v>18251.48</v>
      </c>
      <c r="H599" s="3">
        <f t="shared" si="9"/>
        <v>18302.760000000006</v>
      </c>
      <c r="I599" s="3"/>
      <c r="J599" s="3"/>
      <c r="K599" s="3"/>
    </row>
    <row r="600" spans="1:11">
      <c r="A600" s="3">
        <v>43159</v>
      </c>
      <c r="B600" s="3">
        <v>343.06</v>
      </c>
      <c r="C600" s="4" cm="1">
        <f t="array" aca="1" ref="C600" ca="1">$B600-INDIRECT(ADDRESS(ROW()-C$2,2))</f>
        <v>7.5699999999999932</v>
      </c>
      <c r="D600" s="4" cm="1">
        <f t="array" aca="1" ref="D600" ca="1">$B600-INDIRECT(ADDRESS(ROW()-D$2,2))</f>
        <v>9.7599999999999909</v>
      </c>
      <c r="E600" s="4" cm="1">
        <f t="array" aca="1" ref="E600" ca="1">$B600-INDIRECT(ADDRESS(ROW()-E$2,2))</f>
        <v>-8.9900000000000091</v>
      </c>
      <c r="F600" s="3">
        <v>51.280000000006567</v>
      </c>
      <c r="G600" s="3">
        <v>17839.12</v>
      </c>
      <c r="H600" s="3">
        <f t="shared" si="9"/>
        <v>17890.400000000005</v>
      </c>
      <c r="I600" s="3"/>
      <c r="J600" s="3"/>
      <c r="K600" s="3"/>
    </row>
    <row r="601" spans="1:11">
      <c r="A601" s="3">
        <v>43160</v>
      </c>
      <c r="B601" s="3">
        <v>330.93</v>
      </c>
      <c r="C601" s="4" cm="1">
        <f t="array" aca="1" ref="C601" ca="1">$B601-INDIRECT(ADDRESS(ROW()-C$2,2))</f>
        <v>-3.839999999999975</v>
      </c>
      <c r="D601" s="4" cm="1">
        <f t="array" aca="1" ref="D601" ca="1">$B601-INDIRECT(ADDRESS(ROW()-D$2,2))</f>
        <v>-15.240000000000009</v>
      </c>
      <c r="E601" s="4" cm="1">
        <f t="array" aca="1" ref="E601" ca="1">$B601-INDIRECT(ADDRESS(ROW()-E$2,2))</f>
        <v>-26.490000000000009</v>
      </c>
      <c r="F601" s="3">
        <v>51.280000000006567</v>
      </c>
      <c r="G601" s="3">
        <v>17208.36</v>
      </c>
      <c r="H601" s="3">
        <f t="shared" si="9"/>
        <v>17259.640000000007</v>
      </c>
      <c r="I601" s="3"/>
      <c r="J601" s="3"/>
      <c r="K601" s="3"/>
    </row>
    <row r="602" spans="1:11">
      <c r="A602" s="3">
        <v>43161</v>
      </c>
      <c r="B602" s="3">
        <v>335.12</v>
      </c>
      <c r="C602" s="4" cm="1">
        <f t="array" aca="1" ref="C602" ca="1">$B602-INDIRECT(ADDRESS(ROW()-C$2,2))</f>
        <v>1.8199999999999932</v>
      </c>
      <c r="D602" s="4" cm="1">
        <f t="array" aca="1" ref="D602" ca="1">$B602-INDIRECT(ADDRESS(ROW()-D$2,2))</f>
        <v>-16.930000000000007</v>
      </c>
      <c r="E602" s="4" cm="1">
        <f t="array" aca="1" ref="E602" ca="1">$B602-INDIRECT(ADDRESS(ROW()-E$2,2))</f>
        <v>-15.870000000000005</v>
      </c>
      <c r="F602" s="3">
        <v>17477.520000000008</v>
      </c>
      <c r="G602" s="3">
        <v>0</v>
      </c>
      <c r="H602" s="3">
        <f t="shared" si="9"/>
        <v>17477.520000000008</v>
      </c>
      <c r="I602" s="3"/>
      <c r="J602" s="3"/>
      <c r="K602" s="3"/>
    </row>
    <row r="603" spans="1:11">
      <c r="A603" s="3">
        <v>43164</v>
      </c>
      <c r="B603" s="3">
        <v>333.35</v>
      </c>
      <c r="C603" s="4" cm="1">
        <f t="array" aca="1" ref="C603" ca="1">$B603-INDIRECT(ADDRESS(ROW()-C$2,2))</f>
        <v>-12.819999999999993</v>
      </c>
      <c r="D603" s="4" cm="1">
        <f t="array" aca="1" ref="D603" ca="1">$B603-INDIRECT(ADDRESS(ROW()-D$2,2))</f>
        <v>-24.069999999999993</v>
      </c>
      <c r="E603" s="4" cm="1">
        <f t="array" aca="1" ref="E603" ca="1">$B603-INDIRECT(ADDRESS(ROW()-E$2,2))</f>
        <v>-9.7099999999999795</v>
      </c>
      <c r="F603" s="3">
        <v>17477.520000000008</v>
      </c>
      <c r="G603" s="3">
        <v>0</v>
      </c>
      <c r="H603" s="3">
        <f t="shared" si="9"/>
        <v>17477.520000000008</v>
      </c>
      <c r="I603" s="3"/>
      <c r="J603" s="3"/>
      <c r="K603" s="3"/>
    </row>
    <row r="604" spans="1:11">
      <c r="A604" s="3">
        <v>43165</v>
      </c>
      <c r="B604" s="3">
        <v>328.2</v>
      </c>
      <c r="C604" s="4" cm="1">
        <f t="array" aca="1" ref="C604" ca="1">$B604-INDIRECT(ADDRESS(ROW()-C$2,2))</f>
        <v>-23.850000000000023</v>
      </c>
      <c r="D604" s="4" cm="1">
        <f t="array" aca="1" ref="D604" ca="1">$B604-INDIRECT(ADDRESS(ROW()-D$2,2))</f>
        <v>-22.79000000000002</v>
      </c>
      <c r="E604" s="4" cm="1">
        <f t="array" aca="1" ref="E604" ca="1">$B604-INDIRECT(ADDRESS(ROW()-E$2,2))</f>
        <v>-2.7300000000000182</v>
      </c>
      <c r="F604" s="3">
        <v>17477.520000000008</v>
      </c>
      <c r="G604" s="3">
        <v>0</v>
      </c>
      <c r="H604" s="3">
        <f t="shared" si="9"/>
        <v>17477.520000000008</v>
      </c>
      <c r="I604" s="3"/>
      <c r="J604" s="3"/>
      <c r="K604" s="3"/>
    </row>
    <row r="605" spans="1:11">
      <c r="A605" s="3">
        <v>43166</v>
      </c>
      <c r="B605" s="3">
        <v>332.3</v>
      </c>
      <c r="C605" s="4" cm="1">
        <f t="array" aca="1" ref="C605" ca="1">$B605-INDIRECT(ADDRESS(ROW()-C$2,2))</f>
        <v>-25.120000000000005</v>
      </c>
      <c r="D605" s="4" cm="1">
        <f t="array" aca="1" ref="D605" ca="1">$B605-INDIRECT(ADDRESS(ROW()-D$2,2))</f>
        <v>-10.759999999999991</v>
      </c>
      <c r="E605" s="4" cm="1">
        <f t="array" aca="1" ref="E605" ca="1">$B605-INDIRECT(ADDRESS(ROW()-E$2,2))</f>
        <v>-2.8199999999999932</v>
      </c>
      <c r="F605" s="3">
        <v>17477.520000000008</v>
      </c>
      <c r="G605" s="3">
        <v>0</v>
      </c>
      <c r="H605" s="3">
        <f t="shared" si="9"/>
        <v>17477.520000000008</v>
      </c>
      <c r="I605" s="3"/>
      <c r="J605" s="3"/>
      <c r="K605" s="3"/>
    </row>
    <row r="606" spans="1:11">
      <c r="A606" s="3">
        <v>43167</v>
      </c>
      <c r="B606" s="3">
        <v>329.1</v>
      </c>
      <c r="C606" s="4" cm="1">
        <f t="array" aca="1" ref="C606" ca="1">$B606-INDIRECT(ADDRESS(ROW()-C$2,2))</f>
        <v>-21.889999999999986</v>
      </c>
      <c r="D606" s="4" cm="1">
        <f t="array" aca="1" ref="D606" ca="1">$B606-INDIRECT(ADDRESS(ROW()-D$2,2))</f>
        <v>-1.8299999999999841</v>
      </c>
      <c r="E606" s="4" cm="1">
        <f t="array" aca="1" ref="E606" ca="1">$B606-INDIRECT(ADDRESS(ROW()-E$2,2))</f>
        <v>-4.25</v>
      </c>
      <c r="F606" s="3">
        <v>17477.520000000008</v>
      </c>
      <c r="G606" s="3">
        <v>0</v>
      </c>
      <c r="H606" s="3">
        <f t="shared" si="9"/>
        <v>17477.520000000008</v>
      </c>
      <c r="I606" s="3"/>
      <c r="J606" s="3"/>
      <c r="K606" s="3"/>
    </row>
    <row r="607" spans="1:11">
      <c r="A607" s="3">
        <v>43168</v>
      </c>
      <c r="B607" s="3">
        <v>327.17</v>
      </c>
      <c r="C607" s="4" cm="1">
        <f t="array" aca="1" ref="C607" ca="1">$B607-INDIRECT(ADDRESS(ROW()-C$2,2))</f>
        <v>-15.889999999999986</v>
      </c>
      <c r="D607" s="4" cm="1">
        <f t="array" aca="1" ref="D607" ca="1">$B607-INDIRECT(ADDRESS(ROW()-D$2,2))</f>
        <v>-7.9499999999999886</v>
      </c>
      <c r="E607" s="4" cm="1">
        <f t="array" aca="1" ref="E607" ca="1">$B607-INDIRECT(ADDRESS(ROW()-E$2,2))</f>
        <v>-1.0299999999999727</v>
      </c>
      <c r="F607" s="3">
        <v>17477.520000000008</v>
      </c>
      <c r="G607" s="3">
        <v>0</v>
      </c>
      <c r="H607" s="3">
        <f t="shared" si="9"/>
        <v>17477.520000000008</v>
      </c>
      <c r="I607" s="3"/>
      <c r="J607" s="3"/>
      <c r="K607" s="3"/>
    </row>
    <row r="608" spans="1:11">
      <c r="A608" s="3">
        <v>43171</v>
      </c>
      <c r="B608" s="3">
        <v>345.51</v>
      </c>
      <c r="C608" s="4" cm="1">
        <f t="array" aca="1" ref="C608" ca="1">$B608-INDIRECT(ADDRESS(ROW()-C$2,2))</f>
        <v>14.579999999999984</v>
      </c>
      <c r="D608" s="4" cm="1">
        <f t="array" aca="1" ref="D608" ca="1">$B608-INDIRECT(ADDRESS(ROW()-D$2,2))</f>
        <v>12.159999999999968</v>
      </c>
      <c r="E608" s="4" cm="1">
        <f t="array" aca="1" ref="E608" ca="1">$B608-INDIRECT(ADDRESS(ROW()-E$2,2))</f>
        <v>13.20999999999998</v>
      </c>
      <c r="F608" s="3">
        <v>17477.520000000008</v>
      </c>
      <c r="G608" s="3">
        <v>0</v>
      </c>
      <c r="H608" s="3">
        <f t="shared" si="9"/>
        <v>17477.520000000008</v>
      </c>
      <c r="I608" s="3"/>
      <c r="J608" s="3"/>
      <c r="K608" s="3"/>
    </row>
    <row r="609" spans="1:11">
      <c r="A609" s="3">
        <v>43172</v>
      </c>
      <c r="B609" s="3">
        <v>341.84</v>
      </c>
      <c r="C609" s="4" cm="1">
        <f t="array" aca="1" ref="C609" ca="1">$B609-INDIRECT(ADDRESS(ROW()-C$2,2))</f>
        <v>6.7199999999999704</v>
      </c>
      <c r="D609" s="4" cm="1">
        <f t="array" aca="1" ref="D609" ca="1">$B609-INDIRECT(ADDRESS(ROW()-D$2,2))</f>
        <v>13.639999999999986</v>
      </c>
      <c r="E609" s="4" cm="1">
        <f t="array" aca="1" ref="E609" ca="1">$B609-INDIRECT(ADDRESS(ROW()-E$2,2))</f>
        <v>12.739999999999952</v>
      </c>
      <c r="F609" s="3">
        <v>17477.520000000008</v>
      </c>
      <c r="G609" s="3">
        <v>0</v>
      </c>
      <c r="H609" s="3">
        <f t="shared" si="9"/>
        <v>17477.520000000008</v>
      </c>
      <c r="I609" s="3"/>
      <c r="J609" s="3"/>
      <c r="K609" s="3"/>
    </row>
    <row r="610" spans="1:11">
      <c r="A610" s="3">
        <v>43173</v>
      </c>
      <c r="B610" s="3">
        <v>326.63</v>
      </c>
      <c r="C610" s="4" cm="1">
        <f t="array" aca="1" ref="C610" ca="1">$B610-INDIRECT(ADDRESS(ROW()-C$2,2))</f>
        <v>-6.7200000000000273</v>
      </c>
      <c r="D610" s="4" cm="1">
        <f t="array" aca="1" ref="D610" ca="1">$B610-INDIRECT(ADDRESS(ROW()-D$2,2))</f>
        <v>-5.6700000000000159</v>
      </c>
      <c r="E610" s="4" cm="1">
        <f t="array" aca="1" ref="E610" ca="1">$B610-INDIRECT(ADDRESS(ROW()-E$2,2))</f>
        <v>-0.54000000000002046</v>
      </c>
      <c r="F610" s="3">
        <v>17477.520000000008</v>
      </c>
      <c r="G610" s="3">
        <v>0</v>
      </c>
      <c r="H610" s="3">
        <f t="shared" si="9"/>
        <v>17477.520000000008</v>
      </c>
      <c r="I610" s="3"/>
      <c r="J610" s="3"/>
      <c r="K610" s="3"/>
    </row>
    <row r="611" spans="1:11">
      <c r="A611" s="3">
        <v>43174</v>
      </c>
      <c r="B611" s="3">
        <v>325.60000000000002</v>
      </c>
      <c r="C611" s="4" cm="1">
        <f t="array" aca="1" ref="C611" ca="1">$B611-INDIRECT(ADDRESS(ROW()-C$2,2))</f>
        <v>-2.5999999999999659</v>
      </c>
      <c r="D611" s="4" cm="1">
        <f t="array" aca="1" ref="D611" ca="1">$B611-INDIRECT(ADDRESS(ROW()-D$2,2))</f>
        <v>-3.5</v>
      </c>
      <c r="E611" s="4" cm="1">
        <f t="array" aca="1" ref="E611" ca="1">$B611-INDIRECT(ADDRESS(ROW()-E$2,2))</f>
        <v>-19.909999999999968</v>
      </c>
      <c r="F611" s="3">
        <v>17477.520000000008</v>
      </c>
      <c r="G611" s="3">
        <v>0</v>
      </c>
      <c r="H611" s="3">
        <f t="shared" si="9"/>
        <v>17477.520000000008</v>
      </c>
      <c r="I611" s="3"/>
      <c r="J611" s="3"/>
      <c r="K611" s="3"/>
    </row>
    <row r="612" spans="1:11">
      <c r="A612" s="3">
        <v>43175</v>
      </c>
      <c r="B612" s="3">
        <v>321.35000000000002</v>
      </c>
      <c r="C612" s="4" cm="1">
        <f t="array" aca="1" ref="C612" ca="1">$B612-INDIRECT(ADDRESS(ROW()-C$2,2))</f>
        <v>-10.949999999999989</v>
      </c>
      <c r="D612" s="4" cm="1">
        <f t="array" aca="1" ref="D612" ca="1">$B612-INDIRECT(ADDRESS(ROW()-D$2,2))</f>
        <v>-5.8199999999999932</v>
      </c>
      <c r="E612" s="4" cm="1">
        <f t="array" aca="1" ref="E612" ca="1">$B612-INDIRECT(ADDRESS(ROW()-E$2,2))</f>
        <v>-20.489999999999952</v>
      </c>
      <c r="F612" s="3">
        <v>17477.520000000008</v>
      </c>
      <c r="G612" s="3">
        <v>0</v>
      </c>
      <c r="H612" s="3">
        <f t="shared" si="9"/>
        <v>17477.520000000008</v>
      </c>
      <c r="I612" s="3"/>
      <c r="J612" s="3"/>
      <c r="K612" s="3"/>
    </row>
    <row r="613" spans="1:11">
      <c r="A613" s="3">
        <v>43178</v>
      </c>
      <c r="B613" s="3">
        <v>313.56</v>
      </c>
      <c r="C613" s="4" cm="1">
        <f t="array" aca="1" ref="C613" ca="1">$B613-INDIRECT(ADDRESS(ROW()-C$2,2))</f>
        <v>-15.54000000000002</v>
      </c>
      <c r="D613" s="4" cm="1">
        <f t="array" aca="1" ref="D613" ca="1">$B613-INDIRECT(ADDRESS(ROW()-D$2,2))</f>
        <v>-31.949999999999989</v>
      </c>
      <c r="E613" s="4" cm="1">
        <f t="array" aca="1" ref="E613" ca="1">$B613-INDIRECT(ADDRESS(ROW()-E$2,2))</f>
        <v>-13.069999999999993</v>
      </c>
      <c r="F613" s="3">
        <v>17477.520000000008</v>
      </c>
      <c r="G613" s="3">
        <v>0</v>
      </c>
      <c r="H613" s="3">
        <f t="shared" si="9"/>
        <v>17477.520000000008</v>
      </c>
      <c r="I613" s="3"/>
      <c r="J613" s="3"/>
      <c r="K613" s="3"/>
    </row>
    <row r="614" spans="1:11">
      <c r="A614" s="3">
        <v>43179</v>
      </c>
      <c r="B614" s="3">
        <v>310.55</v>
      </c>
      <c r="C614" s="4" cm="1">
        <f t="array" aca="1" ref="C614" ca="1">$B614-INDIRECT(ADDRESS(ROW()-C$2,2))</f>
        <v>-16.620000000000005</v>
      </c>
      <c r="D614" s="4" cm="1">
        <f t="array" aca="1" ref="D614" ca="1">$B614-INDIRECT(ADDRESS(ROW()-D$2,2))</f>
        <v>-31.289999999999964</v>
      </c>
      <c r="E614" s="4" cm="1">
        <f t="array" aca="1" ref="E614" ca="1">$B614-INDIRECT(ADDRESS(ROW()-E$2,2))</f>
        <v>-15.050000000000011</v>
      </c>
      <c r="F614" s="3">
        <v>17477.520000000008</v>
      </c>
      <c r="G614" s="3">
        <v>0</v>
      </c>
      <c r="H614" s="3">
        <f t="shared" si="9"/>
        <v>17477.520000000008</v>
      </c>
      <c r="I614" s="3"/>
      <c r="J614" s="3"/>
      <c r="K614" s="3"/>
    </row>
    <row r="615" spans="1:11">
      <c r="A615" s="3">
        <v>43180</v>
      </c>
      <c r="B615" s="3">
        <v>316.52999999999997</v>
      </c>
      <c r="C615" s="4" cm="1">
        <f t="array" aca="1" ref="C615" ca="1">$B615-INDIRECT(ADDRESS(ROW()-C$2,2))</f>
        <v>-28.980000000000018</v>
      </c>
      <c r="D615" s="4" cm="1">
        <f t="array" aca="1" ref="D615" ca="1">$B615-INDIRECT(ADDRESS(ROW()-D$2,2))</f>
        <v>-10.100000000000023</v>
      </c>
      <c r="E615" s="4" cm="1">
        <f t="array" aca="1" ref="E615" ca="1">$B615-INDIRECT(ADDRESS(ROW()-E$2,2))</f>
        <v>-4.82000000000005</v>
      </c>
      <c r="F615" s="3">
        <v>17477.520000000008</v>
      </c>
      <c r="G615" s="3">
        <v>0</v>
      </c>
      <c r="H615" s="3">
        <f t="shared" si="9"/>
        <v>17477.520000000008</v>
      </c>
      <c r="I615" s="3"/>
      <c r="J615" s="3"/>
      <c r="K615" s="3"/>
    </row>
    <row r="616" spans="1:11">
      <c r="A616" s="3">
        <v>43181</v>
      </c>
      <c r="B616" s="3">
        <v>309.10000000000002</v>
      </c>
      <c r="C616" s="4" cm="1">
        <f t="array" aca="1" ref="C616" ca="1">$B616-INDIRECT(ADDRESS(ROW()-C$2,2))</f>
        <v>-32.739999999999952</v>
      </c>
      <c r="D616" s="4" cm="1">
        <f t="array" aca="1" ref="D616" ca="1">$B616-INDIRECT(ADDRESS(ROW()-D$2,2))</f>
        <v>-16.5</v>
      </c>
      <c r="E616" s="4" cm="1">
        <f t="array" aca="1" ref="E616" ca="1">$B616-INDIRECT(ADDRESS(ROW()-E$2,2))</f>
        <v>-4.4599999999999795</v>
      </c>
      <c r="F616" s="3">
        <v>17477.520000000008</v>
      </c>
      <c r="G616" s="3">
        <v>0</v>
      </c>
      <c r="H616" s="3">
        <f t="shared" si="9"/>
        <v>17477.520000000008</v>
      </c>
      <c r="I616" s="3"/>
      <c r="J616" s="3"/>
      <c r="K616" s="3"/>
    </row>
    <row r="617" spans="1:11">
      <c r="A617" s="3">
        <v>43182</v>
      </c>
      <c r="B617" s="3">
        <v>301.54000000000002</v>
      </c>
      <c r="C617" s="4" cm="1">
        <f t="array" aca="1" ref="C617" ca="1">$B617-INDIRECT(ADDRESS(ROW()-C$2,2))</f>
        <v>-25.089999999999975</v>
      </c>
      <c r="D617" s="4" cm="1">
        <f t="array" aca="1" ref="D617" ca="1">$B617-INDIRECT(ADDRESS(ROW()-D$2,2))</f>
        <v>-19.810000000000002</v>
      </c>
      <c r="E617" s="4" cm="1">
        <f t="array" aca="1" ref="E617" ca="1">$B617-INDIRECT(ADDRESS(ROW()-E$2,2))</f>
        <v>-9.0099999999999909</v>
      </c>
      <c r="F617" s="3">
        <v>17477.520000000008</v>
      </c>
      <c r="G617" s="3">
        <v>0</v>
      </c>
      <c r="H617" s="3">
        <f t="shared" si="9"/>
        <v>17477.520000000008</v>
      </c>
      <c r="I617" s="3"/>
      <c r="J617" s="3"/>
      <c r="K617" s="3"/>
    </row>
    <row r="618" spans="1:11">
      <c r="A618" s="3">
        <v>43185</v>
      </c>
      <c r="B618" s="3">
        <v>304.18</v>
      </c>
      <c r="C618" s="4" cm="1">
        <f t="array" aca="1" ref="C618" ca="1">$B618-INDIRECT(ADDRESS(ROW()-C$2,2))</f>
        <v>-21.420000000000016</v>
      </c>
      <c r="D618" s="4" cm="1">
        <f t="array" aca="1" ref="D618" ca="1">$B618-INDIRECT(ADDRESS(ROW()-D$2,2))</f>
        <v>-9.3799999999999955</v>
      </c>
      <c r="E618" s="4" cm="1">
        <f t="array" aca="1" ref="E618" ca="1">$B618-INDIRECT(ADDRESS(ROW()-E$2,2))</f>
        <v>-12.349999999999966</v>
      </c>
      <c r="F618" s="3">
        <v>17477.520000000008</v>
      </c>
      <c r="G618" s="3">
        <v>0</v>
      </c>
      <c r="H618" s="3">
        <f t="shared" si="9"/>
        <v>17477.520000000008</v>
      </c>
      <c r="I618" s="3"/>
      <c r="J618" s="3"/>
      <c r="K618" s="3"/>
    </row>
    <row r="619" spans="1:11">
      <c r="A619" s="3">
        <v>43186</v>
      </c>
      <c r="B619" s="3">
        <v>279.18</v>
      </c>
      <c r="C619" s="4" cm="1">
        <f t="array" aca="1" ref="C619" ca="1">$B619-INDIRECT(ADDRESS(ROW()-C$2,2))</f>
        <v>-42.170000000000016</v>
      </c>
      <c r="D619" s="4" cm="1">
        <f t="array" aca="1" ref="D619" ca="1">$B619-INDIRECT(ADDRESS(ROW()-D$2,2))</f>
        <v>-31.370000000000005</v>
      </c>
      <c r="E619" s="4" cm="1">
        <f t="array" aca="1" ref="E619" ca="1">$B619-INDIRECT(ADDRESS(ROW()-E$2,2))</f>
        <v>-29.920000000000016</v>
      </c>
      <c r="F619" s="3">
        <v>17477.520000000008</v>
      </c>
      <c r="G619" s="3">
        <v>0</v>
      </c>
      <c r="H619" s="3">
        <f t="shared" si="9"/>
        <v>17477.520000000008</v>
      </c>
      <c r="I619" s="3"/>
      <c r="J619" s="3"/>
      <c r="K619" s="3"/>
    </row>
    <row r="620" spans="1:11">
      <c r="A620" s="3">
        <v>43187</v>
      </c>
      <c r="B620" s="3">
        <v>257.77999999999997</v>
      </c>
      <c r="C620" s="4" cm="1">
        <f t="array" aca="1" ref="C620" ca="1">$B620-INDIRECT(ADDRESS(ROW()-C$2,2))</f>
        <v>-55.78000000000003</v>
      </c>
      <c r="D620" s="4" cm="1">
        <f t="array" aca="1" ref="D620" ca="1">$B620-INDIRECT(ADDRESS(ROW()-D$2,2))</f>
        <v>-58.75</v>
      </c>
      <c r="E620" s="4" cm="1">
        <f t="array" aca="1" ref="E620" ca="1">$B620-INDIRECT(ADDRESS(ROW()-E$2,2))</f>
        <v>-43.760000000000048</v>
      </c>
      <c r="F620" s="3">
        <v>17477.520000000008</v>
      </c>
      <c r="G620" s="3">
        <v>0</v>
      </c>
      <c r="H620" s="3">
        <f t="shared" si="9"/>
        <v>17477.520000000008</v>
      </c>
      <c r="I620" s="3"/>
      <c r="J620" s="3"/>
      <c r="K620" s="3"/>
    </row>
    <row r="621" spans="1:11">
      <c r="A621" s="3">
        <v>43188</v>
      </c>
      <c r="B621" s="3">
        <v>266.13</v>
      </c>
      <c r="C621" s="4" cm="1">
        <f t="array" aca="1" ref="C621" ca="1">$B621-INDIRECT(ADDRESS(ROW()-C$2,2))</f>
        <v>-44.420000000000016</v>
      </c>
      <c r="D621" s="4" cm="1">
        <f t="array" aca="1" ref="D621" ca="1">$B621-INDIRECT(ADDRESS(ROW()-D$2,2))</f>
        <v>-42.970000000000027</v>
      </c>
      <c r="E621" s="4" cm="1">
        <f t="array" aca="1" ref="E621" ca="1">$B621-INDIRECT(ADDRESS(ROW()-E$2,2))</f>
        <v>-38.050000000000011</v>
      </c>
      <c r="F621" s="3">
        <v>17477.520000000008</v>
      </c>
      <c r="G621" s="3">
        <v>0</v>
      </c>
      <c r="H621" s="3">
        <f t="shared" si="9"/>
        <v>17477.520000000008</v>
      </c>
      <c r="I621" s="3"/>
      <c r="J621" s="3"/>
      <c r="K621" s="3"/>
    </row>
    <row r="622" spans="1:11">
      <c r="A622" s="3">
        <v>43192</v>
      </c>
      <c r="B622" s="3">
        <v>252.48</v>
      </c>
      <c r="C622" s="4" cm="1">
        <f t="array" aca="1" ref="C622" ca="1">$B622-INDIRECT(ADDRESS(ROW()-C$2,2))</f>
        <v>-64.049999999999983</v>
      </c>
      <c r="D622" s="4" cm="1">
        <f t="array" aca="1" ref="D622" ca="1">$B622-INDIRECT(ADDRESS(ROW()-D$2,2))</f>
        <v>-49.060000000000031</v>
      </c>
      <c r="E622" s="4" cm="1">
        <f t="array" aca="1" ref="E622" ca="1">$B622-INDIRECT(ADDRESS(ROW()-E$2,2))</f>
        <v>-26.700000000000017</v>
      </c>
      <c r="F622" s="3">
        <v>17477.520000000008</v>
      </c>
      <c r="G622" s="3">
        <v>0</v>
      </c>
      <c r="H622" s="3">
        <f t="shared" si="9"/>
        <v>17477.520000000008</v>
      </c>
      <c r="I622" s="3"/>
      <c r="J622" s="3"/>
      <c r="K622" s="3"/>
    </row>
    <row r="623" spans="1:11">
      <c r="A623" s="3">
        <v>43193</v>
      </c>
      <c r="B623" s="3">
        <v>267.52999999999997</v>
      </c>
      <c r="C623" s="4" cm="1">
        <f t="array" aca="1" ref="C623" ca="1">$B623-INDIRECT(ADDRESS(ROW()-C$2,2))</f>
        <v>-41.57000000000005</v>
      </c>
      <c r="D623" s="4" cm="1">
        <f t="array" aca="1" ref="D623" ca="1">$B623-INDIRECT(ADDRESS(ROW()-D$2,2))</f>
        <v>-36.650000000000034</v>
      </c>
      <c r="E623" s="4" cm="1">
        <f t="array" aca="1" ref="E623" ca="1">$B623-INDIRECT(ADDRESS(ROW()-E$2,2))</f>
        <v>9.75</v>
      </c>
      <c r="F623" s="3">
        <v>17477.520000000008</v>
      </c>
      <c r="G623" s="3">
        <v>0</v>
      </c>
      <c r="H623" s="3">
        <f t="shared" ref="H623:H686" si="10">G623+F623</f>
        <v>17477.520000000008</v>
      </c>
      <c r="I623" s="3"/>
      <c r="J623" s="3"/>
      <c r="K623" s="3"/>
    </row>
    <row r="624" spans="1:11">
      <c r="A624" s="3">
        <v>43194</v>
      </c>
      <c r="B624" s="3">
        <v>286.94</v>
      </c>
      <c r="C624" s="4" cm="1">
        <f t="array" aca="1" ref="C624" ca="1">$B624-INDIRECT(ADDRESS(ROW()-C$2,2))</f>
        <v>-14.600000000000023</v>
      </c>
      <c r="D624" s="4" cm="1">
        <f t="array" aca="1" ref="D624" ca="1">$B624-INDIRECT(ADDRESS(ROW()-D$2,2))</f>
        <v>7.7599999999999909</v>
      </c>
      <c r="E624" s="4" cm="1">
        <f t="array" aca="1" ref="E624" ca="1">$B624-INDIRECT(ADDRESS(ROW()-E$2,2))</f>
        <v>20.810000000000002</v>
      </c>
      <c r="F624" s="3">
        <v>261.12000000000177</v>
      </c>
      <c r="G624" s="3">
        <v>17216.400000000001</v>
      </c>
      <c r="H624" s="3">
        <f t="shared" si="10"/>
        <v>17477.520000000004</v>
      </c>
      <c r="I624" s="3"/>
      <c r="J624" s="3"/>
      <c r="K624" s="3"/>
    </row>
    <row r="625" spans="1:11">
      <c r="A625" s="3">
        <v>43195</v>
      </c>
      <c r="B625" s="3">
        <v>305.72000000000003</v>
      </c>
      <c r="C625" s="4" cm="1">
        <f t="array" aca="1" ref="C625" ca="1">$B625-INDIRECT(ADDRESS(ROW()-C$2,2))</f>
        <v>1.5400000000000205</v>
      </c>
      <c r="D625" s="4" cm="1">
        <f t="array" aca="1" ref="D625" ca="1">$B625-INDIRECT(ADDRESS(ROW()-D$2,2))</f>
        <v>47.940000000000055</v>
      </c>
      <c r="E625" s="4" cm="1">
        <f t="array" aca="1" ref="E625" ca="1">$B625-INDIRECT(ADDRESS(ROW()-E$2,2))</f>
        <v>53.240000000000038</v>
      </c>
      <c r="F625" s="3">
        <v>261.12000000000177</v>
      </c>
      <c r="G625" s="3">
        <v>18343.2</v>
      </c>
      <c r="H625" s="3">
        <f t="shared" si="10"/>
        <v>18604.320000000003</v>
      </c>
      <c r="I625" s="3"/>
      <c r="J625" s="3"/>
      <c r="K625" s="3"/>
    </row>
    <row r="626" spans="1:11">
      <c r="A626" s="3">
        <v>43196</v>
      </c>
      <c r="B626" s="3">
        <v>299.3</v>
      </c>
      <c r="C626" s="4" cm="1">
        <f t="array" aca="1" ref="C626" ca="1">$B626-INDIRECT(ADDRESS(ROW()-C$2,2))</f>
        <v>20.120000000000005</v>
      </c>
      <c r="D626" s="4" cm="1">
        <f t="array" aca="1" ref="D626" ca="1">$B626-INDIRECT(ADDRESS(ROW()-D$2,2))</f>
        <v>33.170000000000016</v>
      </c>
      <c r="E626" s="4" cm="1">
        <f t="array" aca="1" ref="E626" ca="1">$B626-INDIRECT(ADDRESS(ROW()-E$2,2))</f>
        <v>31.770000000000039</v>
      </c>
      <c r="F626" s="3">
        <v>261.12000000000177</v>
      </c>
      <c r="G626" s="3">
        <v>17958</v>
      </c>
      <c r="H626" s="3">
        <f t="shared" si="10"/>
        <v>18219.120000000003</v>
      </c>
      <c r="I626" s="3"/>
      <c r="J626" s="3"/>
      <c r="K626" s="3"/>
    </row>
    <row r="627" spans="1:11">
      <c r="A627" s="3">
        <v>43199</v>
      </c>
      <c r="B627" s="3">
        <v>289.66000000000003</v>
      </c>
      <c r="C627" s="4" cm="1">
        <f t="array" aca="1" ref="C627" ca="1">$B627-INDIRECT(ADDRESS(ROW()-C$2,2))</f>
        <v>31.880000000000052</v>
      </c>
      <c r="D627" s="4" cm="1">
        <f t="array" aca="1" ref="D627" ca="1">$B627-INDIRECT(ADDRESS(ROW()-D$2,2))</f>
        <v>37.180000000000035</v>
      </c>
      <c r="E627" s="4" cm="1">
        <f t="array" aca="1" ref="E627" ca="1">$B627-INDIRECT(ADDRESS(ROW()-E$2,2))</f>
        <v>2.7200000000000273</v>
      </c>
      <c r="F627" s="3">
        <v>261.12000000000177</v>
      </c>
      <c r="G627" s="3">
        <v>17379.600000000002</v>
      </c>
      <c r="H627" s="3">
        <f t="shared" si="10"/>
        <v>17640.720000000005</v>
      </c>
      <c r="I627" s="3"/>
      <c r="J627" s="3"/>
      <c r="K627" s="3"/>
    </row>
    <row r="628" spans="1:11">
      <c r="A628" s="3">
        <v>43200</v>
      </c>
      <c r="B628" s="3">
        <v>304.7</v>
      </c>
      <c r="C628" s="4" cm="1">
        <f t="array" aca="1" ref="C628" ca="1">$B628-INDIRECT(ADDRESS(ROW()-C$2,2))</f>
        <v>38.569999999999993</v>
      </c>
      <c r="D628" s="4" cm="1">
        <f t="array" aca="1" ref="D628" ca="1">$B628-INDIRECT(ADDRESS(ROW()-D$2,2))</f>
        <v>37.170000000000016</v>
      </c>
      <c r="E628" s="4" cm="1">
        <f t="array" aca="1" ref="E628" ca="1">$B628-INDIRECT(ADDRESS(ROW()-E$2,2))</f>
        <v>-1.0200000000000387</v>
      </c>
      <c r="F628" s="3">
        <v>261.12000000000177</v>
      </c>
      <c r="G628" s="3">
        <v>18282</v>
      </c>
      <c r="H628" s="3">
        <f t="shared" si="10"/>
        <v>18543.120000000003</v>
      </c>
      <c r="I628" s="3"/>
      <c r="J628" s="3"/>
      <c r="K628" s="3"/>
    </row>
    <row r="629" spans="1:11">
      <c r="A629" s="3">
        <v>43201</v>
      </c>
      <c r="B629" s="3">
        <v>300.93</v>
      </c>
      <c r="C629" s="4" cm="1">
        <f t="array" aca="1" ref="C629" ca="1">$B629-INDIRECT(ADDRESS(ROW()-C$2,2))</f>
        <v>48.450000000000017</v>
      </c>
      <c r="D629" s="4" cm="1">
        <f t="array" aca="1" ref="D629" ca="1">$B629-INDIRECT(ADDRESS(ROW()-D$2,2))</f>
        <v>13.990000000000009</v>
      </c>
      <c r="E629" s="4" cm="1">
        <f t="array" aca="1" ref="E629" ca="1">$B629-INDIRECT(ADDRESS(ROW()-E$2,2))</f>
        <v>1.6299999999999955</v>
      </c>
      <c r="F629" s="3">
        <v>261.12000000000177</v>
      </c>
      <c r="G629" s="3">
        <v>18055.8</v>
      </c>
      <c r="H629" s="3">
        <f t="shared" si="10"/>
        <v>18316.920000000002</v>
      </c>
      <c r="I629" s="3"/>
      <c r="J629" s="3"/>
      <c r="K629" s="3"/>
    </row>
    <row r="630" spans="1:11">
      <c r="A630" s="3">
        <v>43202</v>
      </c>
      <c r="B630" s="3">
        <v>294.08</v>
      </c>
      <c r="C630" s="4" cm="1">
        <f t="array" aca="1" ref="C630" ca="1">$B630-INDIRECT(ADDRESS(ROW()-C$2,2))</f>
        <v>26.550000000000011</v>
      </c>
      <c r="D630" s="4" cm="1">
        <f t="array" aca="1" ref="D630" ca="1">$B630-INDIRECT(ADDRESS(ROW()-D$2,2))</f>
        <v>-11.640000000000043</v>
      </c>
      <c r="E630" s="4" cm="1">
        <f t="array" aca="1" ref="E630" ca="1">$B630-INDIRECT(ADDRESS(ROW()-E$2,2))</f>
        <v>4.4199999999999591</v>
      </c>
      <c r="F630" s="3">
        <v>261.12000000000177</v>
      </c>
      <c r="G630" s="3">
        <v>17644.8</v>
      </c>
      <c r="H630" s="3">
        <f t="shared" si="10"/>
        <v>17905.920000000002</v>
      </c>
      <c r="I630" s="3"/>
      <c r="J630" s="3"/>
      <c r="K630" s="3"/>
    </row>
    <row r="631" spans="1:11">
      <c r="A631" s="3">
        <v>43203</v>
      </c>
      <c r="B631" s="3">
        <v>300.33999999999997</v>
      </c>
      <c r="C631" s="4" cm="1">
        <f t="array" aca="1" ref="C631" ca="1">$B631-INDIRECT(ADDRESS(ROW()-C$2,2))</f>
        <v>13.399999999999977</v>
      </c>
      <c r="D631" s="4" cm="1">
        <f t="array" aca="1" ref="D631" ca="1">$B631-INDIRECT(ADDRESS(ROW()-D$2,2))</f>
        <v>1.0399999999999636</v>
      </c>
      <c r="E631" s="4" cm="1">
        <f t="array" aca="1" ref="E631" ca="1">$B631-INDIRECT(ADDRESS(ROW()-E$2,2))</f>
        <v>-4.3600000000000136</v>
      </c>
      <c r="F631" s="3">
        <v>261.12000000000177</v>
      </c>
      <c r="G631" s="3">
        <v>18020.399999999998</v>
      </c>
      <c r="H631" s="3">
        <f t="shared" si="10"/>
        <v>18281.52</v>
      </c>
      <c r="I631" s="3"/>
      <c r="J631" s="3"/>
      <c r="K631" s="3"/>
    </row>
    <row r="632" spans="1:11">
      <c r="A632" s="3">
        <v>43206</v>
      </c>
      <c r="B632" s="3">
        <v>291.20999999999998</v>
      </c>
      <c r="C632" s="4" cm="1">
        <f t="array" aca="1" ref="C632" ca="1">$B632-INDIRECT(ADDRESS(ROW()-C$2,2))</f>
        <v>-14.510000000000048</v>
      </c>
      <c r="D632" s="4" cm="1">
        <f t="array" aca="1" ref="D632" ca="1">$B632-INDIRECT(ADDRESS(ROW()-D$2,2))</f>
        <v>1.5499999999999545</v>
      </c>
      <c r="E632" s="4" cm="1">
        <f t="array" aca="1" ref="E632" ca="1">$B632-INDIRECT(ADDRESS(ROW()-E$2,2))</f>
        <v>-9.7200000000000273</v>
      </c>
      <c r="F632" s="3">
        <v>261.12000000000177</v>
      </c>
      <c r="G632" s="3">
        <v>17472.599999999999</v>
      </c>
      <c r="H632" s="3">
        <f t="shared" si="10"/>
        <v>17733.72</v>
      </c>
      <c r="I632" s="3"/>
      <c r="J632" s="3"/>
      <c r="K632" s="3"/>
    </row>
    <row r="633" spans="1:11">
      <c r="A633" s="3">
        <v>43207</v>
      </c>
      <c r="B633" s="3">
        <v>287.69</v>
      </c>
      <c r="C633" s="4" cm="1">
        <f t="array" aca="1" ref="C633" ca="1">$B633-INDIRECT(ADDRESS(ROW()-C$2,2))</f>
        <v>-11.610000000000014</v>
      </c>
      <c r="D633" s="4" cm="1">
        <f t="array" aca="1" ref="D633" ca="1">$B633-INDIRECT(ADDRESS(ROW()-D$2,2))</f>
        <v>-17.009999999999991</v>
      </c>
      <c r="E633" s="4" cm="1">
        <f t="array" aca="1" ref="E633" ca="1">$B633-INDIRECT(ADDRESS(ROW()-E$2,2))</f>
        <v>-6.3899999999999864</v>
      </c>
      <c r="F633" s="3">
        <v>261.12000000000177</v>
      </c>
      <c r="G633" s="3">
        <v>17261.400000000001</v>
      </c>
      <c r="H633" s="3">
        <f t="shared" si="10"/>
        <v>17522.520000000004</v>
      </c>
      <c r="I633" s="3"/>
      <c r="J633" s="3"/>
      <c r="K633" s="3"/>
    </row>
    <row r="634" spans="1:11">
      <c r="A634" s="3">
        <v>43208</v>
      </c>
      <c r="B634" s="3">
        <v>293.35000000000002</v>
      </c>
      <c r="C634" s="4" cm="1">
        <f t="array" aca="1" ref="C634" ca="1">$B634-INDIRECT(ADDRESS(ROW()-C$2,2))</f>
        <v>3.6899999999999977</v>
      </c>
      <c r="D634" s="4" cm="1">
        <f t="array" aca="1" ref="D634" ca="1">$B634-INDIRECT(ADDRESS(ROW()-D$2,2))</f>
        <v>-7.5799999999999841</v>
      </c>
      <c r="E634" s="4" cm="1">
        <f t="array" aca="1" ref="E634" ca="1">$B634-INDIRECT(ADDRESS(ROW()-E$2,2))</f>
        <v>-6.9899999999999523</v>
      </c>
      <c r="F634" s="3">
        <v>17862.120000000003</v>
      </c>
      <c r="G634" s="3">
        <v>0</v>
      </c>
      <c r="H634" s="3">
        <f t="shared" si="10"/>
        <v>17862.120000000003</v>
      </c>
      <c r="I634" s="3"/>
      <c r="J634" s="3"/>
      <c r="K634" s="3"/>
    </row>
    <row r="635" spans="1:11">
      <c r="A635" s="3">
        <v>43209</v>
      </c>
      <c r="B635" s="3">
        <v>300.08</v>
      </c>
      <c r="C635" s="4" cm="1">
        <f t="array" aca="1" ref="C635" ca="1">$B635-INDIRECT(ADDRESS(ROW()-C$2,2))</f>
        <v>-4.6200000000000045</v>
      </c>
      <c r="D635" s="4" cm="1">
        <f t="array" aca="1" ref="D635" ca="1">$B635-INDIRECT(ADDRESS(ROW()-D$2,2))</f>
        <v>6</v>
      </c>
      <c r="E635" s="4" cm="1">
        <f t="array" aca="1" ref="E635" ca="1">$B635-INDIRECT(ADDRESS(ROW()-E$2,2))</f>
        <v>8.8700000000000045</v>
      </c>
      <c r="F635" s="3">
        <v>157.39999999999952</v>
      </c>
      <c r="G635" s="3">
        <v>17704.719999999998</v>
      </c>
      <c r="H635" s="3">
        <f t="shared" si="10"/>
        <v>17862.119999999995</v>
      </c>
      <c r="I635" s="3"/>
      <c r="J635" s="3"/>
      <c r="K635" s="3"/>
    </row>
    <row r="636" spans="1:11">
      <c r="A636" s="3">
        <v>43210</v>
      </c>
      <c r="B636" s="3">
        <v>290.24</v>
      </c>
      <c r="C636" s="4" cm="1">
        <f t="array" aca="1" ref="C636" ca="1">$B636-INDIRECT(ADDRESS(ROW()-C$2,2))</f>
        <v>-10.689999999999998</v>
      </c>
      <c r="D636" s="4" cm="1">
        <f t="array" aca="1" ref="D636" ca="1">$B636-INDIRECT(ADDRESS(ROW()-D$2,2))</f>
        <v>-10.099999999999966</v>
      </c>
      <c r="E636" s="4" cm="1">
        <f t="array" aca="1" ref="E636" ca="1">$B636-INDIRECT(ADDRESS(ROW()-E$2,2))</f>
        <v>2.5500000000000114</v>
      </c>
      <c r="F636" s="3">
        <v>157.39999999999952</v>
      </c>
      <c r="G636" s="3">
        <v>17124.16</v>
      </c>
      <c r="H636" s="3">
        <f t="shared" si="10"/>
        <v>17281.559999999998</v>
      </c>
      <c r="I636" s="3"/>
      <c r="J636" s="3"/>
      <c r="K636" s="3"/>
    </row>
    <row r="637" spans="1:11">
      <c r="A637" s="3">
        <v>43213</v>
      </c>
      <c r="B637" s="3">
        <v>283.37</v>
      </c>
      <c r="C637" s="4" cm="1">
        <f t="array" aca="1" ref="C637" ca="1">$B637-INDIRECT(ADDRESS(ROW()-C$2,2))</f>
        <v>-10.70999999999998</v>
      </c>
      <c r="D637" s="4" cm="1">
        <f t="array" aca="1" ref="D637" ca="1">$B637-INDIRECT(ADDRESS(ROW()-D$2,2))</f>
        <v>-7.839999999999975</v>
      </c>
      <c r="E637" s="4" cm="1">
        <f t="array" aca="1" ref="E637" ca="1">$B637-INDIRECT(ADDRESS(ROW()-E$2,2))</f>
        <v>-9.9800000000000182</v>
      </c>
      <c r="F637" s="3">
        <v>157.39999999999952</v>
      </c>
      <c r="G637" s="3">
        <v>16718.830000000002</v>
      </c>
      <c r="H637" s="3">
        <f t="shared" si="10"/>
        <v>16876.23</v>
      </c>
      <c r="I637" s="3"/>
      <c r="J637" s="3"/>
      <c r="K637" s="3"/>
    </row>
    <row r="638" spans="1:11">
      <c r="A638" s="3">
        <v>43214</v>
      </c>
      <c r="B638" s="3">
        <v>283.45999999999998</v>
      </c>
      <c r="C638" s="4" cm="1">
        <f t="array" aca="1" ref="C638" ca="1">$B638-INDIRECT(ADDRESS(ROW()-C$2,2))</f>
        <v>-16.879999999999995</v>
      </c>
      <c r="D638" s="4" cm="1">
        <f t="array" aca="1" ref="D638" ca="1">$B638-INDIRECT(ADDRESS(ROW()-D$2,2))</f>
        <v>-4.2300000000000182</v>
      </c>
      <c r="E638" s="4" cm="1">
        <f t="array" aca="1" ref="E638" ca="1">$B638-INDIRECT(ADDRESS(ROW()-E$2,2))</f>
        <v>-16.620000000000005</v>
      </c>
      <c r="F638" s="3">
        <v>157.39999999999952</v>
      </c>
      <c r="G638" s="3">
        <v>16724.14</v>
      </c>
      <c r="H638" s="3">
        <f t="shared" si="10"/>
        <v>16881.539999999997</v>
      </c>
      <c r="I638" s="3"/>
      <c r="J638" s="3"/>
      <c r="K638" s="3"/>
    </row>
    <row r="639" spans="1:11">
      <c r="A639" s="3">
        <v>43215</v>
      </c>
      <c r="B639" s="3">
        <v>280.69</v>
      </c>
      <c r="C639" s="4" cm="1">
        <f t="array" aca="1" ref="C639" ca="1">$B639-INDIRECT(ADDRESS(ROW()-C$2,2))</f>
        <v>-10.519999999999982</v>
      </c>
      <c r="D639" s="4" cm="1">
        <f t="array" aca="1" ref="D639" ca="1">$B639-INDIRECT(ADDRESS(ROW()-D$2,2))</f>
        <v>-12.660000000000025</v>
      </c>
      <c r="E639" s="4" cm="1">
        <f t="array" aca="1" ref="E639" ca="1">$B639-INDIRECT(ADDRESS(ROW()-E$2,2))</f>
        <v>-9.5500000000000114</v>
      </c>
      <c r="F639" s="3">
        <v>157.39999999999952</v>
      </c>
      <c r="G639" s="3">
        <v>16560.71</v>
      </c>
      <c r="H639" s="3">
        <f t="shared" si="10"/>
        <v>16718.109999999997</v>
      </c>
      <c r="I639" s="3"/>
      <c r="J639" s="3"/>
      <c r="K639" s="3"/>
    </row>
    <row r="640" spans="1:11">
      <c r="A640" s="3">
        <v>43216</v>
      </c>
      <c r="B640" s="3">
        <v>285.48</v>
      </c>
      <c r="C640" s="4" cm="1">
        <f t="array" aca="1" ref="C640" ca="1">$B640-INDIRECT(ADDRESS(ROW()-C$2,2))</f>
        <v>-2.2099999999999795</v>
      </c>
      <c r="D640" s="4" cm="1">
        <f t="array" aca="1" ref="D640" ca="1">$B640-INDIRECT(ADDRESS(ROW()-D$2,2))</f>
        <v>-14.599999999999966</v>
      </c>
      <c r="E640" s="4" cm="1">
        <f t="array" aca="1" ref="E640" ca="1">$B640-INDIRECT(ADDRESS(ROW()-E$2,2))</f>
        <v>2.1100000000000136</v>
      </c>
      <c r="F640" s="3">
        <v>157.39999999999952</v>
      </c>
      <c r="G640" s="3">
        <v>16843.32</v>
      </c>
      <c r="H640" s="3">
        <f t="shared" si="10"/>
        <v>17000.719999999998</v>
      </c>
      <c r="I640" s="3"/>
      <c r="J640" s="3"/>
      <c r="K640" s="3"/>
    </row>
    <row r="641" spans="1:11">
      <c r="A641" s="3">
        <v>43217</v>
      </c>
      <c r="B641" s="3">
        <v>294.07499999999999</v>
      </c>
      <c r="C641" s="4" cm="1">
        <f t="array" aca="1" ref="C641" ca="1">$B641-INDIRECT(ADDRESS(ROW()-C$2,2))</f>
        <v>0.72499999999996589</v>
      </c>
      <c r="D641" s="4" cm="1">
        <f t="array" aca="1" ref="D641" ca="1">$B641-INDIRECT(ADDRESS(ROW()-D$2,2))</f>
        <v>3.8349999999999795</v>
      </c>
      <c r="E641" s="4" cm="1">
        <f t="array" aca="1" ref="E641" ca="1">$B641-INDIRECT(ADDRESS(ROW()-E$2,2))</f>
        <v>10.615000000000009</v>
      </c>
      <c r="F641" s="3">
        <v>157.39999999999952</v>
      </c>
      <c r="G641" s="3">
        <v>17350.424999999999</v>
      </c>
      <c r="H641" s="3">
        <f t="shared" si="10"/>
        <v>17507.824999999997</v>
      </c>
      <c r="I641" s="3"/>
      <c r="J641" s="3"/>
      <c r="K641" s="3"/>
    </row>
    <row r="642" spans="1:11">
      <c r="A642" s="3">
        <v>43220</v>
      </c>
      <c r="B642" s="3">
        <v>293.89999999999998</v>
      </c>
      <c r="C642" s="4" cm="1">
        <f t="array" aca="1" ref="C642" ca="1">$B642-INDIRECT(ADDRESS(ROW()-C$2,2))</f>
        <v>-6.1800000000000068</v>
      </c>
      <c r="D642" s="4" cm="1">
        <f t="array" aca="1" ref="D642" ca="1">$B642-INDIRECT(ADDRESS(ROW()-D$2,2))</f>
        <v>10.529999999999973</v>
      </c>
      <c r="E642" s="4" cm="1">
        <f t="array" aca="1" ref="E642" ca="1">$B642-INDIRECT(ADDRESS(ROW()-E$2,2))</f>
        <v>13.20999999999998</v>
      </c>
      <c r="F642" s="3">
        <v>157.39999999999952</v>
      </c>
      <c r="G642" s="3">
        <v>17340.099999999999</v>
      </c>
      <c r="H642" s="3">
        <f t="shared" si="10"/>
        <v>17497.499999999996</v>
      </c>
      <c r="I642" s="3"/>
      <c r="J642" s="3"/>
      <c r="K642" s="3"/>
    </row>
    <row r="643" spans="1:11">
      <c r="A643" s="3">
        <v>43221</v>
      </c>
      <c r="B643" s="3">
        <v>299.92</v>
      </c>
      <c r="C643" s="4" cm="1">
        <f t="array" aca="1" ref="C643" ca="1">$B643-INDIRECT(ADDRESS(ROW()-C$2,2))</f>
        <v>9.6800000000000068</v>
      </c>
      <c r="D643" s="4" cm="1">
        <f t="array" aca="1" ref="D643" ca="1">$B643-INDIRECT(ADDRESS(ROW()-D$2,2))</f>
        <v>16.460000000000036</v>
      </c>
      <c r="E643" s="4" cm="1">
        <f t="array" aca="1" ref="E643" ca="1">$B643-INDIRECT(ADDRESS(ROW()-E$2,2))</f>
        <v>14.439999999999998</v>
      </c>
      <c r="F643" s="3">
        <v>157.39999999999952</v>
      </c>
      <c r="G643" s="3">
        <v>17695.280000000002</v>
      </c>
      <c r="H643" s="3">
        <f t="shared" si="10"/>
        <v>17852.68</v>
      </c>
      <c r="I643" s="3"/>
      <c r="J643" s="3"/>
      <c r="K643" s="3"/>
    </row>
    <row r="644" spans="1:11">
      <c r="A644" s="3">
        <v>43222</v>
      </c>
      <c r="B644" s="3">
        <v>301.14999999999998</v>
      </c>
      <c r="C644" s="4" cm="1">
        <f t="array" aca="1" ref="C644" ca="1">$B644-INDIRECT(ADDRESS(ROW()-C$2,2))</f>
        <v>17.779999999999973</v>
      </c>
      <c r="D644" s="4" cm="1">
        <f t="array" aca="1" ref="D644" ca="1">$B644-INDIRECT(ADDRESS(ROW()-D$2,2))</f>
        <v>20.45999999999998</v>
      </c>
      <c r="E644" s="4" cm="1">
        <f t="array" aca="1" ref="E644" ca="1">$B644-INDIRECT(ADDRESS(ROW()-E$2,2))</f>
        <v>7.0749999999999886</v>
      </c>
      <c r="F644" s="3">
        <v>157.39999999999952</v>
      </c>
      <c r="G644" s="3">
        <v>17767.849999999999</v>
      </c>
      <c r="H644" s="3">
        <f t="shared" si="10"/>
        <v>17925.249999999996</v>
      </c>
      <c r="I644" s="3"/>
      <c r="J644" s="3"/>
      <c r="K644" s="3"/>
    </row>
    <row r="645" spans="1:11">
      <c r="A645" s="3">
        <v>43223</v>
      </c>
      <c r="B645" s="3">
        <v>284.45</v>
      </c>
      <c r="C645" s="4" cm="1">
        <f t="array" aca="1" ref="C645" ca="1">$B645-INDIRECT(ADDRESS(ROW()-C$2,2))</f>
        <v>0.99000000000000909</v>
      </c>
      <c r="D645" s="4" cm="1">
        <f t="array" aca="1" ref="D645" ca="1">$B645-INDIRECT(ADDRESS(ROW()-D$2,2))</f>
        <v>-1.0300000000000296</v>
      </c>
      <c r="E645" s="4" cm="1">
        <f t="array" aca="1" ref="E645" ca="1">$B645-INDIRECT(ADDRESS(ROW()-E$2,2))</f>
        <v>-9.4499999999999886</v>
      </c>
      <c r="F645" s="3">
        <v>16939.949999999997</v>
      </c>
      <c r="G645" s="3">
        <v>0</v>
      </c>
      <c r="H645" s="3">
        <f t="shared" si="10"/>
        <v>16939.949999999997</v>
      </c>
      <c r="I645" s="3"/>
      <c r="J645" s="3"/>
      <c r="K645" s="3"/>
    </row>
    <row r="646" spans="1:11">
      <c r="A646" s="3">
        <v>43224</v>
      </c>
      <c r="B646" s="3">
        <v>294.08999999999997</v>
      </c>
      <c r="C646" s="4" cm="1">
        <f t="array" aca="1" ref="C646" ca="1">$B646-INDIRECT(ADDRESS(ROW()-C$2,2))</f>
        <v>13.399999999999977</v>
      </c>
      <c r="D646" s="4" cm="1">
        <f t="array" aca="1" ref="D646" ca="1">$B646-INDIRECT(ADDRESS(ROW()-D$2,2))</f>
        <v>1.4999999999986358E-2</v>
      </c>
      <c r="E646" s="4" cm="1">
        <f t="array" aca="1" ref="E646" ca="1">$B646-INDIRECT(ADDRESS(ROW()-E$2,2))</f>
        <v>-5.8300000000000409</v>
      </c>
      <c r="F646" s="3">
        <v>16939.949999999997</v>
      </c>
      <c r="G646" s="3">
        <v>0</v>
      </c>
      <c r="H646" s="3">
        <f t="shared" si="10"/>
        <v>16939.949999999997</v>
      </c>
      <c r="I646" s="3"/>
      <c r="J646" s="3"/>
      <c r="K646" s="3"/>
    </row>
    <row r="647" spans="1:11">
      <c r="A647" s="3">
        <v>43227</v>
      </c>
      <c r="B647" s="3">
        <v>302.77</v>
      </c>
      <c r="C647" s="4" cm="1">
        <f t="array" aca="1" ref="C647" ca="1">$B647-INDIRECT(ADDRESS(ROW()-C$2,2))</f>
        <v>17.289999999999964</v>
      </c>
      <c r="D647" s="4" cm="1">
        <f t="array" aca="1" ref="D647" ca="1">$B647-INDIRECT(ADDRESS(ROW()-D$2,2))</f>
        <v>8.8700000000000045</v>
      </c>
      <c r="E647" s="4" cm="1">
        <f t="array" aca="1" ref="E647" ca="1">$B647-INDIRECT(ADDRESS(ROW()-E$2,2))</f>
        <v>1.6200000000000045</v>
      </c>
      <c r="F647" s="3">
        <v>16939.949999999997</v>
      </c>
      <c r="G647" s="3">
        <v>0</v>
      </c>
      <c r="H647" s="3">
        <f t="shared" si="10"/>
        <v>16939.949999999997</v>
      </c>
      <c r="I647" s="3"/>
      <c r="J647" s="3"/>
      <c r="K647" s="3"/>
    </row>
    <row r="648" spans="1:11">
      <c r="A648" s="3">
        <v>43228</v>
      </c>
      <c r="B648" s="3">
        <v>301.97000000000003</v>
      </c>
      <c r="C648" s="4" cm="1">
        <f t="array" aca="1" ref="C648" ca="1">$B648-INDIRECT(ADDRESS(ROW()-C$2,2))</f>
        <v>7.8950000000000387</v>
      </c>
      <c r="D648" s="4" cm="1">
        <f t="array" aca="1" ref="D648" ca="1">$B648-INDIRECT(ADDRESS(ROW()-D$2,2))</f>
        <v>2.0500000000000114</v>
      </c>
      <c r="E648" s="4" cm="1">
        <f t="array" aca="1" ref="E648" ca="1">$B648-INDIRECT(ADDRESS(ROW()-E$2,2))</f>
        <v>17.520000000000039</v>
      </c>
      <c r="F648" s="3">
        <v>16939.949999999997</v>
      </c>
      <c r="G648" s="3">
        <v>0</v>
      </c>
      <c r="H648" s="3">
        <f t="shared" si="10"/>
        <v>16939.949999999997</v>
      </c>
      <c r="I648" s="3"/>
      <c r="J648" s="3"/>
      <c r="K648" s="3"/>
    </row>
    <row r="649" spans="1:11">
      <c r="A649" s="3">
        <v>43229</v>
      </c>
      <c r="B649" s="3">
        <v>306.85000000000002</v>
      </c>
      <c r="C649" s="4" cm="1">
        <f t="array" aca="1" ref="C649" ca="1">$B649-INDIRECT(ADDRESS(ROW()-C$2,2))</f>
        <v>12.950000000000045</v>
      </c>
      <c r="D649" s="4" cm="1">
        <f t="array" aca="1" ref="D649" ca="1">$B649-INDIRECT(ADDRESS(ROW()-D$2,2))</f>
        <v>5.7000000000000455</v>
      </c>
      <c r="E649" s="4" cm="1">
        <f t="array" aca="1" ref="E649" ca="1">$B649-INDIRECT(ADDRESS(ROW()-E$2,2))</f>
        <v>12.760000000000048</v>
      </c>
      <c r="F649" s="3">
        <v>16939.949999999997</v>
      </c>
      <c r="G649" s="3">
        <v>0</v>
      </c>
      <c r="H649" s="3">
        <f t="shared" si="10"/>
        <v>16939.949999999997</v>
      </c>
      <c r="I649" s="3"/>
      <c r="J649" s="3"/>
      <c r="K649" s="3"/>
    </row>
    <row r="650" spans="1:11">
      <c r="A650" s="3">
        <v>43230</v>
      </c>
      <c r="B650" s="3">
        <v>305.02</v>
      </c>
      <c r="C650" s="4" cm="1">
        <f t="array" aca="1" ref="C650" ca="1">$B650-INDIRECT(ADDRESS(ROW()-C$2,2))</f>
        <v>5.0999999999999659</v>
      </c>
      <c r="D650" s="4" cm="1">
        <f t="array" aca="1" ref="D650" ca="1">$B650-INDIRECT(ADDRESS(ROW()-D$2,2))</f>
        <v>20.569999999999993</v>
      </c>
      <c r="E650" s="4" cm="1">
        <f t="array" aca="1" ref="E650" ca="1">$B650-INDIRECT(ADDRESS(ROW()-E$2,2))</f>
        <v>2.25</v>
      </c>
      <c r="F650" s="3">
        <v>16939.949999999997</v>
      </c>
      <c r="G650" s="3">
        <v>0</v>
      </c>
      <c r="H650" s="3">
        <f t="shared" si="10"/>
        <v>16939.949999999997</v>
      </c>
      <c r="I650" s="3"/>
      <c r="J650" s="3"/>
      <c r="K650" s="3"/>
    </row>
    <row r="651" spans="1:11">
      <c r="A651" s="3">
        <v>43231</v>
      </c>
      <c r="B651" s="3">
        <v>301.06</v>
      </c>
      <c r="C651" s="4" cm="1">
        <f t="array" aca="1" ref="C651" ca="1">$B651-INDIRECT(ADDRESS(ROW()-C$2,2))</f>
        <v>-8.9999999999974989E-2</v>
      </c>
      <c r="D651" s="4" cm="1">
        <f t="array" aca="1" ref="D651" ca="1">$B651-INDIRECT(ADDRESS(ROW()-D$2,2))</f>
        <v>6.9700000000000273</v>
      </c>
      <c r="E651" s="4" cm="1">
        <f t="array" aca="1" ref="E651" ca="1">$B651-INDIRECT(ADDRESS(ROW()-E$2,2))</f>
        <v>-0.91000000000002501</v>
      </c>
      <c r="F651" s="3">
        <v>16939.949999999997</v>
      </c>
      <c r="G651" s="3">
        <v>0</v>
      </c>
      <c r="H651" s="3">
        <f t="shared" si="10"/>
        <v>16939.949999999997</v>
      </c>
      <c r="I651" s="3"/>
      <c r="J651" s="3"/>
      <c r="K651" s="3"/>
    </row>
    <row r="652" spans="1:11">
      <c r="A652" s="3">
        <v>43234</v>
      </c>
      <c r="B652" s="3">
        <v>291.97000000000003</v>
      </c>
      <c r="C652" s="4" cm="1">
        <f t="array" aca="1" ref="C652" ca="1">$B652-INDIRECT(ADDRESS(ROW()-C$2,2))</f>
        <v>7.5200000000000387</v>
      </c>
      <c r="D652" s="4" cm="1">
        <f t="array" aca="1" ref="D652" ca="1">$B652-INDIRECT(ADDRESS(ROW()-D$2,2))</f>
        <v>-10.799999999999955</v>
      </c>
      <c r="E652" s="4" cm="1">
        <f t="array" aca="1" ref="E652" ca="1">$B652-INDIRECT(ADDRESS(ROW()-E$2,2))</f>
        <v>-14.879999999999995</v>
      </c>
      <c r="F652" s="3">
        <v>16939.949999999997</v>
      </c>
      <c r="G652" s="3">
        <v>0</v>
      </c>
      <c r="H652" s="3">
        <f t="shared" si="10"/>
        <v>16939.949999999997</v>
      </c>
      <c r="I652" s="3"/>
      <c r="J652" s="3"/>
      <c r="K652" s="3"/>
    </row>
    <row r="653" spans="1:11">
      <c r="A653" s="3">
        <v>43235</v>
      </c>
      <c r="B653" s="3">
        <v>284.18</v>
      </c>
      <c r="C653" s="4" cm="1">
        <f t="array" aca="1" ref="C653" ca="1">$B653-INDIRECT(ADDRESS(ROW()-C$2,2))</f>
        <v>-9.9099999999999682</v>
      </c>
      <c r="D653" s="4" cm="1">
        <f t="array" aca="1" ref="D653" ca="1">$B653-INDIRECT(ADDRESS(ROW()-D$2,2))</f>
        <v>-17.79000000000002</v>
      </c>
      <c r="E653" s="4" cm="1">
        <f t="array" aca="1" ref="E653" ca="1">$B653-INDIRECT(ADDRESS(ROW()-E$2,2))</f>
        <v>-20.839999999999975</v>
      </c>
      <c r="F653" s="3">
        <v>16939.949999999997</v>
      </c>
      <c r="G653" s="3">
        <v>0</v>
      </c>
      <c r="H653" s="3">
        <f t="shared" si="10"/>
        <v>16939.949999999997</v>
      </c>
      <c r="I653" s="3"/>
      <c r="J653" s="3"/>
      <c r="K653" s="3"/>
    </row>
    <row r="654" spans="1:11">
      <c r="A654" s="3">
        <v>43236</v>
      </c>
      <c r="B654" s="3">
        <v>286.48</v>
      </c>
      <c r="C654" s="4" cm="1">
        <f t="array" aca="1" ref="C654" ca="1">$B654-INDIRECT(ADDRESS(ROW()-C$2,2))</f>
        <v>-16.289999999999964</v>
      </c>
      <c r="D654" s="4" cm="1">
        <f t="array" aca="1" ref="D654" ca="1">$B654-INDIRECT(ADDRESS(ROW()-D$2,2))</f>
        <v>-20.370000000000005</v>
      </c>
      <c r="E654" s="4" cm="1">
        <f t="array" aca="1" ref="E654" ca="1">$B654-INDIRECT(ADDRESS(ROW()-E$2,2))</f>
        <v>-14.579999999999984</v>
      </c>
      <c r="F654" s="3">
        <v>16939.949999999997</v>
      </c>
      <c r="G654" s="3">
        <v>0</v>
      </c>
      <c r="H654" s="3">
        <f t="shared" si="10"/>
        <v>16939.949999999997</v>
      </c>
      <c r="I654" s="3"/>
      <c r="J654" s="3"/>
      <c r="K654" s="3"/>
    </row>
    <row r="655" spans="1:11">
      <c r="A655" s="3">
        <v>43237</v>
      </c>
      <c r="B655" s="3">
        <v>284.54000000000002</v>
      </c>
      <c r="C655" s="4" cm="1">
        <f t="array" aca="1" ref="C655" ca="1">$B655-INDIRECT(ADDRESS(ROW()-C$2,2))</f>
        <v>-17.430000000000007</v>
      </c>
      <c r="D655" s="4" cm="1">
        <f t="array" aca="1" ref="D655" ca="1">$B655-INDIRECT(ADDRESS(ROW()-D$2,2))</f>
        <v>-20.479999999999961</v>
      </c>
      <c r="E655" s="4" cm="1">
        <f t="array" aca="1" ref="E655" ca="1">$B655-INDIRECT(ADDRESS(ROW()-E$2,2))</f>
        <v>-7.4300000000000068</v>
      </c>
      <c r="F655" s="3">
        <v>16939.949999999997</v>
      </c>
      <c r="G655" s="3">
        <v>0</v>
      </c>
      <c r="H655" s="3">
        <f t="shared" si="10"/>
        <v>16939.949999999997</v>
      </c>
      <c r="I655" s="3"/>
      <c r="J655" s="3"/>
      <c r="K655" s="3"/>
    </row>
    <row r="656" spans="1:11">
      <c r="A656" s="3">
        <v>43238</v>
      </c>
      <c r="B656" s="3">
        <v>276.82</v>
      </c>
      <c r="C656" s="4" cm="1">
        <f t="array" aca="1" ref="C656" ca="1">$B656-INDIRECT(ADDRESS(ROW()-C$2,2))</f>
        <v>-30.03000000000003</v>
      </c>
      <c r="D656" s="4" cm="1">
        <f t="array" aca="1" ref="D656" ca="1">$B656-INDIRECT(ADDRESS(ROW()-D$2,2))</f>
        <v>-24.240000000000009</v>
      </c>
      <c r="E656" s="4" cm="1">
        <f t="array" aca="1" ref="E656" ca="1">$B656-INDIRECT(ADDRESS(ROW()-E$2,2))</f>
        <v>-7.3600000000000136</v>
      </c>
      <c r="F656" s="3">
        <v>16939.949999999997</v>
      </c>
      <c r="G656" s="3">
        <v>0</v>
      </c>
      <c r="H656" s="3">
        <f t="shared" si="10"/>
        <v>16939.949999999997</v>
      </c>
      <c r="I656" s="3"/>
      <c r="J656" s="3"/>
      <c r="K656" s="3"/>
    </row>
    <row r="657" spans="1:11">
      <c r="A657" s="3">
        <v>43241</v>
      </c>
      <c r="B657" s="3">
        <v>284.49</v>
      </c>
      <c r="C657" s="4" cm="1">
        <f t="array" aca="1" ref="C657" ca="1">$B657-INDIRECT(ADDRESS(ROW()-C$2,2))</f>
        <v>-20.529999999999973</v>
      </c>
      <c r="D657" s="4" cm="1">
        <f t="array" aca="1" ref="D657" ca="1">$B657-INDIRECT(ADDRESS(ROW()-D$2,2))</f>
        <v>-7.4800000000000182</v>
      </c>
      <c r="E657" s="4" cm="1">
        <f t="array" aca="1" ref="E657" ca="1">$B657-INDIRECT(ADDRESS(ROW()-E$2,2))</f>
        <v>-1.9900000000000091</v>
      </c>
      <c r="F657" s="3">
        <v>16939.949999999997</v>
      </c>
      <c r="G657" s="3">
        <v>0</v>
      </c>
      <c r="H657" s="3">
        <f t="shared" si="10"/>
        <v>16939.949999999997</v>
      </c>
      <c r="I657" s="3"/>
      <c r="J657" s="3"/>
      <c r="K657" s="3"/>
    </row>
    <row r="658" spans="1:11">
      <c r="A658" s="3">
        <v>43242</v>
      </c>
      <c r="B658" s="3">
        <v>275.01</v>
      </c>
      <c r="C658" s="4" cm="1">
        <f t="array" aca="1" ref="C658" ca="1">$B658-INDIRECT(ADDRESS(ROW()-C$2,2))</f>
        <v>-26.050000000000011</v>
      </c>
      <c r="D658" s="4" cm="1">
        <f t="array" aca="1" ref="D658" ca="1">$B658-INDIRECT(ADDRESS(ROW()-D$2,2))</f>
        <v>-9.1700000000000159</v>
      </c>
      <c r="E658" s="4" cm="1">
        <f t="array" aca="1" ref="E658" ca="1">$B658-INDIRECT(ADDRESS(ROW()-E$2,2))</f>
        <v>-9.5300000000000296</v>
      </c>
      <c r="F658" s="3">
        <v>16939.949999999997</v>
      </c>
      <c r="G658" s="3">
        <v>0</v>
      </c>
      <c r="H658" s="3">
        <f t="shared" si="10"/>
        <v>16939.949999999997</v>
      </c>
      <c r="I658" s="3"/>
      <c r="J658" s="3"/>
      <c r="K658" s="3"/>
    </row>
    <row r="659" spans="1:11">
      <c r="A659" s="3">
        <v>43243</v>
      </c>
      <c r="B659" s="3">
        <v>279.07</v>
      </c>
      <c r="C659" s="4" cm="1">
        <f t="array" aca="1" ref="C659" ca="1">$B659-INDIRECT(ADDRESS(ROW()-C$2,2))</f>
        <v>-12.900000000000034</v>
      </c>
      <c r="D659" s="4" cm="1">
        <f t="array" aca="1" ref="D659" ca="1">$B659-INDIRECT(ADDRESS(ROW()-D$2,2))</f>
        <v>-7.410000000000025</v>
      </c>
      <c r="E659" s="4" cm="1">
        <f t="array" aca="1" ref="E659" ca="1">$B659-INDIRECT(ADDRESS(ROW()-E$2,2))</f>
        <v>2.25</v>
      </c>
      <c r="F659" s="3">
        <v>16939.949999999997</v>
      </c>
      <c r="G659" s="3">
        <v>0</v>
      </c>
      <c r="H659" s="3">
        <f t="shared" si="10"/>
        <v>16939.949999999997</v>
      </c>
      <c r="I659" s="3"/>
      <c r="J659" s="3"/>
      <c r="K659" s="3"/>
    </row>
    <row r="660" spans="1:11">
      <c r="A660" s="3">
        <v>43244</v>
      </c>
      <c r="B660" s="3">
        <v>277.85000000000002</v>
      </c>
      <c r="C660" s="4" cm="1">
        <f t="array" aca="1" ref="C660" ca="1">$B660-INDIRECT(ADDRESS(ROW()-C$2,2))</f>
        <v>-6.3299999999999841</v>
      </c>
      <c r="D660" s="4" cm="1">
        <f t="array" aca="1" ref="D660" ca="1">$B660-INDIRECT(ADDRESS(ROW()-D$2,2))</f>
        <v>-6.6899999999999977</v>
      </c>
      <c r="E660" s="4" cm="1">
        <f t="array" aca="1" ref="E660" ca="1">$B660-INDIRECT(ADDRESS(ROW()-E$2,2))</f>
        <v>-6.6399999999999864</v>
      </c>
      <c r="F660" s="3">
        <v>16939.949999999997</v>
      </c>
      <c r="G660" s="3">
        <v>0</v>
      </c>
      <c r="H660" s="3">
        <f t="shared" si="10"/>
        <v>16939.949999999997</v>
      </c>
      <c r="I660" s="3"/>
      <c r="J660" s="3"/>
      <c r="K660" s="3"/>
    </row>
    <row r="661" spans="1:11">
      <c r="A661" s="3">
        <v>43245</v>
      </c>
      <c r="B661" s="3">
        <v>278.85000000000002</v>
      </c>
      <c r="C661" s="4" cm="1">
        <f t="array" aca="1" ref="C661" ca="1">$B661-INDIRECT(ADDRESS(ROW()-C$2,2))</f>
        <v>-7.6299999999999955</v>
      </c>
      <c r="D661" s="4" cm="1">
        <f t="array" aca="1" ref="D661" ca="1">$B661-INDIRECT(ADDRESS(ROW()-D$2,2))</f>
        <v>2.0300000000000296</v>
      </c>
      <c r="E661" s="4" cm="1">
        <f t="array" aca="1" ref="E661" ca="1">$B661-INDIRECT(ADDRESS(ROW()-E$2,2))</f>
        <v>3.8400000000000318</v>
      </c>
      <c r="F661" s="3">
        <v>208.94999999998311</v>
      </c>
      <c r="G661" s="3">
        <v>16731</v>
      </c>
      <c r="H661" s="3">
        <f t="shared" si="10"/>
        <v>16939.949999999983</v>
      </c>
      <c r="I661" s="3"/>
      <c r="J661" s="3"/>
      <c r="K661" s="3"/>
    </row>
    <row r="662" spans="1:11">
      <c r="A662" s="3">
        <v>43249</v>
      </c>
      <c r="B662" s="3">
        <v>283.76</v>
      </c>
      <c r="C662" s="4" cm="1">
        <f t="array" aca="1" ref="C662" ca="1">$B662-INDIRECT(ADDRESS(ROW()-C$2,2))</f>
        <v>-0.78000000000002956</v>
      </c>
      <c r="D662" s="4" cm="1">
        <f t="array" aca="1" ref="D662" ca="1">$B662-INDIRECT(ADDRESS(ROW()-D$2,2))</f>
        <v>-0.73000000000001819</v>
      </c>
      <c r="E662" s="4" cm="1">
        <f t="array" aca="1" ref="E662" ca="1">$B662-INDIRECT(ADDRESS(ROW()-E$2,2))</f>
        <v>4.6899999999999977</v>
      </c>
      <c r="F662" s="3">
        <v>208.94999999998311</v>
      </c>
      <c r="G662" s="3">
        <v>17025.599999999999</v>
      </c>
      <c r="H662" s="3">
        <f t="shared" si="10"/>
        <v>17234.549999999981</v>
      </c>
      <c r="I662" s="3"/>
      <c r="J662" s="3"/>
      <c r="K662" s="3"/>
    </row>
    <row r="663" spans="1:11">
      <c r="A663" s="3">
        <v>43250</v>
      </c>
      <c r="B663" s="3">
        <v>291.72000000000003</v>
      </c>
      <c r="C663" s="4" cm="1">
        <f t="array" aca="1" ref="C663" ca="1">$B663-INDIRECT(ADDRESS(ROW()-C$2,2))</f>
        <v>14.900000000000034</v>
      </c>
      <c r="D663" s="4" cm="1">
        <f t="array" aca="1" ref="D663" ca="1">$B663-INDIRECT(ADDRESS(ROW()-D$2,2))</f>
        <v>16.710000000000036</v>
      </c>
      <c r="E663" s="4" cm="1">
        <f t="array" aca="1" ref="E663" ca="1">$B663-INDIRECT(ADDRESS(ROW()-E$2,2))</f>
        <v>13.870000000000005</v>
      </c>
      <c r="F663" s="3">
        <v>208.94999999998311</v>
      </c>
      <c r="G663" s="3">
        <v>17503.2</v>
      </c>
      <c r="H663" s="3">
        <f t="shared" si="10"/>
        <v>17712.149999999983</v>
      </c>
      <c r="I663" s="3"/>
      <c r="J663" s="3"/>
      <c r="K663" s="3"/>
    </row>
    <row r="664" spans="1:11">
      <c r="A664" s="3">
        <v>43251</v>
      </c>
      <c r="B664" s="3">
        <v>284.73</v>
      </c>
      <c r="C664" s="4" cm="1">
        <f t="array" aca="1" ref="C664" ca="1">$B664-INDIRECT(ADDRESS(ROW()-C$2,2))</f>
        <v>0.24000000000000909</v>
      </c>
      <c r="D664" s="4" cm="1">
        <f t="array" aca="1" ref="D664" ca="1">$B664-INDIRECT(ADDRESS(ROW()-D$2,2))</f>
        <v>5.660000000000025</v>
      </c>
      <c r="E664" s="4" cm="1">
        <f t="array" aca="1" ref="E664" ca="1">$B664-INDIRECT(ADDRESS(ROW()-E$2,2))</f>
        <v>5.8799999999999955</v>
      </c>
      <c r="F664" s="3">
        <v>208.94999999998311</v>
      </c>
      <c r="G664" s="3">
        <v>17083.800000000003</v>
      </c>
      <c r="H664" s="3">
        <f t="shared" si="10"/>
        <v>17292.749999999985</v>
      </c>
      <c r="I664" s="3"/>
      <c r="J664" s="3"/>
      <c r="K664" s="3"/>
    </row>
    <row r="665" spans="1:11">
      <c r="A665" s="3">
        <v>43252</v>
      </c>
      <c r="B665" s="3">
        <v>291.82</v>
      </c>
      <c r="C665" s="4" cm="1">
        <f t="array" aca="1" ref="C665" ca="1">$B665-INDIRECT(ADDRESS(ROW()-C$2,2))</f>
        <v>16.810000000000002</v>
      </c>
      <c r="D665" s="4" cm="1">
        <f t="array" aca="1" ref="D665" ca="1">$B665-INDIRECT(ADDRESS(ROW()-D$2,2))</f>
        <v>13.96999999999997</v>
      </c>
      <c r="E665" s="4" cm="1">
        <f t="array" aca="1" ref="E665" ca="1">$B665-INDIRECT(ADDRESS(ROW()-E$2,2))</f>
        <v>8.0600000000000023</v>
      </c>
      <c r="F665" s="3">
        <v>208.94999999998311</v>
      </c>
      <c r="G665" s="3">
        <v>17509.2</v>
      </c>
      <c r="H665" s="3">
        <f t="shared" si="10"/>
        <v>17718.149999999983</v>
      </c>
      <c r="I665" s="3"/>
      <c r="J665" s="3"/>
      <c r="K665" s="3"/>
    </row>
    <row r="666" spans="1:11">
      <c r="A666" s="3">
        <v>43255</v>
      </c>
      <c r="B666" s="3">
        <v>296.74</v>
      </c>
      <c r="C666" s="4" cm="1">
        <f t="array" aca="1" ref="C666" ca="1">$B666-INDIRECT(ADDRESS(ROW()-C$2,2))</f>
        <v>17.670000000000016</v>
      </c>
      <c r="D666" s="4" cm="1">
        <f t="array" aca="1" ref="D666" ca="1">$B666-INDIRECT(ADDRESS(ROW()-D$2,2))</f>
        <v>17.889999999999986</v>
      </c>
      <c r="E666" s="4" cm="1">
        <f t="array" aca="1" ref="E666" ca="1">$B666-INDIRECT(ADDRESS(ROW()-E$2,2))</f>
        <v>5.0199999999999818</v>
      </c>
      <c r="F666" s="3">
        <v>208.94999999998311</v>
      </c>
      <c r="G666" s="3">
        <v>17804.400000000001</v>
      </c>
      <c r="H666" s="3">
        <f t="shared" si="10"/>
        <v>18013.349999999984</v>
      </c>
      <c r="I666" s="3"/>
      <c r="J666" s="3"/>
      <c r="K666" s="3"/>
    </row>
    <row r="667" spans="1:11">
      <c r="A667" s="3">
        <v>43256</v>
      </c>
      <c r="B667" s="3">
        <v>291.13</v>
      </c>
      <c r="C667" s="4" cm="1">
        <f t="array" aca="1" ref="C667" ca="1">$B667-INDIRECT(ADDRESS(ROW()-C$2,2))</f>
        <v>13.279999999999973</v>
      </c>
      <c r="D667" s="4" cm="1">
        <f t="array" aca="1" ref="D667" ca="1">$B667-INDIRECT(ADDRESS(ROW()-D$2,2))</f>
        <v>7.3700000000000045</v>
      </c>
      <c r="E667" s="4" cm="1">
        <f t="array" aca="1" ref="E667" ca="1">$B667-INDIRECT(ADDRESS(ROW()-E$2,2))</f>
        <v>6.3999999999999773</v>
      </c>
      <c r="F667" s="3">
        <v>208.94999999998311</v>
      </c>
      <c r="G667" s="3">
        <v>17467.8</v>
      </c>
      <c r="H667" s="3">
        <f t="shared" si="10"/>
        <v>17676.749999999982</v>
      </c>
      <c r="I667" s="3"/>
      <c r="J667" s="3"/>
      <c r="K667" s="3"/>
    </row>
    <row r="668" spans="1:11">
      <c r="A668" s="3">
        <v>43257</v>
      </c>
      <c r="B668" s="3">
        <v>319.5</v>
      </c>
      <c r="C668" s="4" cm="1">
        <f t="array" aca="1" ref="C668" ca="1">$B668-INDIRECT(ADDRESS(ROW()-C$2,2))</f>
        <v>40.649999999999977</v>
      </c>
      <c r="D668" s="4" cm="1">
        <f t="array" aca="1" ref="D668" ca="1">$B668-INDIRECT(ADDRESS(ROW()-D$2,2))</f>
        <v>27.779999999999973</v>
      </c>
      <c r="E668" s="4" cm="1">
        <f t="array" aca="1" ref="E668" ca="1">$B668-INDIRECT(ADDRESS(ROW()-E$2,2))</f>
        <v>27.680000000000007</v>
      </c>
      <c r="F668" s="3">
        <v>208.94999999998311</v>
      </c>
      <c r="G668" s="3">
        <v>19170</v>
      </c>
      <c r="H668" s="3">
        <f t="shared" si="10"/>
        <v>19378.949999999983</v>
      </c>
      <c r="I668" s="3"/>
      <c r="J668" s="3"/>
      <c r="K668" s="3"/>
    </row>
    <row r="669" spans="1:11">
      <c r="A669" s="3">
        <v>43258</v>
      </c>
      <c r="B669" s="3">
        <v>316.08999999999997</v>
      </c>
      <c r="C669" s="4" cm="1">
        <f t="array" aca="1" ref="C669" ca="1">$B669-INDIRECT(ADDRESS(ROW()-C$2,2))</f>
        <v>32.329999999999984</v>
      </c>
      <c r="D669" s="4" cm="1">
        <f t="array" aca="1" ref="D669" ca="1">$B669-INDIRECT(ADDRESS(ROW()-D$2,2))</f>
        <v>31.359999999999957</v>
      </c>
      <c r="E669" s="4" cm="1">
        <f t="array" aca="1" ref="E669" ca="1">$B669-INDIRECT(ADDRESS(ROW()-E$2,2))</f>
        <v>19.349999999999966</v>
      </c>
      <c r="F669" s="3">
        <v>208.94999999998311</v>
      </c>
      <c r="G669" s="3">
        <v>18965.399999999998</v>
      </c>
      <c r="H669" s="3">
        <f t="shared" si="10"/>
        <v>19174.34999999998</v>
      </c>
      <c r="I669" s="3"/>
      <c r="J669" s="3"/>
      <c r="K669" s="3"/>
    </row>
    <row r="670" spans="1:11">
      <c r="A670" s="3">
        <v>43259</v>
      </c>
      <c r="B670" s="3">
        <v>317.66000000000003</v>
      </c>
      <c r="C670" s="4" cm="1">
        <f t="array" aca="1" ref="C670" ca="1">$B670-INDIRECT(ADDRESS(ROW()-C$2,2))</f>
        <v>25.939999999999998</v>
      </c>
      <c r="D670" s="4" cm="1">
        <f t="array" aca="1" ref="D670" ca="1">$B670-INDIRECT(ADDRESS(ROW()-D$2,2))</f>
        <v>25.840000000000032</v>
      </c>
      <c r="E670" s="4" cm="1">
        <f t="array" aca="1" ref="E670" ca="1">$B670-INDIRECT(ADDRESS(ROW()-E$2,2))</f>
        <v>26.53000000000003</v>
      </c>
      <c r="F670" s="3">
        <v>208.94999999998311</v>
      </c>
      <c r="G670" s="3">
        <v>19059.600000000002</v>
      </c>
      <c r="H670" s="3">
        <f t="shared" si="10"/>
        <v>19268.549999999985</v>
      </c>
      <c r="I670" s="3"/>
      <c r="J670" s="3"/>
      <c r="K670" s="3"/>
    </row>
    <row r="671" spans="1:11">
      <c r="A671" s="3">
        <v>43262</v>
      </c>
      <c r="B671" s="3">
        <v>332.1</v>
      </c>
      <c r="C671" s="4" cm="1">
        <f t="array" aca="1" ref="C671" ca="1">$B671-INDIRECT(ADDRESS(ROW()-C$2,2))</f>
        <v>47.370000000000005</v>
      </c>
      <c r="D671" s="4" cm="1">
        <f t="array" aca="1" ref="D671" ca="1">$B671-INDIRECT(ADDRESS(ROW()-D$2,2))</f>
        <v>35.360000000000014</v>
      </c>
      <c r="E671" s="4" cm="1">
        <f t="array" aca="1" ref="E671" ca="1">$B671-INDIRECT(ADDRESS(ROW()-E$2,2))</f>
        <v>12.600000000000023</v>
      </c>
      <c r="F671" s="3">
        <v>208.94999999998311</v>
      </c>
      <c r="G671" s="3">
        <v>19926</v>
      </c>
      <c r="H671" s="3">
        <f t="shared" si="10"/>
        <v>20134.949999999983</v>
      </c>
      <c r="I671" s="3"/>
      <c r="J671" s="3"/>
      <c r="K671" s="3"/>
    </row>
    <row r="672" spans="1:11">
      <c r="A672" s="3">
        <v>43263</v>
      </c>
      <c r="B672" s="3">
        <v>342.77</v>
      </c>
      <c r="C672" s="4" cm="1">
        <f t="array" aca="1" ref="C672" ca="1">$B672-INDIRECT(ADDRESS(ROW()-C$2,2))</f>
        <v>50.949999999999989</v>
      </c>
      <c r="D672" s="4" cm="1">
        <f t="array" aca="1" ref="D672" ca="1">$B672-INDIRECT(ADDRESS(ROW()-D$2,2))</f>
        <v>51.639999999999986</v>
      </c>
      <c r="E672" s="4" cm="1">
        <f t="array" aca="1" ref="E672" ca="1">$B672-INDIRECT(ADDRESS(ROW()-E$2,2))</f>
        <v>26.680000000000007</v>
      </c>
      <c r="F672" s="3">
        <v>208.94999999998311</v>
      </c>
      <c r="G672" s="3">
        <v>20566.199999999997</v>
      </c>
      <c r="H672" s="3">
        <f t="shared" si="10"/>
        <v>20775.14999999998</v>
      </c>
      <c r="I672" s="3"/>
      <c r="J672" s="3"/>
      <c r="K672" s="3"/>
    </row>
    <row r="673" spans="1:11">
      <c r="A673" s="3">
        <v>43264</v>
      </c>
      <c r="B673" s="3">
        <v>344.78</v>
      </c>
      <c r="C673" s="4" cm="1">
        <f t="array" aca="1" ref="C673" ca="1">$B673-INDIRECT(ADDRESS(ROW()-C$2,2))</f>
        <v>48.039999999999964</v>
      </c>
      <c r="D673" s="4" cm="1">
        <f t="array" aca="1" ref="D673" ca="1">$B673-INDIRECT(ADDRESS(ROW()-D$2,2))</f>
        <v>25.279999999999973</v>
      </c>
      <c r="E673" s="4" cm="1">
        <f t="array" aca="1" ref="E673" ca="1">$B673-INDIRECT(ADDRESS(ROW()-E$2,2))</f>
        <v>27.119999999999948</v>
      </c>
      <c r="F673" s="3">
        <v>208.94999999998311</v>
      </c>
      <c r="G673" s="3">
        <v>20686.8</v>
      </c>
      <c r="H673" s="3">
        <f t="shared" si="10"/>
        <v>20895.749999999982</v>
      </c>
      <c r="I673" s="3"/>
      <c r="J673" s="3"/>
      <c r="K673" s="3"/>
    </row>
    <row r="674" spans="1:11">
      <c r="A674" s="3">
        <v>43265</v>
      </c>
      <c r="B674" s="3">
        <v>357.72</v>
      </c>
      <c r="C674" s="4" cm="1">
        <f t="array" aca="1" ref="C674" ca="1">$B674-INDIRECT(ADDRESS(ROW()-C$2,2))</f>
        <v>66.590000000000032</v>
      </c>
      <c r="D674" s="4" cm="1">
        <f t="array" aca="1" ref="D674" ca="1">$B674-INDIRECT(ADDRESS(ROW()-D$2,2))</f>
        <v>41.630000000000052</v>
      </c>
      <c r="E674" s="4" cm="1">
        <f t="array" aca="1" ref="E674" ca="1">$B674-INDIRECT(ADDRESS(ROW()-E$2,2))</f>
        <v>25.620000000000005</v>
      </c>
      <c r="F674" s="3">
        <v>208.94999999998311</v>
      </c>
      <c r="G674" s="3">
        <v>21463.200000000001</v>
      </c>
      <c r="H674" s="3">
        <f t="shared" si="10"/>
        <v>21672.149999999983</v>
      </c>
      <c r="I674" s="3"/>
      <c r="J674" s="3"/>
      <c r="K674" s="3"/>
    </row>
    <row r="675" spans="1:11">
      <c r="A675" s="3">
        <v>43266</v>
      </c>
      <c r="B675" s="3">
        <v>358.17</v>
      </c>
      <c r="C675" s="4" cm="1">
        <f t="array" aca="1" ref="C675" ca="1">$B675-INDIRECT(ADDRESS(ROW()-C$2,2))</f>
        <v>38.670000000000016</v>
      </c>
      <c r="D675" s="4" cm="1">
        <f t="array" aca="1" ref="D675" ca="1">$B675-INDIRECT(ADDRESS(ROW()-D$2,2))</f>
        <v>40.509999999999991</v>
      </c>
      <c r="E675" s="4" cm="1">
        <f t="array" aca="1" ref="E675" ca="1">$B675-INDIRECT(ADDRESS(ROW()-E$2,2))</f>
        <v>15.400000000000034</v>
      </c>
      <c r="F675" s="3">
        <v>208.94999999998311</v>
      </c>
      <c r="G675" s="3">
        <v>21490.2</v>
      </c>
      <c r="H675" s="3">
        <f t="shared" si="10"/>
        <v>21699.149999999983</v>
      </c>
      <c r="I675" s="3"/>
      <c r="J675" s="3"/>
      <c r="K675" s="3"/>
    </row>
    <row r="676" spans="1:11">
      <c r="A676" s="3">
        <v>43269</v>
      </c>
      <c r="B676" s="3">
        <v>370.83</v>
      </c>
      <c r="C676" s="4" cm="1">
        <f t="array" aca="1" ref="C676" ca="1">$B676-INDIRECT(ADDRESS(ROW()-C$2,2))</f>
        <v>54.740000000000009</v>
      </c>
      <c r="D676" s="4" cm="1">
        <f t="array" aca="1" ref="D676" ca="1">$B676-INDIRECT(ADDRESS(ROW()-D$2,2))</f>
        <v>38.729999999999961</v>
      </c>
      <c r="E676" s="4" cm="1">
        <f t="array" aca="1" ref="E676" ca="1">$B676-INDIRECT(ADDRESS(ROW()-E$2,2))</f>
        <v>26.050000000000011</v>
      </c>
      <c r="F676" s="3">
        <v>208.94999999998311</v>
      </c>
      <c r="G676" s="3">
        <v>22249.8</v>
      </c>
      <c r="H676" s="3">
        <f t="shared" si="10"/>
        <v>22458.749999999982</v>
      </c>
      <c r="I676" s="3"/>
      <c r="J676" s="3"/>
      <c r="K676" s="3"/>
    </row>
    <row r="677" spans="1:11">
      <c r="A677" s="3">
        <v>43270</v>
      </c>
      <c r="B677" s="3">
        <v>352.55</v>
      </c>
      <c r="C677" s="4" cm="1">
        <f t="array" aca="1" ref="C677" ca="1">$B677-INDIRECT(ADDRESS(ROW()-C$2,2))</f>
        <v>34.889999999999986</v>
      </c>
      <c r="D677" s="4" cm="1">
        <f t="array" aca="1" ref="D677" ca="1">$B677-INDIRECT(ADDRESS(ROW()-D$2,2))</f>
        <v>9.7800000000000296</v>
      </c>
      <c r="E677" s="4" cm="1">
        <f t="array" aca="1" ref="E677" ca="1">$B677-INDIRECT(ADDRESS(ROW()-E$2,2))</f>
        <v>-5.1700000000000159</v>
      </c>
      <c r="F677" s="3">
        <v>208.94999999998311</v>
      </c>
      <c r="G677" s="3">
        <v>21153</v>
      </c>
      <c r="H677" s="3">
        <f t="shared" si="10"/>
        <v>21361.949999999983</v>
      </c>
      <c r="I677" s="3"/>
      <c r="J677" s="3"/>
      <c r="K677" s="3"/>
    </row>
    <row r="678" spans="1:11">
      <c r="A678" s="3">
        <v>43271</v>
      </c>
      <c r="B678" s="3">
        <v>362.22</v>
      </c>
      <c r="C678" s="4" cm="1">
        <f t="array" aca="1" ref="C678" ca="1">$B678-INDIRECT(ADDRESS(ROW()-C$2,2))</f>
        <v>30.120000000000005</v>
      </c>
      <c r="D678" s="4" cm="1">
        <f t="array" aca="1" ref="D678" ca="1">$B678-INDIRECT(ADDRESS(ROW()-D$2,2))</f>
        <v>17.440000000000055</v>
      </c>
      <c r="E678" s="4" cm="1">
        <f t="array" aca="1" ref="E678" ca="1">$B678-INDIRECT(ADDRESS(ROW()-E$2,2))</f>
        <v>4.0500000000000114</v>
      </c>
      <c r="F678" s="3">
        <v>208.94999999998311</v>
      </c>
      <c r="G678" s="3">
        <v>21733.200000000001</v>
      </c>
      <c r="H678" s="3">
        <f t="shared" si="10"/>
        <v>21942.149999999983</v>
      </c>
      <c r="I678" s="3"/>
      <c r="J678" s="3"/>
      <c r="K678" s="3"/>
    </row>
    <row r="679" spans="1:11">
      <c r="A679" s="3">
        <v>43272</v>
      </c>
      <c r="B679" s="3">
        <v>347.51</v>
      </c>
      <c r="C679" s="4" cm="1">
        <f t="array" aca="1" ref="C679" ca="1">$B679-INDIRECT(ADDRESS(ROW()-C$2,2))</f>
        <v>4.7400000000000091</v>
      </c>
      <c r="D679" s="4" cm="1">
        <f t="array" aca="1" ref="D679" ca="1">$B679-INDIRECT(ADDRESS(ROW()-D$2,2))</f>
        <v>-10.210000000000036</v>
      </c>
      <c r="E679" s="4" cm="1">
        <f t="array" aca="1" ref="E679" ca="1">$B679-INDIRECT(ADDRESS(ROW()-E$2,2))</f>
        <v>-23.319999999999993</v>
      </c>
      <c r="F679" s="3">
        <v>21059.549999999981</v>
      </c>
      <c r="G679" s="3">
        <v>0</v>
      </c>
      <c r="H679" s="3">
        <f t="shared" si="10"/>
        <v>21059.549999999981</v>
      </c>
      <c r="I679" s="3"/>
      <c r="J679" s="3"/>
      <c r="K679" s="3"/>
    </row>
    <row r="680" spans="1:11">
      <c r="A680" s="3">
        <v>43273</v>
      </c>
      <c r="B680" s="3">
        <v>333.63</v>
      </c>
      <c r="C680" s="4" cm="1">
        <f t="array" aca="1" ref="C680" ca="1">$B680-INDIRECT(ADDRESS(ROW()-C$2,2))</f>
        <v>-11.149999999999977</v>
      </c>
      <c r="D680" s="4" cm="1">
        <f t="array" aca="1" ref="D680" ca="1">$B680-INDIRECT(ADDRESS(ROW()-D$2,2))</f>
        <v>-24.54000000000002</v>
      </c>
      <c r="E680" s="4" cm="1">
        <f t="array" aca="1" ref="E680" ca="1">$B680-INDIRECT(ADDRESS(ROW()-E$2,2))</f>
        <v>-18.920000000000016</v>
      </c>
      <c r="F680" s="3">
        <v>21059.549999999981</v>
      </c>
      <c r="G680" s="3">
        <v>0</v>
      </c>
      <c r="H680" s="3">
        <f t="shared" si="10"/>
        <v>21059.549999999981</v>
      </c>
      <c r="I680" s="3"/>
      <c r="J680" s="3"/>
      <c r="K680" s="3"/>
    </row>
    <row r="681" spans="1:11">
      <c r="A681" s="3">
        <v>43276</v>
      </c>
      <c r="B681" s="3">
        <v>333.01</v>
      </c>
      <c r="C681" s="4" cm="1">
        <f t="array" aca="1" ref="C681" ca="1">$B681-INDIRECT(ADDRESS(ROW()-C$2,2))</f>
        <v>-24.710000000000036</v>
      </c>
      <c r="D681" s="4" cm="1">
        <f t="array" aca="1" ref="D681" ca="1">$B681-INDIRECT(ADDRESS(ROW()-D$2,2))</f>
        <v>-37.819999999999993</v>
      </c>
      <c r="E681" s="4" cm="1">
        <f t="array" aca="1" ref="E681" ca="1">$B681-INDIRECT(ADDRESS(ROW()-E$2,2))</f>
        <v>-29.210000000000036</v>
      </c>
      <c r="F681" s="3">
        <v>21059.549999999981</v>
      </c>
      <c r="G681" s="3">
        <v>0</v>
      </c>
      <c r="H681" s="3">
        <f t="shared" si="10"/>
        <v>21059.549999999981</v>
      </c>
      <c r="I681" s="3"/>
      <c r="J681" s="3"/>
      <c r="K681" s="3"/>
    </row>
    <row r="682" spans="1:11">
      <c r="A682" s="3">
        <v>43277</v>
      </c>
      <c r="B682" s="3">
        <v>342</v>
      </c>
      <c r="C682" s="4" cm="1">
        <f t="array" aca="1" ref="C682" ca="1">$B682-INDIRECT(ADDRESS(ROW()-C$2,2))</f>
        <v>-16.170000000000016</v>
      </c>
      <c r="D682" s="4" cm="1">
        <f t="array" aca="1" ref="D682" ca="1">$B682-INDIRECT(ADDRESS(ROW()-D$2,2))</f>
        <v>-10.550000000000011</v>
      </c>
      <c r="E682" s="4" cm="1">
        <f t="array" aca="1" ref="E682" ca="1">$B682-INDIRECT(ADDRESS(ROW()-E$2,2))</f>
        <v>-5.5099999999999909</v>
      </c>
      <c r="F682" s="3">
        <v>21059.549999999981</v>
      </c>
      <c r="G682" s="3">
        <v>0</v>
      </c>
      <c r="H682" s="3">
        <f t="shared" si="10"/>
        <v>21059.549999999981</v>
      </c>
      <c r="I682" s="3"/>
      <c r="J682" s="3"/>
      <c r="K682" s="3"/>
    </row>
    <row r="683" spans="1:11">
      <c r="A683" s="3">
        <v>43278</v>
      </c>
      <c r="B683" s="3">
        <v>344.5</v>
      </c>
      <c r="C683" s="4" cm="1">
        <f t="array" aca="1" ref="C683" ca="1">$B683-INDIRECT(ADDRESS(ROW()-C$2,2))</f>
        <v>-26.329999999999984</v>
      </c>
      <c r="D683" s="4" cm="1">
        <f t="array" aca="1" ref="D683" ca="1">$B683-INDIRECT(ADDRESS(ROW()-D$2,2))</f>
        <v>-17.720000000000027</v>
      </c>
      <c r="E683" s="4" cm="1">
        <f t="array" aca="1" ref="E683" ca="1">$B683-INDIRECT(ADDRESS(ROW()-E$2,2))</f>
        <v>10.870000000000005</v>
      </c>
      <c r="F683" s="3">
        <v>21059.549999999981</v>
      </c>
      <c r="G683" s="3">
        <v>0</v>
      </c>
      <c r="H683" s="3">
        <f t="shared" si="10"/>
        <v>21059.549999999981</v>
      </c>
      <c r="I683" s="3"/>
      <c r="J683" s="3"/>
      <c r="K683" s="3"/>
    </row>
    <row r="684" spans="1:11">
      <c r="A684" s="3">
        <v>43279</v>
      </c>
      <c r="B684" s="3">
        <v>349.93</v>
      </c>
      <c r="C684" s="4" cm="1">
        <f t="array" aca="1" ref="C684" ca="1">$B684-INDIRECT(ADDRESS(ROW()-C$2,2))</f>
        <v>-2.6200000000000045</v>
      </c>
      <c r="D684" s="4" cm="1">
        <f t="array" aca="1" ref="D684" ca="1">$B684-INDIRECT(ADDRESS(ROW()-D$2,2))</f>
        <v>2.4200000000000159</v>
      </c>
      <c r="E684" s="4" cm="1">
        <f t="array" aca="1" ref="E684" ca="1">$B684-INDIRECT(ADDRESS(ROW()-E$2,2))</f>
        <v>16.920000000000016</v>
      </c>
      <c r="F684" s="3">
        <v>63.749999999967827</v>
      </c>
      <c r="G684" s="3">
        <v>20995.8</v>
      </c>
      <c r="H684" s="3">
        <f t="shared" si="10"/>
        <v>21059.549999999967</v>
      </c>
      <c r="I684" s="3"/>
      <c r="J684" s="3"/>
      <c r="K684" s="3"/>
    </row>
    <row r="685" spans="1:11">
      <c r="A685" s="3">
        <v>43280</v>
      </c>
      <c r="B685" s="3">
        <v>342.95</v>
      </c>
      <c r="C685" s="4" cm="1">
        <f t="array" aca="1" ref="C685" ca="1">$B685-INDIRECT(ADDRESS(ROW()-C$2,2))</f>
        <v>-19.270000000000039</v>
      </c>
      <c r="D685" s="4" cm="1">
        <f t="array" aca="1" ref="D685" ca="1">$B685-INDIRECT(ADDRESS(ROW()-D$2,2))</f>
        <v>9.3199999999999932</v>
      </c>
      <c r="E685" s="4" cm="1">
        <f t="array" aca="1" ref="E685" ca="1">$B685-INDIRECT(ADDRESS(ROW()-E$2,2))</f>
        <v>0.94999999999998863</v>
      </c>
      <c r="F685" s="3">
        <v>63.749999999967827</v>
      </c>
      <c r="G685" s="3">
        <v>20577</v>
      </c>
      <c r="H685" s="3">
        <f t="shared" si="10"/>
        <v>20640.749999999967</v>
      </c>
      <c r="I685" s="3"/>
      <c r="J685" s="3"/>
      <c r="K685" s="3"/>
    </row>
    <row r="686" spans="1:11">
      <c r="A686" s="3">
        <v>43283</v>
      </c>
      <c r="B686" s="3">
        <v>335.07</v>
      </c>
      <c r="C686" s="4" cm="1">
        <f t="array" aca="1" ref="C686" ca="1">$B686-INDIRECT(ADDRESS(ROW()-C$2,2))</f>
        <v>-12.439999999999998</v>
      </c>
      <c r="D686" s="4" cm="1">
        <f t="array" aca="1" ref="D686" ca="1">$B686-INDIRECT(ADDRESS(ROW()-D$2,2))</f>
        <v>2.0600000000000023</v>
      </c>
      <c r="E686" s="4" cm="1">
        <f t="array" aca="1" ref="E686" ca="1">$B686-INDIRECT(ADDRESS(ROW()-E$2,2))</f>
        <v>-9.4300000000000068</v>
      </c>
      <c r="F686" s="3">
        <v>63.749999999967827</v>
      </c>
      <c r="G686" s="3">
        <v>20104.2</v>
      </c>
      <c r="H686" s="3">
        <f t="shared" si="10"/>
        <v>20167.949999999968</v>
      </c>
      <c r="I686" s="3"/>
      <c r="J686" s="3"/>
      <c r="K686" s="3"/>
    </row>
    <row r="687" spans="1:11">
      <c r="A687" s="3">
        <v>43284</v>
      </c>
      <c r="B687" s="3">
        <v>310.86</v>
      </c>
      <c r="C687" s="4" cm="1">
        <f t="array" aca="1" ref="C687" ca="1">$B687-INDIRECT(ADDRESS(ROW()-C$2,2))</f>
        <v>-22.769999999999982</v>
      </c>
      <c r="D687" s="4" cm="1">
        <f t="array" aca="1" ref="D687" ca="1">$B687-INDIRECT(ADDRESS(ROW()-D$2,2))</f>
        <v>-31.139999999999986</v>
      </c>
      <c r="E687" s="4" cm="1">
        <f t="array" aca="1" ref="E687" ca="1">$B687-INDIRECT(ADDRESS(ROW()-E$2,2))</f>
        <v>-39.069999999999993</v>
      </c>
      <c r="F687" s="3">
        <v>63.749999999967827</v>
      </c>
      <c r="G687" s="3">
        <v>18651.600000000002</v>
      </c>
      <c r="H687" s="3">
        <f t="shared" ref="H687:H750" si="11">G687+F687</f>
        <v>18715.349999999969</v>
      </c>
      <c r="I687" s="3"/>
      <c r="J687" s="3"/>
      <c r="K687" s="3"/>
    </row>
    <row r="688" spans="1:11">
      <c r="A688" s="3">
        <v>43286</v>
      </c>
      <c r="B688" s="3">
        <v>309.16000000000003</v>
      </c>
      <c r="C688" s="4" cm="1">
        <f t="array" aca="1" ref="C688" ca="1">$B688-INDIRECT(ADDRESS(ROW()-C$2,2))</f>
        <v>-23.849999999999966</v>
      </c>
      <c r="D688" s="4" cm="1">
        <f t="array" aca="1" ref="D688" ca="1">$B688-INDIRECT(ADDRESS(ROW()-D$2,2))</f>
        <v>-35.339999999999975</v>
      </c>
      <c r="E688" s="4" cm="1">
        <f t="array" aca="1" ref="E688" ca="1">$B688-INDIRECT(ADDRESS(ROW()-E$2,2))</f>
        <v>-33.789999999999964</v>
      </c>
      <c r="F688" s="3">
        <v>63.749999999967827</v>
      </c>
      <c r="G688" s="3">
        <v>18549.600000000002</v>
      </c>
      <c r="H688" s="3">
        <f t="shared" si="11"/>
        <v>18613.349999999969</v>
      </c>
      <c r="I688" s="3"/>
      <c r="J688" s="3"/>
      <c r="K688" s="3"/>
    </row>
    <row r="689" spans="1:11">
      <c r="A689" s="3">
        <v>43287</v>
      </c>
      <c r="B689" s="3">
        <v>308.89999999999998</v>
      </c>
      <c r="C689" s="4" cm="1">
        <f t="array" aca="1" ref="C689" ca="1">$B689-INDIRECT(ADDRESS(ROW()-C$2,2))</f>
        <v>-33.100000000000023</v>
      </c>
      <c r="D689" s="4" cm="1">
        <f t="array" aca="1" ref="D689" ca="1">$B689-INDIRECT(ADDRESS(ROW()-D$2,2))</f>
        <v>-41.03000000000003</v>
      </c>
      <c r="E689" s="4" cm="1">
        <f t="array" aca="1" ref="E689" ca="1">$B689-INDIRECT(ADDRESS(ROW()-E$2,2))</f>
        <v>-26.170000000000016</v>
      </c>
      <c r="F689" s="3">
        <v>63.749999999967827</v>
      </c>
      <c r="G689" s="3">
        <v>18534</v>
      </c>
      <c r="H689" s="3">
        <f t="shared" si="11"/>
        <v>18597.749999999967</v>
      </c>
      <c r="I689" s="3"/>
      <c r="J689" s="3"/>
      <c r="K689" s="3"/>
    </row>
    <row r="690" spans="1:11">
      <c r="A690" s="3">
        <v>43290</v>
      </c>
      <c r="B690" s="3">
        <v>318.51</v>
      </c>
      <c r="C690" s="4" cm="1">
        <f t="array" aca="1" ref="C690" ca="1">$B690-INDIRECT(ADDRESS(ROW()-C$2,2))</f>
        <v>-25.990000000000009</v>
      </c>
      <c r="D690" s="4" cm="1">
        <f t="array" aca="1" ref="D690" ca="1">$B690-INDIRECT(ADDRESS(ROW()-D$2,2))</f>
        <v>-24.439999999999998</v>
      </c>
      <c r="E690" s="4" cm="1">
        <f t="array" aca="1" ref="E690" ca="1">$B690-INDIRECT(ADDRESS(ROW()-E$2,2))</f>
        <v>7.6499999999999773</v>
      </c>
      <c r="F690" s="3">
        <v>63.749999999967827</v>
      </c>
      <c r="G690" s="3">
        <v>19110.599999999999</v>
      </c>
      <c r="H690" s="3">
        <f t="shared" si="11"/>
        <v>19174.349999999966</v>
      </c>
      <c r="I690" s="3"/>
      <c r="J690" s="3"/>
      <c r="K690" s="3"/>
    </row>
    <row r="691" spans="1:11">
      <c r="A691" s="3">
        <v>43291</v>
      </c>
      <c r="B691" s="3">
        <v>322.47000000000003</v>
      </c>
      <c r="C691" s="4" cm="1">
        <f t="array" aca="1" ref="C691" ca="1">$B691-INDIRECT(ADDRESS(ROW()-C$2,2))</f>
        <v>-27.45999999999998</v>
      </c>
      <c r="D691" s="4" cm="1">
        <f t="array" aca="1" ref="D691" ca="1">$B691-INDIRECT(ADDRESS(ROW()-D$2,2))</f>
        <v>-12.599999999999966</v>
      </c>
      <c r="E691" s="4" cm="1">
        <f t="array" aca="1" ref="E691" ca="1">$B691-INDIRECT(ADDRESS(ROW()-E$2,2))</f>
        <v>13.310000000000002</v>
      </c>
      <c r="F691" s="3">
        <v>63.749999999967827</v>
      </c>
      <c r="G691" s="3">
        <v>19348.2</v>
      </c>
      <c r="H691" s="3">
        <f t="shared" si="11"/>
        <v>19411.949999999968</v>
      </c>
      <c r="I691" s="3"/>
      <c r="J691" s="3"/>
      <c r="K691" s="3"/>
    </row>
    <row r="692" spans="1:11">
      <c r="A692" s="3">
        <v>43292</v>
      </c>
      <c r="B692" s="3">
        <v>318.95999999999998</v>
      </c>
      <c r="C692" s="4" cm="1">
        <f t="array" aca="1" ref="C692" ca="1">$B692-INDIRECT(ADDRESS(ROW()-C$2,2))</f>
        <v>-23.990000000000009</v>
      </c>
      <c r="D692" s="4" cm="1">
        <f t="array" aca="1" ref="D692" ca="1">$B692-INDIRECT(ADDRESS(ROW()-D$2,2))</f>
        <v>8.0999999999999659</v>
      </c>
      <c r="E692" s="4" cm="1">
        <f t="array" aca="1" ref="E692" ca="1">$B692-INDIRECT(ADDRESS(ROW()-E$2,2))</f>
        <v>10.060000000000002</v>
      </c>
      <c r="F692" s="3">
        <v>63.749999999967827</v>
      </c>
      <c r="G692" s="3">
        <v>19137.599999999999</v>
      </c>
      <c r="H692" s="3">
        <f t="shared" si="11"/>
        <v>19201.349999999966</v>
      </c>
      <c r="I692" s="3"/>
      <c r="J692" s="3"/>
      <c r="K692" s="3"/>
    </row>
    <row r="693" spans="1:11">
      <c r="A693" s="3">
        <v>43293</v>
      </c>
      <c r="B693" s="3">
        <v>316.70999999999998</v>
      </c>
      <c r="C693" s="4" cm="1">
        <f t="array" aca="1" ref="C693" ca="1">$B693-INDIRECT(ADDRESS(ROW()-C$2,2))</f>
        <v>-18.360000000000014</v>
      </c>
      <c r="D693" s="4" cm="1">
        <f t="array" aca="1" ref="D693" ca="1">$B693-INDIRECT(ADDRESS(ROW()-D$2,2))</f>
        <v>7.5499999999999545</v>
      </c>
      <c r="E693" s="4" cm="1">
        <f t="array" aca="1" ref="E693" ca="1">$B693-INDIRECT(ADDRESS(ROW()-E$2,2))</f>
        <v>-1.8000000000000114</v>
      </c>
      <c r="F693" s="3">
        <v>63.749999999967827</v>
      </c>
      <c r="G693" s="3">
        <v>19002.599999999999</v>
      </c>
      <c r="H693" s="3">
        <f t="shared" si="11"/>
        <v>19066.349999999966</v>
      </c>
      <c r="I693" s="3"/>
      <c r="J693" s="3"/>
      <c r="K693" s="3"/>
    </row>
    <row r="694" spans="1:11">
      <c r="A694" s="3">
        <v>43294</v>
      </c>
      <c r="B694" s="3">
        <v>318.87</v>
      </c>
      <c r="C694" s="4" cm="1">
        <f t="array" aca="1" ref="C694" ca="1">$B694-INDIRECT(ADDRESS(ROW()-C$2,2))</f>
        <v>8.0099999999999909</v>
      </c>
      <c r="D694" s="4" cm="1">
        <f t="array" aca="1" ref="D694" ca="1">$B694-INDIRECT(ADDRESS(ROW()-D$2,2))</f>
        <v>9.9700000000000273</v>
      </c>
      <c r="E694" s="4" cm="1">
        <f t="array" aca="1" ref="E694" ca="1">$B694-INDIRECT(ADDRESS(ROW()-E$2,2))</f>
        <v>-3.6000000000000227</v>
      </c>
      <c r="F694" s="3">
        <v>63.749999999967827</v>
      </c>
      <c r="G694" s="3">
        <v>19132.2</v>
      </c>
      <c r="H694" s="3">
        <f t="shared" si="11"/>
        <v>19195.949999999968</v>
      </c>
      <c r="I694" s="3"/>
      <c r="J694" s="3"/>
      <c r="K694" s="3"/>
    </row>
    <row r="695" spans="1:11">
      <c r="A695" s="3">
        <v>43297</v>
      </c>
      <c r="B695" s="3">
        <v>310.10000000000002</v>
      </c>
      <c r="C695" s="4" cm="1">
        <f t="array" aca="1" ref="C695" ca="1">$B695-INDIRECT(ADDRESS(ROW()-C$2,2))</f>
        <v>0.93999999999999773</v>
      </c>
      <c r="D695" s="4" cm="1">
        <f t="array" aca="1" ref="D695" ca="1">$B695-INDIRECT(ADDRESS(ROW()-D$2,2))</f>
        <v>-8.4099999999999682</v>
      </c>
      <c r="E695" s="4" cm="1">
        <f t="array" aca="1" ref="E695" ca="1">$B695-INDIRECT(ADDRESS(ROW()-E$2,2))</f>
        <v>-8.8599999999999568</v>
      </c>
      <c r="F695" s="3">
        <v>18669.749999999967</v>
      </c>
      <c r="G695" s="3">
        <v>0</v>
      </c>
      <c r="H695" s="3">
        <f t="shared" si="11"/>
        <v>18669.749999999967</v>
      </c>
      <c r="I695" s="3"/>
      <c r="J695" s="3"/>
      <c r="K695" s="3"/>
    </row>
    <row r="696" spans="1:11">
      <c r="A696" s="3">
        <v>43298</v>
      </c>
      <c r="B696" s="3">
        <v>322.69</v>
      </c>
      <c r="C696" s="4" cm="1">
        <f t="array" aca="1" ref="C696" ca="1">$B696-INDIRECT(ADDRESS(ROW()-C$2,2))</f>
        <v>13.79000000000002</v>
      </c>
      <c r="D696" s="4" cm="1">
        <f t="array" aca="1" ref="D696" ca="1">$B696-INDIRECT(ADDRESS(ROW()-D$2,2))</f>
        <v>0.21999999999997044</v>
      </c>
      <c r="E696" s="4" cm="1">
        <f t="array" aca="1" ref="E696" ca="1">$B696-INDIRECT(ADDRESS(ROW()-E$2,2))</f>
        <v>5.9800000000000182</v>
      </c>
      <c r="F696" s="3">
        <v>18669.749999999967</v>
      </c>
      <c r="G696" s="3">
        <v>0</v>
      </c>
      <c r="H696" s="3">
        <f t="shared" si="11"/>
        <v>18669.749999999967</v>
      </c>
      <c r="I696" s="3"/>
      <c r="J696" s="3"/>
      <c r="K696" s="3"/>
    </row>
    <row r="697" spans="1:11">
      <c r="A697" s="3">
        <v>43299</v>
      </c>
      <c r="B697" s="3">
        <v>323.85000000000002</v>
      </c>
      <c r="C697" s="4" cm="1">
        <f t="array" aca="1" ref="C697" ca="1">$B697-INDIRECT(ADDRESS(ROW()-C$2,2))</f>
        <v>5.3400000000000318</v>
      </c>
      <c r="D697" s="4" cm="1">
        <f t="array" aca="1" ref="D697" ca="1">$B697-INDIRECT(ADDRESS(ROW()-D$2,2))</f>
        <v>4.8900000000000432</v>
      </c>
      <c r="E697" s="4" cm="1">
        <f t="array" aca="1" ref="E697" ca="1">$B697-INDIRECT(ADDRESS(ROW()-E$2,2))</f>
        <v>4.9800000000000182</v>
      </c>
      <c r="F697" s="3">
        <v>18669.749999999967</v>
      </c>
      <c r="G697" s="3">
        <v>0</v>
      </c>
      <c r="H697" s="3">
        <f t="shared" si="11"/>
        <v>18669.749999999967</v>
      </c>
      <c r="I697" s="3"/>
      <c r="J697" s="3"/>
      <c r="K697" s="3"/>
    </row>
    <row r="698" spans="1:11">
      <c r="A698" s="3">
        <v>43300</v>
      </c>
      <c r="B698" s="3">
        <v>320.23</v>
      </c>
      <c r="C698" s="4" cm="1">
        <f t="array" aca="1" ref="C698" ca="1">$B698-INDIRECT(ADDRESS(ROW()-C$2,2))</f>
        <v>-2.2400000000000091</v>
      </c>
      <c r="D698" s="4" cm="1">
        <f t="array" aca="1" ref="D698" ca="1">$B698-INDIRECT(ADDRESS(ROW()-D$2,2))</f>
        <v>3.5200000000000387</v>
      </c>
      <c r="E698" s="4" cm="1">
        <f t="array" aca="1" ref="E698" ca="1">$B698-INDIRECT(ADDRESS(ROW()-E$2,2))</f>
        <v>10.129999999999995</v>
      </c>
      <c r="F698" s="3">
        <v>96.409999999986667</v>
      </c>
      <c r="G698" s="3">
        <v>18573.34</v>
      </c>
      <c r="H698" s="3">
        <f t="shared" si="11"/>
        <v>18669.749999999985</v>
      </c>
      <c r="I698" s="3"/>
      <c r="J698" s="3"/>
      <c r="K698" s="3"/>
    </row>
    <row r="699" spans="1:11">
      <c r="A699" s="3">
        <v>43301</v>
      </c>
      <c r="B699" s="3">
        <v>313.58</v>
      </c>
      <c r="C699" s="4" cm="1">
        <f t="array" aca="1" ref="C699" ca="1">$B699-INDIRECT(ADDRESS(ROW()-C$2,2))</f>
        <v>-5.3799999999999955</v>
      </c>
      <c r="D699" s="4" cm="1">
        <f t="array" aca="1" ref="D699" ca="1">$B699-INDIRECT(ADDRESS(ROW()-D$2,2))</f>
        <v>-5.2900000000000205</v>
      </c>
      <c r="E699" s="4" cm="1">
        <f t="array" aca="1" ref="E699" ca="1">$B699-INDIRECT(ADDRESS(ROW()-E$2,2))</f>
        <v>-9.1100000000000136</v>
      </c>
      <c r="F699" s="3">
        <v>96.409999999986667</v>
      </c>
      <c r="G699" s="3">
        <v>18187.64</v>
      </c>
      <c r="H699" s="3">
        <f t="shared" si="11"/>
        <v>18284.049999999985</v>
      </c>
      <c r="I699" s="3"/>
      <c r="J699" s="3"/>
      <c r="K699" s="3"/>
    </row>
    <row r="700" spans="1:11">
      <c r="A700" s="3">
        <v>43304</v>
      </c>
      <c r="B700" s="3">
        <v>303.2</v>
      </c>
      <c r="C700" s="4" cm="1">
        <f t="array" aca="1" ref="C700" ca="1">$B700-INDIRECT(ADDRESS(ROW()-C$2,2))</f>
        <v>-13.509999999999991</v>
      </c>
      <c r="D700" s="4" cm="1">
        <f t="array" aca="1" ref="D700" ca="1">$B700-INDIRECT(ADDRESS(ROW()-D$2,2))</f>
        <v>-6.9000000000000341</v>
      </c>
      <c r="E700" s="4" cm="1">
        <f t="array" aca="1" ref="E700" ca="1">$B700-INDIRECT(ADDRESS(ROW()-E$2,2))</f>
        <v>-20.650000000000034</v>
      </c>
      <c r="F700" s="3">
        <v>96.409999999986667</v>
      </c>
      <c r="G700" s="3">
        <v>17585.599999999999</v>
      </c>
      <c r="H700" s="3">
        <f t="shared" si="11"/>
        <v>17682.009999999984</v>
      </c>
      <c r="I700" s="3"/>
      <c r="J700" s="3"/>
      <c r="K700" s="3"/>
    </row>
    <row r="701" spans="1:11">
      <c r="A701" s="3">
        <v>43305</v>
      </c>
      <c r="B701" s="3">
        <v>297.43</v>
      </c>
      <c r="C701" s="4" cm="1">
        <f t="array" aca="1" ref="C701" ca="1">$B701-INDIRECT(ADDRESS(ROW()-C$2,2))</f>
        <v>-21.439999999999998</v>
      </c>
      <c r="D701" s="4" cm="1">
        <f t="array" aca="1" ref="D701" ca="1">$B701-INDIRECT(ADDRESS(ROW()-D$2,2))</f>
        <v>-25.259999999999991</v>
      </c>
      <c r="E701" s="4" cm="1">
        <f t="array" aca="1" ref="E701" ca="1">$B701-INDIRECT(ADDRESS(ROW()-E$2,2))</f>
        <v>-22.800000000000011</v>
      </c>
      <c r="F701" s="3">
        <v>96.409999999986667</v>
      </c>
      <c r="G701" s="3">
        <v>17250.939999999999</v>
      </c>
      <c r="H701" s="3">
        <f t="shared" si="11"/>
        <v>17347.349999999984</v>
      </c>
      <c r="I701" s="3"/>
      <c r="J701" s="3"/>
      <c r="K701" s="3"/>
    </row>
    <row r="702" spans="1:11">
      <c r="A702" s="3">
        <v>43306</v>
      </c>
      <c r="B702" s="3">
        <v>308.74</v>
      </c>
      <c r="C702" s="4" cm="1">
        <f t="array" aca="1" ref="C702" ca="1">$B702-INDIRECT(ADDRESS(ROW()-C$2,2))</f>
        <v>-1.3600000000000136</v>
      </c>
      <c r="D702" s="4" cm="1">
        <f t="array" aca="1" ref="D702" ca="1">$B702-INDIRECT(ADDRESS(ROW()-D$2,2))</f>
        <v>-15.110000000000014</v>
      </c>
      <c r="E702" s="4" cm="1">
        <f t="array" aca="1" ref="E702" ca="1">$B702-INDIRECT(ADDRESS(ROW()-E$2,2))</f>
        <v>-4.839999999999975</v>
      </c>
      <c r="F702" s="3">
        <v>96.409999999986667</v>
      </c>
      <c r="G702" s="3">
        <v>17906.920000000002</v>
      </c>
      <c r="H702" s="3">
        <f t="shared" si="11"/>
        <v>18003.329999999987</v>
      </c>
      <c r="I702" s="3"/>
      <c r="J702" s="3"/>
      <c r="K702" s="3"/>
    </row>
    <row r="703" spans="1:11">
      <c r="A703" s="3">
        <v>43307</v>
      </c>
      <c r="B703" s="3">
        <v>306.64999999999998</v>
      </c>
      <c r="C703" s="4" cm="1">
        <f t="array" aca="1" ref="C703" ca="1">$B703-INDIRECT(ADDRESS(ROW()-C$2,2))</f>
        <v>-16.04000000000002</v>
      </c>
      <c r="D703" s="4" cm="1">
        <f t="array" aca="1" ref="D703" ca="1">$B703-INDIRECT(ADDRESS(ROW()-D$2,2))</f>
        <v>-13.580000000000041</v>
      </c>
      <c r="E703" s="4" cm="1">
        <f t="array" aca="1" ref="E703" ca="1">$B703-INDIRECT(ADDRESS(ROW()-E$2,2))</f>
        <v>3.4499999999999886</v>
      </c>
      <c r="F703" s="3">
        <v>96.409999999986667</v>
      </c>
      <c r="G703" s="3">
        <v>17785.699999999997</v>
      </c>
      <c r="H703" s="3">
        <f t="shared" si="11"/>
        <v>17882.109999999982</v>
      </c>
      <c r="I703" s="3"/>
      <c r="J703" s="3"/>
      <c r="K703" s="3"/>
    </row>
    <row r="704" spans="1:11">
      <c r="A704" s="3">
        <v>43308</v>
      </c>
      <c r="B704" s="3">
        <v>297.18</v>
      </c>
      <c r="C704" s="4" cm="1">
        <f t="array" aca="1" ref="C704" ca="1">$B704-INDIRECT(ADDRESS(ROW()-C$2,2))</f>
        <v>-26.670000000000016</v>
      </c>
      <c r="D704" s="4" cm="1">
        <f t="array" aca="1" ref="D704" ca="1">$B704-INDIRECT(ADDRESS(ROW()-D$2,2))</f>
        <v>-16.399999999999977</v>
      </c>
      <c r="E704" s="4" cm="1">
        <f t="array" aca="1" ref="E704" ca="1">$B704-INDIRECT(ADDRESS(ROW()-E$2,2))</f>
        <v>-0.25</v>
      </c>
      <c r="F704" s="3">
        <v>96.409999999986667</v>
      </c>
      <c r="G704" s="3">
        <v>17236.439999999999</v>
      </c>
      <c r="H704" s="3">
        <f t="shared" si="11"/>
        <v>17332.849999999984</v>
      </c>
      <c r="I704" s="3"/>
      <c r="J704" s="3"/>
      <c r="K704" s="3"/>
    </row>
    <row r="705" spans="1:11">
      <c r="A705" s="3">
        <v>43311</v>
      </c>
      <c r="B705" s="3">
        <v>290.17</v>
      </c>
      <c r="C705" s="4" cm="1">
        <f t="array" aca="1" ref="C705" ca="1">$B705-INDIRECT(ADDRESS(ROW()-C$2,2))</f>
        <v>-30.060000000000002</v>
      </c>
      <c r="D705" s="4" cm="1">
        <f t="array" aca="1" ref="D705" ca="1">$B705-INDIRECT(ADDRESS(ROW()-D$2,2))</f>
        <v>-13.029999999999973</v>
      </c>
      <c r="E705" s="4" cm="1">
        <f t="array" aca="1" ref="E705" ca="1">$B705-INDIRECT(ADDRESS(ROW()-E$2,2))</f>
        <v>-18.569999999999993</v>
      </c>
      <c r="F705" s="3">
        <v>96.409999999986667</v>
      </c>
      <c r="G705" s="3">
        <v>16829.86</v>
      </c>
      <c r="H705" s="3">
        <f t="shared" si="11"/>
        <v>16926.269999999986</v>
      </c>
      <c r="I705" s="3"/>
      <c r="J705" s="3"/>
      <c r="K705" s="3"/>
    </row>
    <row r="706" spans="1:11">
      <c r="A706" s="3">
        <v>43312</v>
      </c>
      <c r="B706" s="3">
        <v>298.14</v>
      </c>
      <c r="C706" s="4" cm="1">
        <f t="array" aca="1" ref="C706" ca="1">$B706-INDIRECT(ADDRESS(ROW()-C$2,2))</f>
        <v>-15.439999999999998</v>
      </c>
      <c r="D706" s="4" cm="1">
        <f t="array" aca="1" ref="D706" ca="1">$B706-INDIRECT(ADDRESS(ROW()-D$2,2))</f>
        <v>0.70999999999997954</v>
      </c>
      <c r="E706" s="4" cm="1">
        <f t="array" aca="1" ref="E706" ca="1">$B706-INDIRECT(ADDRESS(ROW()-E$2,2))</f>
        <v>-8.5099999999999909</v>
      </c>
      <c r="F706" s="3">
        <v>96.409999999986667</v>
      </c>
      <c r="G706" s="3">
        <v>17292.12</v>
      </c>
      <c r="H706" s="3">
        <f t="shared" si="11"/>
        <v>17388.529999999984</v>
      </c>
      <c r="I706" s="3"/>
      <c r="J706" s="3"/>
      <c r="K706" s="3"/>
    </row>
    <row r="707" spans="1:11">
      <c r="A707" s="3">
        <v>43313</v>
      </c>
      <c r="B707" s="3">
        <v>300.83999999999997</v>
      </c>
      <c r="C707" s="4" cm="1">
        <f t="array" aca="1" ref="C707" ca="1">$B707-INDIRECT(ADDRESS(ROW()-C$2,2))</f>
        <v>-2.3600000000000136</v>
      </c>
      <c r="D707" s="4" cm="1">
        <f t="array" aca="1" ref="D707" ca="1">$B707-INDIRECT(ADDRESS(ROW()-D$2,2))</f>
        <v>-7.9000000000000341</v>
      </c>
      <c r="E707" s="4" cm="1">
        <f t="array" aca="1" ref="E707" ca="1">$B707-INDIRECT(ADDRESS(ROW()-E$2,2))</f>
        <v>3.6599999999999682</v>
      </c>
      <c r="F707" s="3">
        <v>96.409999999986667</v>
      </c>
      <c r="G707" s="3">
        <v>17448.719999999998</v>
      </c>
      <c r="H707" s="3">
        <f t="shared" si="11"/>
        <v>17545.129999999983</v>
      </c>
      <c r="I707" s="3"/>
      <c r="J707" s="3"/>
      <c r="K707" s="3"/>
    </row>
    <row r="708" spans="1:11">
      <c r="A708" s="3">
        <v>43314</v>
      </c>
      <c r="B708" s="3">
        <v>349.54</v>
      </c>
      <c r="C708" s="4" cm="1">
        <f t="array" aca="1" ref="C708" ca="1">$B708-INDIRECT(ADDRESS(ROW()-C$2,2))</f>
        <v>52.110000000000014</v>
      </c>
      <c r="D708" s="4" cm="1">
        <f t="array" aca="1" ref="D708" ca="1">$B708-INDIRECT(ADDRESS(ROW()-D$2,2))</f>
        <v>42.890000000000043</v>
      </c>
      <c r="E708" s="4" cm="1">
        <f t="array" aca="1" ref="E708" ca="1">$B708-INDIRECT(ADDRESS(ROW()-E$2,2))</f>
        <v>59.370000000000005</v>
      </c>
      <c r="F708" s="3">
        <v>96.409999999986667</v>
      </c>
      <c r="G708" s="3">
        <v>20273.32</v>
      </c>
      <c r="H708" s="3">
        <f t="shared" si="11"/>
        <v>20369.729999999985</v>
      </c>
      <c r="I708" s="3"/>
      <c r="J708" s="3"/>
      <c r="K708" s="3"/>
    </row>
    <row r="709" spans="1:11">
      <c r="A709" s="3">
        <v>43315</v>
      </c>
      <c r="B709" s="3">
        <v>348.17</v>
      </c>
      <c r="C709" s="4" cm="1">
        <f t="array" aca="1" ref="C709" ca="1">$B709-INDIRECT(ADDRESS(ROW()-C$2,2))</f>
        <v>39.430000000000007</v>
      </c>
      <c r="D709" s="4" cm="1">
        <f t="array" aca="1" ref="D709" ca="1">$B709-INDIRECT(ADDRESS(ROW()-D$2,2))</f>
        <v>50.990000000000009</v>
      </c>
      <c r="E709" s="4" cm="1">
        <f t="array" aca="1" ref="E709" ca="1">$B709-INDIRECT(ADDRESS(ROW()-E$2,2))</f>
        <v>50.03000000000003</v>
      </c>
      <c r="F709" s="3">
        <v>96.409999999986667</v>
      </c>
      <c r="G709" s="3">
        <v>20193.86</v>
      </c>
      <c r="H709" s="3">
        <f t="shared" si="11"/>
        <v>20290.269999999986</v>
      </c>
      <c r="I709" s="3"/>
      <c r="J709" s="3"/>
      <c r="K709" s="3"/>
    </row>
    <row r="710" spans="1:11">
      <c r="A710" s="3">
        <v>43318</v>
      </c>
      <c r="B710" s="3">
        <v>341.99</v>
      </c>
      <c r="C710" s="4" cm="1">
        <f t="array" aca="1" ref="C710" ca="1">$B710-INDIRECT(ADDRESS(ROW()-C$2,2))</f>
        <v>35.340000000000032</v>
      </c>
      <c r="D710" s="4" cm="1">
        <f t="array" aca="1" ref="D710" ca="1">$B710-INDIRECT(ADDRESS(ROW()-D$2,2))</f>
        <v>51.819999999999993</v>
      </c>
      <c r="E710" s="4" cm="1">
        <f t="array" aca="1" ref="E710" ca="1">$B710-INDIRECT(ADDRESS(ROW()-E$2,2))</f>
        <v>41.150000000000034</v>
      </c>
      <c r="F710" s="3">
        <v>96.409999999986667</v>
      </c>
      <c r="G710" s="3">
        <v>19835.420000000002</v>
      </c>
      <c r="H710" s="3">
        <f t="shared" si="11"/>
        <v>19931.829999999987</v>
      </c>
      <c r="I710" s="3"/>
      <c r="J710" s="3"/>
      <c r="K710" s="3"/>
    </row>
    <row r="711" spans="1:11">
      <c r="A711" s="3">
        <v>43319</v>
      </c>
      <c r="B711" s="3">
        <v>379.57</v>
      </c>
      <c r="C711" s="4" cm="1">
        <f t="array" aca="1" ref="C711" ca="1">$B711-INDIRECT(ADDRESS(ROW()-C$2,2))</f>
        <v>82.389999999999986</v>
      </c>
      <c r="D711" s="4" cm="1">
        <f t="array" aca="1" ref="D711" ca="1">$B711-INDIRECT(ADDRESS(ROW()-D$2,2))</f>
        <v>81.430000000000007</v>
      </c>
      <c r="E711" s="4" cm="1">
        <f t="array" aca="1" ref="E711" ca="1">$B711-INDIRECT(ADDRESS(ROW()-E$2,2))</f>
        <v>30.029999999999973</v>
      </c>
      <c r="F711" s="3">
        <v>96.409999999986667</v>
      </c>
      <c r="G711" s="3">
        <v>22015.06</v>
      </c>
      <c r="H711" s="3">
        <f t="shared" si="11"/>
        <v>22111.469999999987</v>
      </c>
      <c r="I711" s="3"/>
      <c r="J711" s="3"/>
      <c r="K711" s="3"/>
    </row>
    <row r="712" spans="1:11">
      <c r="A712" s="3">
        <v>43320</v>
      </c>
      <c r="B712" s="3">
        <v>370.34</v>
      </c>
      <c r="C712" s="4" cm="1">
        <f t="array" aca="1" ref="C712" ca="1">$B712-INDIRECT(ADDRESS(ROW()-C$2,2))</f>
        <v>80.169999999999959</v>
      </c>
      <c r="D712" s="4" cm="1">
        <f t="array" aca="1" ref="D712" ca="1">$B712-INDIRECT(ADDRESS(ROW()-D$2,2))</f>
        <v>69.5</v>
      </c>
      <c r="E712" s="4" cm="1">
        <f t="array" aca="1" ref="E712" ca="1">$B712-INDIRECT(ADDRESS(ROW()-E$2,2))</f>
        <v>22.169999999999959</v>
      </c>
      <c r="F712" s="3">
        <v>96.409999999986667</v>
      </c>
      <c r="G712" s="3">
        <v>21479.719999999998</v>
      </c>
      <c r="H712" s="3">
        <f t="shared" si="11"/>
        <v>21576.129999999983</v>
      </c>
      <c r="I712" s="3"/>
      <c r="J712" s="3"/>
      <c r="K712" s="3"/>
    </row>
    <row r="713" spans="1:11">
      <c r="A713" s="3">
        <v>43321</v>
      </c>
      <c r="B713" s="3">
        <v>352.45</v>
      </c>
      <c r="C713" s="4" cm="1">
        <f t="array" aca="1" ref="C713" ca="1">$B713-INDIRECT(ADDRESS(ROW()-C$2,2))</f>
        <v>54.31</v>
      </c>
      <c r="D713" s="4" cm="1">
        <f t="array" aca="1" ref="D713" ca="1">$B713-INDIRECT(ADDRESS(ROW()-D$2,2))</f>
        <v>2.9099999999999682</v>
      </c>
      <c r="E713" s="4" cm="1">
        <f t="array" aca="1" ref="E713" ca="1">$B713-INDIRECT(ADDRESS(ROW()-E$2,2))</f>
        <v>10.45999999999998</v>
      </c>
      <c r="F713" s="3">
        <v>96.409999999986667</v>
      </c>
      <c r="G713" s="3">
        <v>20442.099999999999</v>
      </c>
      <c r="H713" s="3">
        <f t="shared" si="11"/>
        <v>20538.509999999984</v>
      </c>
      <c r="I713" s="3"/>
      <c r="J713" s="3"/>
      <c r="K713" s="3"/>
    </row>
    <row r="714" spans="1:11">
      <c r="A714" s="3">
        <v>43322</v>
      </c>
      <c r="B714" s="3">
        <v>355.49</v>
      </c>
      <c r="C714" s="4" cm="1">
        <f t="array" aca="1" ref="C714" ca="1">$B714-INDIRECT(ADDRESS(ROW()-C$2,2))</f>
        <v>54.650000000000034</v>
      </c>
      <c r="D714" s="4" cm="1">
        <f t="array" aca="1" ref="D714" ca="1">$B714-INDIRECT(ADDRESS(ROW()-D$2,2))</f>
        <v>7.3199999999999932</v>
      </c>
      <c r="E714" s="4" cm="1">
        <f t="array" aca="1" ref="E714" ca="1">$B714-INDIRECT(ADDRESS(ROW()-E$2,2))</f>
        <v>-24.079999999999984</v>
      </c>
      <c r="F714" s="3">
        <v>96.409999999986667</v>
      </c>
      <c r="G714" s="3">
        <v>20618.420000000002</v>
      </c>
      <c r="H714" s="3">
        <f t="shared" si="11"/>
        <v>20714.829999999987</v>
      </c>
      <c r="I714" s="3"/>
      <c r="J714" s="3"/>
      <c r="K714" s="3"/>
    </row>
    <row r="715" spans="1:11">
      <c r="A715" s="3">
        <v>43325</v>
      </c>
      <c r="B715" s="3">
        <v>356.41</v>
      </c>
      <c r="C715" s="4" cm="1">
        <f t="array" aca="1" ref="C715" ca="1">$B715-INDIRECT(ADDRESS(ROW()-C$2,2))</f>
        <v>6.8700000000000045</v>
      </c>
      <c r="D715" s="4" cm="1">
        <f t="array" aca="1" ref="D715" ca="1">$B715-INDIRECT(ADDRESS(ROW()-D$2,2))</f>
        <v>14.420000000000016</v>
      </c>
      <c r="E715" s="4" cm="1">
        <f t="array" aca="1" ref="E715" ca="1">$B715-INDIRECT(ADDRESS(ROW()-E$2,2))</f>
        <v>-13.92999999999995</v>
      </c>
      <c r="F715" s="3">
        <v>96.409999999986667</v>
      </c>
      <c r="G715" s="3">
        <v>20671.780000000002</v>
      </c>
      <c r="H715" s="3">
        <f t="shared" si="11"/>
        <v>20768.189999999988</v>
      </c>
      <c r="I715" s="3"/>
      <c r="J715" s="3"/>
      <c r="K715" s="3"/>
    </row>
    <row r="716" spans="1:11">
      <c r="A716" s="3">
        <v>43326</v>
      </c>
      <c r="B716" s="3">
        <v>347.64</v>
      </c>
      <c r="C716" s="4" cm="1">
        <f t="array" aca="1" ref="C716" ca="1">$B716-INDIRECT(ADDRESS(ROW()-C$2,2))</f>
        <v>-0.53000000000002956</v>
      </c>
      <c r="D716" s="4" cm="1">
        <f t="array" aca="1" ref="D716" ca="1">$B716-INDIRECT(ADDRESS(ROW()-D$2,2))</f>
        <v>-31.930000000000007</v>
      </c>
      <c r="E716" s="4" cm="1">
        <f t="array" aca="1" ref="E716" ca="1">$B716-INDIRECT(ADDRESS(ROW()-E$2,2))</f>
        <v>-4.8100000000000023</v>
      </c>
      <c r="F716" s="3">
        <v>96.409999999986667</v>
      </c>
      <c r="G716" s="3">
        <v>20163.12</v>
      </c>
      <c r="H716" s="3">
        <f t="shared" si="11"/>
        <v>20259.529999999984</v>
      </c>
      <c r="I716" s="3"/>
      <c r="J716" s="3"/>
      <c r="K716" s="3"/>
    </row>
    <row r="717" spans="1:11">
      <c r="A717" s="3">
        <v>43327</v>
      </c>
      <c r="B717" s="3">
        <v>338.69</v>
      </c>
      <c r="C717" s="4" cm="1">
        <f t="array" aca="1" ref="C717" ca="1">$B717-INDIRECT(ADDRESS(ROW()-C$2,2))</f>
        <v>-3.3000000000000114</v>
      </c>
      <c r="D717" s="4" cm="1">
        <f t="array" aca="1" ref="D717" ca="1">$B717-INDIRECT(ADDRESS(ROW()-D$2,2))</f>
        <v>-31.649999999999977</v>
      </c>
      <c r="E717" s="4" cm="1">
        <f t="array" aca="1" ref="E717" ca="1">$B717-INDIRECT(ADDRESS(ROW()-E$2,2))</f>
        <v>-16.800000000000011</v>
      </c>
      <c r="F717" s="3">
        <v>96.409999999986667</v>
      </c>
      <c r="G717" s="3">
        <v>19644.02</v>
      </c>
      <c r="H717" s="3">
        <f t="shared" si="11"/>
        <v>19740.429999999986</v>
      </c>
      <c r="I717" s="3"/>
      <c r="J717" s="3"/>
      <c r="K717" s="3"/>
    </row>
    <row r="718" spans="1:11">
      <c r="A718" s="3">
        <v>43328</v>
      </c>
      <c r="B718" s="3">
        <v>335.45</v>
      </c>
      <c r="C718" s="4" cm="1">
        <f t="array" aca="1" ref="C718" ca="1">$B718-INDIRECT(ADDRESS(ROW()-C$2,2))</f>
        <v>-44.120000000000005</v>
      </c>
      <c r="D718" s="4" cm="1">
        <f t="array" aca="1" ref="D718" ca="1">$B718-INDIRECT(ADDRESS(ROW()-D$2,2))</f>
        <v>-17</v>
      </c>
      <c r="E718" s="4" cm="1">
        <f t="array" aca="1" ref="E718" ca="1">$B718-INDIRECT(ADDRESS(ROW()-E$2,2))</f>
        <v>-20.960000000000036</v>
      </c>
      <c r="F718" s="3">
        <v>96.409999999986667</v>
      </c>
      <c r="G718" s="3">
        <v>19456.099999999999</v>
      </c>
      <c r="H718" s="3">
        <f t="shared" si="11"/>
        <v>19552.509999999984</v>
      </c>
      <c r="I718" s="3"/>
      <c r="J718" s="3"/>
      <c r="K718" s="3"/>
    </row>
    <row r="719" spans="1:11">
      <c r="A719" s="3">
        <v>43329</v>
      </c>
      <c r="B719" s="3">
        <v>305.5</v>
      </c>
      <c r="C719" s="4" cm="1">
        <f t="array" aca="1" ref="C719" ca="1">$B719-INDIRECT(ADDRESS(ROW()-C$2,2))</f>
        <v>-64.839999999999975</v>
      </c>
      <c r="D719" s="4" cm="1">
        <f t="array" aca="1" ref="D719" ca="1">$B719-INDIRECT(ADDRESS(ROW()-D$2,2))</f>
        <v>-49.990000000000009</v>
      </c>
      <c r="E719" s="4" cm="1">
        <f t="array" aca="1" ref="E719" ca="1">$B719-INDIRECT(ADDRESS(ROW()-E$2,2))</f>
        <v>-42.139999999999986</v>
      </c>
      <c r="F719" s="3">
        <v>96.409999999986667</v>
      </c>
      <c r="G719" s="3">
        <v>17719</v>
      </c>
      <c r="H719" s="3">
        <f t="shared" si="11"/>
        <v>17815.409999999985</v>
      </c>
      <c r="I719" s="3"/>
      <c r="J719" s="3"/>
      <c r="K719" s="3"/>
    </row>
    <row r="720" spans="1:11">
      <c r="A720" s="3">
        <v>43332</v>
      </c>
      <c r="B720" s="3">
        <v>308.44</v>
      </c>
      <c r="C720" s="4" cm="1">
        <f t="array" aca="1" ref="C720" ca="1">$B720-INDIRECT(ADDRESS(ROW()-C$2,2))</f>
        <v>-44.009999999999991</v>
      </c>
      <c r="D720" s="4" cm="1">
        <f t="array" aca="1" ref="D720" ca="1">$B720-INDIRECT(ADDRESS(ROW()-D$2,2))</f>
        <v>-47.970000000000027</v>
      </c>
      <c r="E720" s="4" cm="1">
        <f t="array" aca="1" ref="E720" ca="1">$B720-INDIRECT(ADDRESS(ROW()-E$2,2))</f>
        <v>-30.25</v>
      </c>
      <c r="F720" s="3">
        <v>96.409999999986667</v>
      </c>
      <c r="G720" s="3">
        <v>17889.52</v>
      </c>
      <c r="H720" s="3">
        <f t="shared" si="11"/>
        <v>17985.929999999986</v>
      </c>
      <c r="I720" s="3"/>
      <c r="J720" s="3"/>
      <c r="K720" s="3"/>
    </row>
    <row r="721" spans="1:11">
      <c r="A721" s="3">
        <v>43333</v>
      </c>
      <c r="B721" s="3">
        <v>321.89999999999998</v>
      </c>
      <c r="C721" s="4" cm="1">
        <f t="array" aca="1" ref="C721" ca="1">$B721-INDIRECT(ADDRESS(ROW()-C$2,2))</f>
        <v>-33.590000000000032</v>
      </c>
      <c r="D721" s="4" cm="1">
        <f t="array" aca="1" ref="D721" ca="1">$B721-INDIRECT(ADDRESS(ROW()-D$2,2))</f>
        <v>-25.740000000000009</v>
      </c>
      <c r="E721" s="4" cm="1">
        <f t="array" aca="1" ref="E721" ca="1">$B721-INDIRECT(ADDRESS(ROW()-E$2,2))</f>
        <v>-13.550000000000011</v>
      </c>
      <c r="F721" s="3">
        <v>96.409999999986667</v>
      </c>
      <c r="G721" s="3">
        <v>18670.199999999997</v>
      </c>
      <c r="H721" s="3">
        <f t="shared" si="11"/>
        <v>18766.609999999982</v>
      </c>
      <c r="I721" s="3"/>
      <c r="J721" s="3"/>
      <c r="K721" s="3"/>
    </row>
    <row r="722" spans="1:11">
      <c r="A722" s="3">
        <v>43334</v>
      </c>
      <c r="B722" s="3">
        <v>321.64</v>
      </c>
      <c r="C722" s="4" cm="1">
        <f t="array" aca="1" ref="C722" ca="1">$B722-INDIRECT(ADDRESS(ROW()-C$2,2))</f>
        <v>-34.770000000000039</v>
      </c>
      <c r="D722" s="4" cm="1">
        <f t="array" aca="1" ref="D722" ca="1">$B722-INDIRECT(ADDRESS(ROW()-D$2,2))</f>
        <v>-17.050000000000011</v>
      </c>
      <c r="E722" s="4" cm="1">
        <f t="array" aca="1" ref="E722" ca="1">$B722-INDIRECT(ADDRESS(ROW()-E$2,2))</f>
        <v>16.139999999999986</v>
      </c>
      <c r="F722" s="3">
        <v>96.409999999986667</v>
      </c>
      <c r="G722" s="3">
        <v>18655.12</v>
      </c>
      <c r="H722" s="3">
        <f t="shared" si="11"/>
        <v>18751.529999999984</v>
      </c>
      <c r="I722" s="3"/>
      <c r="J722" s="3"/>
      <c r="K722" s="3"/>
    </row>
    <row r="723" spans="1:11">
      <c r="A723" s="3">
        <v>43335</v>
      </c>
      <c r="B723" s="3">
        <v>320.10000000000002</v>
      </c>
      <c r="C723" s="4" cm="1">
        <f t="array" aca="1" ref="C723" ca="1">$B723-INDIRECT(ADDRESS(ROW()-C$2,2))</f>
        <v>-27.539999999999964</v>
      </c>
      <c r="D723" s="4" cm="1">
        <f t="array" aca="1" ref="D723" ca="1">$B723-INDIRECT(ADDRESS(ROW()-D$2,2))</f>
        <v>-15.349999999999966</v>
      </c>
      <c r="E723" s="4" cm="1">
        <f t="array" aca="1" ref="E723" ca="1">$B723-INDIRECT(ADDRESS(ROW()-E$2,2))</f>
        <v>11.660000000000025</v>
      </c>
      <c r="F723" s="3">
        <v>96.409999999986667</v>
      </c>
      <c r="G723" s="3">
        <v>18565.800000000003</v>
      </c>
      <c r="H723" s="3">
        <f t="shared" si="11"/>
        <v>18662.209999999988</v>
      </c>
      <c r="I723" s="3"/>
      <c r="J723" s="3"/>
      <c r="K723" s="3"/>
    </row>
    <row r="724" spans="1:11">
      <c r="A724" s="3">
        <v>43336</v>
      </c>
      <c r="B724" s="3">
        <v>322.82</v>
      </c>
      <c r="C724" s="4" cm="1">
        <f t="array" aca="1" ref="C724" ca="1">$B724-INDIRECT(ADDRESS(ROW()-C$2,2))</f>
        <v>-15.870000000000005</v>
      </c>
      <c r="D724" s="4" cm="1">
        <f t="array" aca="1" ref="D724" ca="1">$B724-INDIRECT(ADDRESS(ROW()-D$2,2))</f>
        <v>17.319999999999993</v>
      </c>
      <c r="E724" s="4" cm="1">
        <f t="array" aca="1" ref="E724" ca="1">$B724-INDIRECT(ADDRESS(ROW()-E$2,2))</f>
        <v>0.92000000000001592</v>
      </c>
      <c r="F724" s="3">
        <v>96.409999999986667</v>
      </c>
      <c r="G724" s="3">
        <v>18723.560000000001</v>
      </c>
      <c r="H724" s="3">
        <f t="shared" si="11"/>
        <v>18819.969999999987</v>
      </c>
      <c r="I724" s="3"/>
      <c r="J724" s="3"/>
      <c r="K724" s="3"/>
    </row>
    <row r="725" spans="1:11">
      <c r="A725" s="3">
        <v>43339</v>
      </c>
      <c r="B725" s="3">
        <v>319.27</v>
      </c>
      <c r="C725" s="4" cm="1">
        <f t="array" aca="1" ref="C725" ca="1">$B725-INDIRECT(ADDRESS(ROW()-C$2,2))</f>
        <v>-16.180000000000007</v>
      </c>
      <c r="D725" s="4" cm="1">
        <f t="array" aca="1" ref="D725" ca="1">$B725-INDIRECT(ADDRESS(ROW()-D$2,2))</f>
        <v>10.829999999999984</v>
      </c>
      <c r="E725" s="4" cm="1">
        <f t="array" aca="1" ref="E725" ca="1">$B725-INDIRECT(ADDRESS(ROW()-E$2,2))</f>
        <v>-2.3700000000000045</v>
      </c>
      <c r="F725" s="3">
        <v>96.409999999986667</v>
      </c>
      <c r="G725" s="3">
        <v>18517.66</v>
      </c>
      <c r="H725" s="3">
        <f t="shared" si="11"/>
        <v>18614.069999999985</v>
      </c>
      <c r="I725" s="3"/>
      <c r="J725" s="3"/>
      <c r="K725" s="3"/>
    </row>
    <row r="726" spans="1:11">
      <c r="A726" s="3">
        <v>43340</v>
      </c>
      <c r="B726" s="3">
        <v>311.86</v>
      </c>
      <c r="C726" s="4" cm="1">
        <f t="array" aca="1" ref="C726" ca="1">$B726-INDIRECT(ADDRESS(ROW()-C$2,2))</f>
        <v>6.3600000000000136</v>
      </c>
      <c r="D726" s="4" cm="1">
        <f t="array" aca="1" ref="D726" ca="1">$B726-INDIRECT(ADDRESS(ROW()-D$2,2))</f>
        <v>-10.039999999999964</v>
      </c>
      <c r="E726" s="4" cm="1">
        <f t="array" aca="1" ref="E726" ca="1">$B726-INDIRECT(ADDRESS(ROW()-E$2,2))</f>
        <v>-8.2400000000000091</v>
      </c>
      <c r="F726" s="3">
        <v>18184.289999999986</v>
      </c>
      <c r="G726" s="3">
        <v>0</v>
      </c>
      <c r="H726" s="3">
        <f t="shared" si="11"/>
        <v>18184.289999999986</v>
      </c>
      <c r="I726" s="3"/>
      <c r="J726" s="3"/>
      <c r="K726" s="3"/>
    </row>
    <row r="727" spans="1:11">
      <c r="A727" s="3">
        <v>43341</v>
      </c>
      <c r="B727" s="3">
        <v>305.01</v>
      </c>
      <c r="C727" s="4" cm="1">
        <f t="array" aca="1" ref="C727" ca="1">$B727-INDIRECT(ADDRESS(ROW()-C$2,2))</f>
        <v>-3.4300000000000068</v>
      </c>
      <c r="D727" s="4" cm="1">
        <f t="array" aca="1" ref="D727" ca="1">$B727-INDIRECT(ADDRESS(ROW()-D$2,2))</f>
        <v>-16.629999999999995</v>
      </c>
      <c r="E727" s="4" cm="1">
        <f t="array" aca="1" ref="E727" ca="1">$B727-INDIRECT(ADDRESS(ROW()-E$2,2))</f>
        <v>-17.810000000000002</v>
      </c>
      <c r="F727" s="3">
        <v>18184.289999999986</v>
      </c>
      <c r="G727" s="3">
        <v>0</v>
      </c>
      <c r="H727" s="3">
        <f t="shared" si="11"/>
        <v>18184.289999999986</v>
      </c>
      <c r="I727" s="3"/>
      <c r="J727" s="3"/>
      <c r="K727" s="3"/>
    </row>
    <row r="728" spans="1:11">
      <c r="A728" s="3">
        <v>43342</v>
      </c>
      <c r="B728" s="3">
        <v>303.14999999999998</v>
      </c>
      <c r="C728" s="4" cm="1">
        <f t="array" aca="1" ref="C728" ca="1">$B728-INDIRECT(ADDRESS(ROW()-C$2,2))</f>
        <v>-18.75</v>
      </c>
      <c r="D728" s="4" cm="1">
        <f t="array" aca="1" ref="D728" ca="1">$B728-INDIRECT(ADDRESS(ROW()-D$2,2))</f>
        <v>-16.950000000000045</v>
      </c>
      <c r="E728" s="4" cm="1">
        <f t="array" aca="1" ref="E728" ca="1">$B728-INDIRECT(ADDRESS(ROW()-E$2,2))</f>
        <v>-16.120000000000005</v>
      </c>
      <c r="F728" s="3">
        <v>18184.289999999986</v>
      </c>
      <c r="G728" s="3">
        <v>0</v>
      </c>
      <c r="H728" s="3">
        <f t="shared" si="11"/>
        <v>18184.289999999986</v>
      </c>
      <c r="I728" s="3"/>
      <c r="J728" s="3"/>
      <c r="K728" s="3"/>
    </row>
    <row r="729" spans="1:11">
      <c r="A729" s="3">
        <v>43343</v>
      </c>
      <c r="B729" s="3">
        <v>301.66000000000003</v>
      </c>
      <c r="C729" s="4" cm="1">
        <f t="array" aca="1" ref="C729" ca="1">$B729-INDIRECT(ADDRESS(ROW()-C$2,2))</f>
        <v>-19.979999999999961</v>
      </c>
      <c r="D729" s="4" cm="1">
        <f t="array" aca="1" ref="D729" ca="1">$B729-INDIRECT(ADDRESS(ROW()-D$2,2))</f>
        <v>-21.159999999999968</v>
      </c>
      <c r="E729" s="4" cm="1">
        <f t="array" aca="1" ref="E729" ca="1">$B729-INDIRECT(ADDRESS(ROW()-E$2,2))</f>
        <v>-10.199999999999989</v>
      </c>
      <c r="F729" s="3">
        <v>18184.289999999986</v>
      </c>
      <c r="G729" s="3">
        <v>0</v>
      </c>
      <c r="H729" s="3">
        <f t="shared" si="11"/>
        <v>18184.289999999986</v>
      </c>
      <c r="I729" s="3"/>
      <c r="J729" s="3"/>
      <c r="K729" s="3"/>
    </row>
    <row r="730" spans="1:11">
      <c r="A730" s="3">
        <v>43347</v>
      </c>
      <c r="B730" s="3">
        <v>288.95</v>
      </c>
      <c r="C730" s="4" cm="1">
        <f t="array" aca="1" ref="C730" ca="1">$B730-INDIRECT(ADDRESS(ROW()-C$2,2))</f>
        <v>-31.150000000000034</v>
      </c>
      <c r="D730" s="4" cm="1">
        <f t="array" aca="1" ref="D730" ca="1">$B730-INDIRECT(ADDRESS(ROW()-D$2,2))</f>
        <v>-30.319999999999993</v>
      </c>
      <c r="E730" s="4" cm="1">
        <f t="array" aca="1" ref="E730" ca="1">$B730-INDIRECT(ADDRESS(ROW()-E$2,2))</f>
        <v>-16.060000000000002</v>
      </c>
      <c r="F730" s="3">
        <v>18184.289999999986</v>
      </c>
      <c r="G730" s="3">
        <v>0</v>
      </c>
      <c r="H730" s="3">
        <f t="shared" si="11"/>
        <v>18184.289999999986</v>
      </c>
      <c r="I730" s="3"/>
      <c r="J730" s="3"/>
      <c r="K730" s="3"/>
    </row>
    <row r="731" spans="1:11">
      <c r="A731" s="3">
        <v>43348</v>
      </c>
      <c r="B731" s="3">
        <v>280.74</v>
      </c>
      <c r="C731" s="4" cm="1">
        <f t="array" aca="1" ref="C731" ca="1">$B731-INDIRECT(ADDRESS(ROW()-C$2,2))</f>
        <v>-42.079999999999984</v>
      </c>
      <c r="D731" s="4" cm="1">
        <f t="array" aca="1" ref="D731" ca="1">$B731-INDIRECT(ADDRESS(ROW()-D$2,2))</f>
        <v>-31.120000000000005</v>
      </c>
      <c r="E731" s="4" cm="1">
        <f t="array" aca="1" ref="E731" ca="1">$B731-INDIRECT(ADDRESS(ROW()-E$2,2))</f>
        <v>-22.409999999999968</v>
      </c>
      <c r="F731" s="3">
        <v>18184.289999999986</v>
      </c>
      <c r="G731" s="3">
        <v>0</v>
      </c>
      <c r="H731" s="3">
        <f t="shared" si="11"/>
        <v>18184.289999999986</v>
      </c>
      <c r="I731" s="3"/>
      <c r="J731" s="3"/>
      <c r="K731" s="3"/>
    </row>
    <row r="732" spans="1:11">
      <c r="A732" s="3">
        <v>43349</v>
      </c>
      <c r="B732" s="3">
        <v>280.95</v>
      </c>
      <c r="C732" s="4" cm="1">
        <f t="array" aca="1" ref="C732" ca="1">$B732-INDIRECT(ADDRESS(ROW()-C$2,2))</f>
        <v>-38.319999999999993</v>
      </c>
      <c r="D732" s="4" cm="1">
        <f t="array" aca="1" ref="D732" ca="1">$B732-INDIRECT(ADDRESS(ROW()-D$2,2))</f>
        <v>-24.060000000000002</v>
      </c>
      <c r="E732" s="4" cm="1">
        <f t="array" aca="1" ref="E732" ca="1">$B732-INDIRECT(ADDRESS(ROW()-E$2,2))</f>
        <v>-20.710000000000036</v>
      </c>
      <c r="F732" s="3">
        <v>18184.289999999986</v>
      </c>
      <c r="G732" s="3">
        <v>0</v>
      </c>
      <c r="H732" s="3">
        <f t="shared" si="11"/>
        <v>18184.289999999986</v>
      </c>
      <c r="I732" s="3"/>
      <c r="J732" s="3"/>
      <c r="K732" s="3"/>
    </row>
    <row r="733" spans="1:11">
      <c r="A733" s="3">
        <v>43350</v>
      </c>
      <c r="B733" s="3">
        <v>263.24</v>
      </c>
      <c r="C733" s="4" cm="1">
        <f t="array" aca="1" ref="C733" ca="1">$B733-INDIRECT(ADDRESS(ROW()-C$2,2))</f>
        <v>-48.620000000000005</v>
      </c>
      <c r="D733" s="4" cm="1">
        <f t="array" aca="1" ref="D733" ca="1">$B733-INDIRECT(ADDRESS(ROW()-D$2,2))</f>
        <v>-39.909999999999968</v>
      </c>
      <c r="E733" s="4" cm="1">
        <f t="array" aca="1" ref="E733" ca="1">$B733-INDIRECT(ADDRESS(ROW()-E$2,2))</f>
        <v>-25.70999999999998</v>
      </c>
      <c r="F733" s="3">
        <v>18184.289999999986</v>
      </c>
      <c r="G733" s="3">
        <v>0</v>
      </c>
      <c r="H733" s="3">
        <f t="shared" si="11"/>
        <v>18184.289999999986</v>
      </c>
      <c r="I733" s="3"/>
      <c r="J733" s="3"/>
      <c r="K733" s="3"/>
    </row>
    <row r="734" spans="1:11">
      <c r="A734" s="3">
        <v>43353</v>
      </c>
      <c r="B734" s="3">
        <v>285.5</v>
      </c>
      <c r="C734" s="4" cm="1">
        <f t="array" aca="1" ref="C734" ca="1">$B734-INDIRECT(ADDRESS(ROW()-C$2,2))</f>
        <v>-19.509999999999991</v>
      </c>
      <c r="D734" s="4" cm="1">
        <f t="array" aca="1" ref="D734" ca="1">$B734-INDIRECT(ADDRESS(ROW()-D$2,2))</f>
        <v>-16.160000000000025</v>
      </c>
      <c r="E734" s="4" cm="1">
        <f t="array" aca="1" ref="E734" ca="1">$B734-INDIRECT(ADDRESS(ROW()-E$2,2))</f>
        <v>4.7599999999999909</v>
      </c>
      <c r="F734" s="3">
        <v>18184.289999999986</v>
      </c>
      <c r="G734" s="3">
        <v>0</v>
      </c>
      <c r="H734" s="3">
        <f t="shared" si="11"/>
        <v>18184.289999999986</v>
      </c>
      <c r="I734" s="3"/>
      <c r="J734" s="3"/>
      <c r="K734" s="3"/>
    </row>
    <row r="735" spans="1:11">
      <c r="A735" s="3">
        <v>43354</v>
      </c>
      <c r="B735" s="3">
        <v>279.44</v>
      </c>
      <c r="C735" s="4" cm="1">
        <f t="array" aca="1" ref="C735" ca="1">$B735-INDIRECT(ADDRESS(ROW()-C$2,2))</f>
        <v>-23.70999999999998</v>
      </c>
      <c r="D735" s="4" cm="1">
        <f t="array" aca="1" ref="D735" ca="1">$B735-INDIRECT(ADDRESS(ROW()-D$2,2))</f>
        <v>-9.5099999999999909</v>
      </c>
      <c r="E735" s="4" cm="1">
        <f t="array" aca="1" ref="E735" ca="1">$B735-INDIRECT(ADDRESS(ROW()-E$2,2))</f>
        <v>-1.5099999999999909</v>
      </c>
      <c r="F735" s="3">
        <v>18184.289999999986</v>
      </c>
      <c r="G735" s="3">
        <v>0</v>
      </c>
      <c r="H735" s="3">
        <f t="shared" si="11"/>
        <v>18184.289999999986</v>
      </c>
      <c r="I735" s="3"/>
      <c r="J735" s="3"/>
      <c r="K735" s="3"/>
    </row>
    <row r="736" spans="1:11">
      <c r="A736" s="3">
        <v>43355</v>
      </c>
      <c r="B736" s="3">
        <v>290.54000000000002</v>
      </c>
      <c r="C736" s="4" cm="1">
        <f t="array" aca="1" ref="C736" ca="1">$B736-INDIRECT(ADDRESS(ROW()-C$2,2))</f>
        <v>-11.120000000000005</v>
      </c>
      <c r="D736" s="4" cm="1">
        <f t="array" aca="1" ref="D736" ca="1">$B736-INDIRECT(ADDRESS(ROW()-D$2,2))</f>
        <v>9.8000000000000114</v>
      </c>
      <c r="E736" s="4" cm="1">
        <f t="array" aca="1" ref="E736" ca="1">$B736-INDIRECT(ADDRESS(ROW()-E$2,2))</f>
        <v>27.300000000000011</v>
      </c>
      <c r="F736" s="3">
        <v>170.80999999995754</v>
      </c>
      <c r="G736" s="3">
        <v>18013.48</v>
      </c>
      <c r="H736" s="3">
        <f t="shared" si="11"/>
        <v>18184.289999999957</v>
      </c>
      <c r="I736" s="3"/>
      <c r="J736" s="3"/>
      <c r="K736" s="3"/>
    </row>
    <row r="737" spans="1:11">
      <c r="A737" s="3">
        <v>43356</v>
      </c>
      <c r="B737" s="3">
        <v>289.45999999999998</v>
      </c>
      <c r="C737" s="4" cm="1">
        <f t="array" aca="1" ref="C737" ca="1">$B737-INDIRECT(ADDRESS(ROW()-C$2,2))</f>
        <v>0.50999999999999091</v>
      </c>
      <c r="D737" s="4" cm="1">
        <f t="array" aca="1" ref="D737" ca="1">$B737-INDIRECT(ADDRESS(ROW()-D$2,2))</f>
        <v>8.5099999999999909</v>
      </c>
      <c r="E737" s="4" cm="1">
        <f t="array" aca="1" ref="E737" ca="1">$B737-INDIRECT(ADDRESS(ROW()-E$2,2))</f>
        <v>3.9599999999999795</v>
      </c>
      <c r="F737" s="3">
        <v>170.80999999995754</v>
      </c>
      <c r="G737" s="3">
        <v>17946.52</v>
      </c>
      <c r="H737" s="3">
        <f t="shared" si="11"/>
        <v>18117.329999999958</v>
      </c>
      <c r="I737" s="3"/>
      <c r="J737" s="3"/>
      <c r="K737" s="3"/>
    </row>
    <row r="738" spans="1:11">
      <c r="A738" s="3">
        <v>43357</v>
      </c>
      <c r="B738" s="3">
        <v>295.2</v>
      </c>
      <c r="C738" s="4" cm="1">
        <f t="array" aca="1" ref="C738" ca="1">$B738-INDIRECT(ADDRESS(ROW()-C$2,2))</f>
        <v>14.45999999999998</v>
      </c>
      <c r="D738" s="4" cm="1">
        <f t="array" aca="1" ref="D738" ca="1">$B738-INDIRECT(ADDRESS(ROW()-D$2,2))</f>
        <v>31.95999999999998</v>
      </c>
      <c r="E738" s="4" cm="1">
        <f t="array" aca="1" ref="E738" ca="1">$B738-INDIRECT(ADDRESS(ROW()-E$2,2))</f>
        <v>15.759999999999991</v>
      </c>
      <c r="F738" s="3">
        <v>170.80999999995754</v>
      </c>
      <c r="G738" s="3">
        <v>18302.399999999998</v>
      </c>
      <c r="H738" s="3">
        <f t="shared" si="11"/>
        <v>18473.209999999955</v>
      </c>
      <c r="I738" s="3"/>
      <c r="J738" s="3"/>
      <c r="K738" s="3"/>
    </row>
    <row r="739" spans="1:11">
      <c r="A739" s="3">
        <v>43360</v>
      </c>
      <c r="B739" s="3">
        <v>294.83999999999997</v>
      </c>
      <c r="C739" s="4" cm="1">
        <f t="array" aca="1" ref="C739" ca="1">$B739-INDIRECT(ADDRESS(ROW()-C$2,2))</f>
        <v>13.889999999999986</v>
      </c>
      <c r="D739" s="4" cm="1">
        <f t="array" aca="1" ref="D739" ca="1">$B739-INDIRECT(ADDRESS(ROW()-D$2,2))</f>
        <v>9.339999999999975</v>
      </c>
      <c r="E739" s="4" cm="1">
        <f t="array" aca="1" ref="E739" ca="1">$B739-INDIRECT(ADDRESS(ROW()-E$2,2))</f>
        <v>4.2999999999999545</v>
      </c>
      <c r="F739" s="3">
        <v>170.80999999995754</v>
      </c>
      <c r="G739" s="3">
        <v>18280.079999999998</v>
      </c>
      <c r="H739" s="3">
        <f t="shared" si="11"/>
        <v>18450.889999999956</v>
      </c>
      <c r="I739" s="3"/>
      <c r="J739" s="3"/>
      <c r="K739" s="3"/>
    </row>
    <row r="740" spans="1:11">
      <c r="A740" s="3">
        <v>43361</v>
      </c>
      <c r="B740" s="3">
        <v>284.95999999999998</v>
      </c>
      <c r="C740" s="4" cm="1">
        <f t="array" aca="1" ref="C740" ca="1">$B740-INDIRECT(ADDRESS(ROW()-C$2,2))</f>
        <v>21.71999999999997</v>
      </c>
      <c r="D740" s="4" cm="1">
        <f t="array" aca="1" ref="D740" ca="1">$B740-INDIRECT(ADDRESS(ROW()-D$2,2))</f>
        <v>5.5199999999999818</v>
      </c>
      <c r="E740" s="4" cm="1">
        <f t="array" aca="1" ref="E740" ca="1">$B740-INDIRECT(ADDRESS(ROW()-E$2,2))</f>
        <v>-4.5</v>
      </c>
      <c r="F740" s="3">
        <v>170.80999999995754</v>
      </c>
      <c r="G740" s="3">
        <v>17667.52</v>
      </c>
      <c r="H740" s="3">
        <f t="shared" si="11"/>
        <v>17838.329999999958</v>
      </c>
      <c r="I740" s="3"/>
      <c r="J740" s="3"/>
      <c r="K740" s="3"/>
    </row>
    <row r="741" spans="1:11">
      <c r="A741" s="3">
        <v>43362</v>
      </c>
      <c r="B741" s="3">
        <v>299.02</v>
      </c>
      <c r="C741" s="4" cm="1">
        <f t="array" aca="1" ref="C741" ca="1">$B741-INDIRECT(ADDRESS(ROW()-C$2,2))</f>
        <v>13.519999999999982</v>
      </c>
      <c r="D741" s="4" cm="1">
        <f t="array" aca="1" ref="D741" ca="1">$B741-INDIRECT(ADDRESS(ROW()-D$2,2))</f>
        <v>8.4799999999999613</v>
      </c>
      <c r="E741" s="4" cm="1">
        <f t="array" aca="1" ref="E741" ca="1">$B741-INDIRECT(ADDRESS(ROW()-E$2,2))</f>
        <v>3.8199999999999932</v>
      </c>
      <c r="F741" s="3">
        <v>170.80999999995754</v>
      </c>
      <c r="G741" s="3">
        <v>18539.239999999998</v>
      </c>
      <c r="H741" s="3">
        <f t="shared" si="11"/>
        <v>18710.049999999956</v>
      </c>
      <c r="I741" s="3"/>
      <c r="J741" s="3"/>
      <c r="K741" s="3"/>
    </row>
    <row r="742" spans="1:11">
      <c r="A742" s="3">
        <v>43363</v>
      </c>
      <c r="B742" s="3">
        <v>298.33</v>
      </c>
      <c r="C742" s="4" cm="1">
        <f t="array" aca="1" ref="C742" ca="1">$B742-INDIRECT(ADDRESS(ROW()-C$2,2))</f>
        <v>18.889999999999986</v>
      </c>
      <c r="D742" s="4" cm="1">
        <f t="array" aca="1" ref="D742" ca="1">$B742-INDIRECT(ADDRESS(ROW()-D$2,2))</f>
        <v>8.8700000000000045</v>
      </c>
      <c r="E742" s="4" cm="1">
        <f t="array" aca="1" ref="E742" ca="1">$B742-INDIRECT(ADDRESS(ROW()-E$2,2))</f>
        <v>3.4900000000000091</v>
      </c>
      <c r="F742" s="3">
        <v>170.80999999995754</v>
      </c>
      <c r="G742" s="3">
        <v>18496.46</v>
      </c>
      <c r="H742" s="3">
        <f t="shared" si="11"/>
        <v>18667.269999999957</v>
      </c>
      <c r="I742" s="3"/>
      <c r="J742" s="3"/>
      <c r="K742" s="3"/>
    </row>
    <row r="743" spans="1:11">
      <c r="A743" s="3">
        <v>43364</v>
      </c>
      <c r="B743" s="3">
        <v>299.10000000000002</v>
      </c>
      <c r="C743" s="4" cm="1">
        <f t="array" aca="1" ref="C743" ca="1">$B743-INDIRECT(ADDRESS(ROW()-C$2,2))</f>
        <v>8.5600000000000023</v>
      </c>
      <c r="D743" s="4" cm="1">
        <f t="array" aca="1" ref="D743" ca="1">$B743-INDIRECT(ADDRESS(ROW()-D$2,2))</f>
        <v>3.9000000000000341</v>
      </c>
      <c r="E743" s="4" cm="1">
        <f t="array" aca="1" ref="E743" ca="1">$B743-INDIRECT(ADDRESS(ROW()-E$2,2))</f>
        <v>14.140000000000043</v>
      </c>
      <c r="F743" s="3">
        <v>170.80999999995754</v>
      </c>
      <c r="G743" s="3">
        <v>18544.2</v>
      </c>
      <c r="H743" s="3">
        <f t="shared" si="11"/>
        <v>18715.009999999958</v>
      </c>
      <c r="I743" s="3"/>
      <c r="J743" s="3"/>
      <c r="K743" s="3"/>
    </row>
    <row r="744" spans="1:11">
      <c r="A744" s="3">
        <v>43367</v>
      </c>
      <c r="B744" s="3">
        <v>299.68</v>
      </c>
      <c r="C744" s="4" cm="1">
        <f t="array" aca="1" ref="C744" ca="1">$B744-INDIRECT(ADDRESS(ROW()-C$2,2))</f>
        <v>10.220000000000027</v>
      </c>
      <c r="D744" s="4" cm="1">
        <f t="array" aca="1" ref="D744" ca="1">$B744-INDIRECT(ADDRESS(ROW()-D$2,2))</f>
        <v>4.8400000000000318</v>
      </c>
      <c r="E744" s="4" cm="1">
        <f t="array" aca="1" ref="E744" ca="1">$B744-INDIRECT(ADDRESS(ROW()-E$2,2))</f>
        <v>0.66000000000002501</v>
      </c>
      <c r="F744" s="3">
        <v>170.80999999995754</v>
      </c>
      <c r="G744" s="3">
        <v>18580.16</v>
      </c>
      <c r="H744" s="3">
        <f t="shared" si="11"/>
        <v>18750.969999999958</v>
      </c>
      <c r="I744" s="3"/>
      <c r="J744" s="3"/>
      <c r="K744" s="3"/>
    </row>
    <row r="745" spans="1:11">
      <c r="A745" s="3">
        <v>43368</v>
      </c>
      <c r="B745" s="3">
        <v>300.99</v>
      </c>
      <c r="C745" s="4" cm="1">
        <f t="array" aca="1" ref="C745" ca="1">$B745-INDIRECT(ADDRESS(ROW()-C$2,2))</f>
        <v>5.7900000000000205</v>
      </c>
      <c r="D745" s="4" cm="1">
        <f t="array" aca="1" ref="D745" ca="1">$B745-INDIRECT(ADDRESS(ROW()-D$2,2))</f>
        <v>16.03000000000003</v>
      </c>
      <c r="E745" s="4" cm="1">
        <f t="array" aca="1" ref="E745" ca="1">$B745-INDIRECT(ADDRESS(ROW()-E$2,2))</f>
        <v>2.660000000000025</v>
      </c>
      <c r="F745" s="3">
        <v>170.80999999995754</v>
      </c>
      <c r="G745" s="3">
        <v>18661.38</v>
      </c>
      <c r="H745" s="3">
        <f t="shared" si="11"/>
        <v>18832.189999999959</v>
      </c>
      <c r="I745" s="3"/>
      <c r="J745" s="3"/>
      <c r="K745" s="3"/>
    </row>
    <row r="746" spans="1:11">
      <c r="A746" s="3">
        <v>43369</v>
      </c>
      <c r="B746" s="3">
        <v>309.58</v>
      </c>
      <c r="C746" s="4" cm="1">
        <f t="array" aca="1" ref="C746" ca="1">$B746-INDIRECT(ADDRESS(ROW()-C$2,2))</f>
        <v>14.740000000000009</v>
      </c>
      <c r="D746" s="4" cm="1">
        <f t="array" aca="1" ref="D746" ca="1">$B746-INDIRECT(ADDRESS(ROW()-D$2,2))</f>
        <v>10.560000000000002</v>
      </c>
      <c r="E746" s="4" cm="1">
        <f t="array" aca="1" ref="E746" ca="1">$B746-INDIRECT(ADDRESS(ROW()-E$2,2))</f>
        <v>10.479999999999961</v>
      </c>
      <c r="F746" s="3">
        <v>170.80999999995754</v>
      </c>
      <c r="G746" s="3">
        <v>19193.96</v>
      </c>
      <c r="H746" s="3">
        <f t="shared" si="11"/>
        <v>19364.769999999957</v>
      </c>
      <c r="I746" s="3"/>
      <c r="J746" s="3"/>
      <c r="K746" s="3"/>
    </row>
    <row r="747" spans="1:11">
      <c r="A747" s="3">
        <v>43370</v>
      </c>
      <c r="B747" s="3">
        <v>307.52</v>
      </c>
      <c r="C747" s="4" cm="1">
        <f t="array" aca="1" ref="C747" ca="1">$B747-INDIRECT(ADDRESS(ROW()-C$2,2))</f>
        <v>22.560000000000002</v>
      </c>
      <c r="D747" s="4" cm="1">
        <f t="array" aca="1" ref="D747" ca="1">$B747-INDIRECT(ADDRESS(ROW()-D$2,2))</f>
        <v>9.1899999999999977</v>
      </c>
      <c r="E747" s="4" cm="1">
        <f t="array" aca="1" ref="E747" ca="1">$B747-INDIRECT(ADDRESS(ROW()-E$2,2))</f>
        <v>7.839999999999975</v>
      </c>
      <c r="F747" s="3">
        <v>170.80999999995754</v>
      </c>
      <c r="G747" s="3">
        <v>19066.239999999998</v>
      </c>
      <c r="H747" s="3">
        <f t="shared" si="11"/>
        <v>19237.049999999956</v>
      </c>
      <c r="I747" s="3"/>
      <c r="J747" s="3"/>
      <c r="K747" s="3"/>
    </row>
    <row r="748" spans="1:11">
      <c r="A748" s="3">
        <v>43371</v>
      </c>
      <c r="B748" s="3">
        <v>264.77</v>
      </c>
      <c r="C748" s="4" cm="1">
        <f t="array" aca="1" ref="C748" ca="1">$B748-INDIRECT(ADDRESS(ROW()-C$2,2))</f>
        <v>-34.25</v>
      </c>
      <c r="D748" s="4" cm="1">
        <f t="array" aca="1" ref="D748" ca="1">$B748-INDIRECT(ADDRESS(ROW()-D$2,2))</f>
        <v>-34.330000000000041</v>
      </c>
      <c r="E748" s="4" cm="1">
        <f t="array" aca="1" ref="E748" ca="1">$B748-INDIRECT(ADDRESS(ROW()-E$2,2))</f>
        <v>-36.220000000000027</v>
      </c>
      <c r="F748" s="3">
        <v>170.80999999995754</v>
      </c>
      <c r="G748" s="3">
        <v>16415.739999999998</v>
      </c>
      <c r="H748" s="3">
        <f t="shared" si="11"/>
        <v>16586.549999999956</v>
      </c>
      <c r="I748" s="3"/>
      <c r="J748" s="3"/>
      <c r="K748" s="3"/>
    </row>
    <row r="749" spans="1:11">
      <c r="A749" s="3">
        <v>43374</v>
      </c>
      <c r="B749" s="3">
        <v>310.7</v>
      </c>
      <c r="C749" s="4" cm="1">
        <f t="array" aca="1" ref="C749" ca="1">$B749-INDIRECT(ADDRESS(ROW()-C$2,2))</f>
        <v>12.370000000000005</v>
      </c>
      <c r="D749" s="4" cm="1">
        <f t="array" aca="1" ref="D749" ca="1">$B749-INDIRECT(ADDRESS(ROW()-D$2,2))</f>
        <v>11.019999999999982</v>
      </c>
      <c r="E749" s="4" cm="1">
        <f t="array" aca="1" ref="E749" ca="1">$B749-INDIRECT(ADDRESS(ROW()-E$2,2))</f>
        <v>1.1200000000000045</v>
      </c>
      <c r="F749" s="3">
        <v>170.80999999995754</v>
      </c>
      <c r="G749" s="3">
        <v>19263.399999999998</v>
      </c>
      <c r="H749" s="3">
        <f t="shared" si="11"/>
        <v>19434.209999999955</v>
      </c>
      <c r="I749" s="3"/>
      <c r="J749" s="3"/>
      <c r="K749" s="3"/>
    </row>
    <row r="750" spans="1:11">
      <c r="A750" s="3">
        <v>43375</v>
      </c>
      <c r="B750" s="3">
        <v>301.02</v>
      </c>
      <c r="C750" s="4" cm="1">
        <f t="array" aca="1" ref="C750" ca="1">$B750-INDIRECT(ADDRESS(ROW()-C$2,2))</f>
        <v>1.9199999999999591</v>
      </c>
      <c r="D750" s="4" cm="1">
        <f t="array" aca="1" ref="D750" ca="1">$B750-INDIRECT(ADDRESS(ROW()-D$2,2))</f>
        <v>2.9999999999972715E-2</v>
      </c>
      <c r="E750" s="4" cm="1">
        <f t="array" aca="1" ref="E750" ca="1">$B750-INDIRECT(ADDRESS(ROW()-E$2,2))</f>
        <v>-6.5</v>
      </c>
      <c r="F750" s="3">
        <v>170.80999999995754</v>
      </c>
      <c r="G750" s="3">
        <v>18663.239999999998</v>
      </c>
      <c r="H750" s="3">
        <f t="shared" si="11"/>
        <v>18834.049999999956</v>
      </c>
      <c r="I750" s="3"/>
      <c r="J750" s="3"/>
      <c r="K750" s="3"/>
    </row>
    <row r="751" spans="1:11">
      <c r="A751" s="3">
        <v>43376</v>
      </c>
      <c r="B751" s="3">
        <v>294.8</v>
      </c>
      <c r="C751" s="4" cm="1">
        <f t="array" aca="1" ref="C751" ca="1">$B751-INDIRECT(ADDRESS(ROW()-C$2,2))</f>
        <v>-4.8799999999999955</v>
      </c>
      <c r="D751" s="4" cm="1">
        <f t="array" aca="1" ref="D751" ca="1">$B751-INDIRECT(ADDRESS(ROW()-D$2,2))</f>
        <v>-14.779999999999973</v>
      </c>
      <c r="E751" s="4" cm="1">
        <f t="array" aca="1" ref="E751" ca="1">$B751-INDIRECT(ADDRESS(ROW()-E$2,2))</f>
        <v>30.03000000000003</v>
      </c>
      <c r="F751" s="3">
        <v>15265.50999999998</v>
      </c>
      <c r="G751" s="3">
        <v>0</v>
      </c>
      <c r="H751" s="3">
        <f t="shared" ref="H751" si="12">G751+F751</f>
        <v>15265.50999999998</v>
      </c>
      <c r="I751" s="3"/>
      <c r="J751" s="3"/>
      <c r="K751" s="3"/>
    </row>
    <row r="752" spans="1:11">
      <c r="A752" s="3">
        <v>43377</v>
      </c>
      <c r="B752" s="3">
        <v>281.83</v>
      </c>
      <c r="C752" s="4" cm="1">
        <f t="array" aca="1" ref="C752" ca="1">$B752-INDIRECT(ADDRESS(ROW()-C$2,2))</f>
        <v>-19.160000000000025</v>
      </c>
      <c r="D752" s="4" cm="1">
        <f t="array" aca="1" ref="D752" ca="1">$B752-INDIRECT(ADDRESS(ROW()-D$2,2))</f>
        <v>-25.689999999999998</v>
      </c>
      <c r="E752" s="4" cm="1">
        <f t="array" aca="1" ref="E752" ca="1">$B752-INDIRECT(ADDRESS(ROW()-E$2,2))</f>
        <v>-28.870000000000005</v>
      </c>
      <c r="F752" s="3"/>
      <c r="G752" s="3"/>
      <c r="H752" s="3"/>
      <c r="I752" s="3"/>
      <c r="J752" s="3"/>
      <c r="K752" s="3"/>
    </row>
    <row r="753" spans="1:11">
      <c r="A753" s="3">
        <v>43378</v>
      </c>
      <c r="B753" s="3">
        <v>261.95</v>
      </c>
      <c r="C753" s="4" cm="1">
        <f t="array" aca="1" ref="C753" ca="1">$B753-INDIRECT(ADDRESS(ROW()-C$2,2))</f>
        <v>-47.629999999999995</v>
      </c>
      <c r="D753" s="4" cm="1">
        <f t="array" aca="1" ref="D753" ca="1">$B753-INDIRECT(ADDRESS(ROW()-D$2,2))</f>
        <v>-2.8199999999999932</v>
      </c>
      <c r="E753" s="4" cm="1">
        <f t="array" aca="1" ref="E753" ca="1">$B753-INDIRECT(ADDRESS(ROW()-E$2,2))</f>
        <v>-39.069999999999993</v>
      </c>
      <c r="F753" s="3"/>
      <c r="G753" s="3"/>
      <c r="H753" s="3"/>
      <c r="I753" s="3"/>
      <c r="J753" s="3"/>
      <c r="K753" s="3"/>
    </row>
    <row r="754" spans="1:11">
      <c r="A754" s="3">
        <v>43381</v>
      </c>
      <c r="B754" s="3">
        <v>250.56</v>
      </c>
      <c r="C754" s="4" cm="1">
        <f t="array" aca="1" ref="C754" ca="1">$B754-INDIRECT(ADDRESS(ROW()-C$2,2))</f>
        <v>-56.95999999999998</v>
      </c>
      <c r="D754" s="4" cm="1">
        <f t="array" aca="1" ref="D754" ca="1">$B754-INDIRECT(ADDRESS(ROW()-D$2,2))</f>
        <v>-60.139999999999986</v>
      </c>
      <c r="E754" s="4" cm="1">
        <f t="array" aca="1" ref="E754" ca="1">$B754-INDIRECT(ADDRESS(ROW()-E$2,2))</f>
        <v>-44.240000000000009</v>
      </c>
      <c r="F754" s="3"/>
      <c r="G754" s="3"/>
      <c r="H754" s="3"/>
      <c r="I754" s="3"/>
      <c r="J754" s="3"/>
      <c r="K754" s="3"/>
    </row>
    <row r="755" spans="1:11">
      <c r="A755" s="3">
        <v>43382</v>
      </c>
      <c r="B755" s="3">
        <v>262.8</v>
      </c>
      <c r="C755" s="4" cm="1">
        <f t="array" aca="1" ref="C755" ca="1">$B755-INDIRECT(ADDRESS(ROW()-C$2,2))</f>
        <v>-1.9699999999999704</v>
      </c>
      <c r="D755" s="4" cm="1">
        <f t="array" aca="1" ref="D755" ca="1">$B755-INDIRECT(ADDRESS(ROW()-D$2,2))</f>
        <v>-38.21999999999997</v>
      </c>
      <c r="E755" s="4" cm="1">
        <f t="array" aca="1" ref="E755" ca="1">$B755-INDIRECT(ADDRESS(ROW()-E$2,2))</f>
        <v>-19.029999999999973</v>
      </c>
      <c r="F755" s="3"/>
      <c r="G755" s="3"/>
      <c r="H755" s="3"/>
      <c r="I755" s="3"/>
      <c r="J755" s="3"/>
      <c r="K755" s="3"/>
    </row>
    <row r="756" spans="1:11">
      <c r="A756" s="3">
        <v>43383</v>
      </c>
      <c r="B756" s="3">
        <v>256.88</v>
      </c>
      <c r="C756" s="4" cm="1">
        <f t="array" aca="1" ref="C756" ca="1">$B756-INDIRECT(ADDRESS(ROW()-C$2,2))</f>
        <v>-53.819999999999993</v>
      </c>
      <c r="D756" s="4" cm="1">
        <f t="array" aca="1" ref="D756" ca="1">$B756-INDIRECT(ADDRESS(ROW()-D$2,2))</f>
        <v>-37.920000000000016</v>
      </c>
      <c r="E756" s="4" cm="1">
        <f t="array" aca="1" ref="E756" ca="1">$B756-INDIRECT(ADDRESS(ROW()-E$2,2))</f>
        <v>-5.0699999999999932</v>
      </c>
      <c r="F756" s="3"/>
      <c r="G756" s="3"/>
      <c r="H756" s="3"/>
      <c r="I756" s="3"/>
      <c r="J756" s="3"/>
      <c r="K756" s="3"/>
    </row>
    <row r="757" spans="1:11">
      <c r="A757" s="3">
        <v>43384</v>
      </c>
      <c r="B757" s="3">
        <v>252.23</v>
      </c>
      <c r="C757" s="4" cm="1">
        <f t="array" aca="1" ref="C757" ca="1">$B757-INDIRECT(ADDRESS(ROW()-C$2,2))</f>
        <v>-48.789999999999992</v>
      </c>
      <c r="D757" s="4" cm="1">
        <f t="array" aca="1" ref="D757" ca="1">$B757-INDIRECT(ADDRESS(ROW()-D$2,2))</f>
        <v>-29.599999999999994</v>
      </c>
      <c r="E757" s="4" cm="1">
        <f t="array" aca="1" ref="E757" ca="1">$B757-INDIRECT(ADDRESS(ROW()-E$2,2))</f>
        <v>1.6699999999999875</v>
      </c>
      <c r="F757" s="3"/>
      <c r="G757" s="3"/>
      <c r="H757" s="3"/>
      <c r="I757" s="3"/>
      <c r="J757" s="3"/>
      <c r="K757" s="3"/>
    </row>
    <row r="758" spans="1:11">
      <c r="A758" s="3">
        <v>43385</v>
      </c>
      <c r="B758" s="3">
        <v>258.77999999999997</v>
      </c>
      <c r="C758" s="4" cm="1">
        <f t="array" aca="1" ref="C758" ca="1">$B758-INDIRECT(ADDRESS(ROW()-C$2,2))</f>
        <v>-36.020000000000039</v>
      </c>
      <c r="D758" s="4" cm="1">
        <f t="array" aca="1" ref="D758" ca="1">$B758-INDIRECT(ADDRESS(ROW()-D$2,2))</f>
        <v>-3.1700000000000159</v>
      </c>
      <c r="E758" s="4" cm="1">
        <f t="array" aca="1" ref="E758" ca="1">$B758-INDIRECT(ADDRESS(ROW()-E$2,2))</f>
        <v>-4.0200000000000387</v>
      </c>
      <c r="F758" s="3"/>
      <c r="G758" s="3"/>
      <c r="H758" s="3"/>
      <c r="I758" s="3"/>
      <c r="J758" s="3"/>
      <c r="K758" s="3"/>
    </row>
    <row r="759" spans="1:11">
      <c r="A759" s="3">
        <v>43388</v>
      </c>
      <c r="B759" s="3">
        <v>259.58999999999997</v>
      </c>
      <c r="C759" s="4" cm="1">
        <f t="array" aca="1" ref="C759" ca="1">$B759-INDIRECT(ADDRESS(ROW()-C$2,2))</f>
        <v>-22.240000000000009</v>
      </c>
      <c r="D759" s="4" cm="1">
        <f t="array" aca="1" ref="D759" ca="1">$B759-INDIRECT(ADDRESS(ROW()-D$2,2))</f>
        <v>9.0299999999999727</v>
      </c>
      <c r="E759" s="4" cm="1">
        <f t="array" aca="1" ref="E759" ca="1">$B759-INDIRECT(ADDRESS(ROW()-E$2,2))</f>
        <v>2.7099999999999795</v>
      </c>
      <c r="F759" s="3"/>
      <c r="G759" s="3"/>
      <c r="H759" s="3"/>
      <c r="I759" s="3"/>
      <c r="J759" s="3"/>
      <c r="K759" s="3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444F0-F787-4208-B2BD-476548EA2480}">
  <sheetPr codeName="Sheet4"/>
  <dimension ref="A1:P760"/>
  <sheetViews>
    <sheetView tabSelected="1" zoomScale="80" zoomScaleNormal="80" workbookViewId="0">
      <selection activeCell="H8" sqref="H8"/>
    </sheetView>
  </sheetViews>
  <sheetFormatPr defaultRowHeight="15"/>
  <cols>
    <col min="1" max="1" width="11.5703125" bestFit="1" customWidth="1"/>
    <col min="3" max="5" width="11.5703125" customWidth="1"/>
  </cols>
  <sheetData>
    <row r="1" spans="1:12">
      <c r="C1" s="6" t="s">
        <v>10</v>
      </c>
      <c r="D1" s="6" t="s">
        <v>11</v>
      </c>
      <c r="E1" s="6" t="s">
        <v>12</v>
      </c>
    </row>
    <row r="2" spans="1:12">
      <c r="A2" s="3"/>
      <c r="B2" s="5" t="s">
        <v>9</v>
      </c>
      <c r="C2" s="7">
        <v>3</v>
      </c>
      <c r="D2" s="7">
        <v>10</v>
      </c>
      <c r="E2" s="7">
        <v>4</v>
      </c>
      <c r="F2" s="3"/>
      <c r="G2" s="3"/>
      <c r="H2" s="3"/>
      <c r="I2" s="3"/>
      <c r="J2" s="3"/>
      <c r="K2" s="3"/>
      <c r="L2" s="3"/>
    </row>
    <row r="3" spans="1:12">
      <c r="A3" s="3"/>
      <c r="B3" s="5"/>
      <c r="C3" s="7">
        <v>0</v>
      </c>
      <c r="D3" s="7">
        <v>0</v>
      </c>
      <c r="E3" s="7">
        <v>1</v>
      </c>
      <c r="F3" s="3"/>
      <c r="G3" s="3"/>
      <c r="H3" s="3"/>
      <c r="I3" s="3"/>
      <c r="J3" s="3"/>
      <c r="K3" s="3"/>
      <c r="L3" s="3"/>
    </row>
    <row r="4" spans="1:12">
      <c r="A4" s="3" t="s">
        <v>0</v>
      </c>
      <c r="B4" s="3" t="s">
        <v>1</v>
      </c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>
      <c r="A5" s="3">
        <v>42292</v>
      </c>
      <c r="B5" s="3">
        <v>221.31</v>
      </c>
      <c r="C5" s="3"/>
      <c r="D5" s="4"/>
      <c r="E5" s="3"/>
      <c r="F5" s="3"/>
      <c r="G5" s="3"/>
      <c r="H5" s="3"/>
      <c r="I5" s="3"/>
      <c r="J5" s="3"/>
      <c r="K5" s="3"/>
      <c r="L5" s="3"/>
    </row>
    <row r="6" spans="1:12">
      <c r="A6" s="3">
        <v>42293</v>
      </c>
      <c r="B6" s="3">
        <v>227.01</v>
      </c>
      <c r="C6" s="3"/>
      <c r="D6" s="4"/>
      <c r="E6" s="3"/>
      <c r="F6" s="3"/>
      <c r="G6" s="3"/>
      <c r="H6" s="3"/>
      <c r="I6" s="3"/>
      <c r="J6" s="3"/>
      <c r="K6" s="3"/>
      <c r="L6" s="3"/>
    </row>
    <row r="7" spans="1:12">
      <c r="A7" s="3">
        <v>42296</v>
      </c>
      <c r="B7" s="3">
        <v>228.1</v>
      </c>
      <c r="C7" s="3"/>
      <c r="D7" s="4"/>
      <c r="E7" s="3"/>
      <c r="F7" s="3"/>
      <c r="G7" s="3"/>
      <c r="H7" s="3"/>
      <c r="I7" s="3"/>
      <c r="J7" s="3"/>
      <c r="K7" s="3"/>
      <c r="L7" s="3"/>
    </row>
    <row r="8" spans="1:12">
      <c r="A8" s="3">
        <v>42297</v>
      </c>
      <c r="B8" s="3">
        <v>213.03</v>
      </c>
      <c r="C8" s="3"/>
      <c r="D8" s="4"/>
      <c r="E8" s="3"/>
      <c r="F8" s="3"/>
      <c r="G8" s="3"/>
      <c r="H8" s="3"/>
      <c r="I8" s="3"/>
      <c r="J8" s="3"/>
      <c r="K8" s="3"/>
      <c r="L8" s="3"/>
    </row>
    <row r="9" spans="1:12">
      <c r="A9" s="3">
        <v>42298</v>
      </c>
      <c r="B9" s="3">
        <v>210.09</v>
      </c>
      <c r="C9" s="3"/>
      <c r="D9" s="4"/>
      <c r="E9" s="3"/>
      <c r="F9" s="3"/>
      <c r="G9" s="3"/>
      <c r="H9" s="3"/>
      <c r="I9" s="3"/>
      <c r="J9" s="3"/>
      <c r="K9" s="3"/>
      <c r="L9" s="3"/>
    </row>
    <row r="10" spans="1:12">
      <c r="A10" s="3">
        <v>42299</v>
      </c>
      <c r="B10" s="3">
        <v>211.72</v>
      </c>
      <c r="C10" s="3"/>
      <c r="D10" s="4"/>
      <c r="E10" s="3"/>
      <c r="F10" s="3"/>
      <c r="G10" s="3"/>
      <c r="H10" s="3"/>
      <c r="I10" s="3"/>
      <c r="J10" s="3"/>
      <c r="K10" s="3"/>
      <c r="L10" s="3"/>
    </row>
    <row r="11" spans="1:12">
      <c r="A11" s="3">
        <v>42300</v>
      </c>
      <c r="B11" s="3">
        <v>209.09</v>
      </c>
      <c r="C11" s="3"/>
      <c r="D11" s="4"/>
      <c r="E11" s="3"/>
      <c r="F11" s="3"/>
      <c r="G11" s="3"/>
      <c r="H11" s="3"/>
      <c r="I11" s="3"/>
      <c r="J11" s="3"/>
      <c r="K11" s="3"/>
      <c r="L11" s="3"/>
    </row>
    <row r="12" spans="1:12">
      <c r="A12" s="3">
        <v>42303</v>
      </c>
      <c r="B12" s="3">
        <v>215.26</v>
      </c>
      <c r="C12" s="3"/>
      <c r="D12" s="4"/>
      <c r="E12" s="3"/>
      <c r="F12" s="3"/>
      <c r="G12" s="3"/>
      <c r="H12" s="3"/>
      <c r="I12" s="3"/>
      <c r="J12" s="3"/>
      <c r="K12" s="3"/>
      <c r="L12" s="3"/>
    </row>
    <row r="13" spans="1:12">
      <c r="A13" s="3">
        <v>42304</v>
      </c>
      <c r="B13" s="3">
        <v>210.35</v>
      </c>
      <c r="C13" s="4"/>
      <c r="D13" s="4"/>
      <c r="E13" s="3"/>
      <c r="F13" s="3"/>
      <c r="G13" s="3"/>
      <c r="H13" s="3"/>
      <c r="I13" s="3"/>
      <c r="J13" s="3"/>
      <c r="K13" s="3"/>
      <c r="L13" s="3"/>
    </row>
    <row r="14" spans="1:12">
      <c r="A14" s="3">
        <v>42305</v>
      </c>
      <c r="B14" s="3">
        <v>212.96</v>
      </c>
      <c r="C14" s="4"/>
      <c r="D14" s="4"/>
      <c r="E14" s="3"/>
      <c r="F14" s="3"/>
      <c r="G14" s="3"/>
      <c r="H14" s="3"/>
      <c r="I14" s="3"/>
      <c r="J14" s="3"/>
      <c r="K14" s="3"/>
      <c r="L14" s="3"/>
    </row>
    <row r="15" spans="1:12">
      <c r="A15" s="3">
        <v>42306</v>
      </c>
      <c r="B15" s="3">
        <v>211.63</v>
      </c>
      <c r="C15" s="4"/>
      <c r="D15" s="4"/>
      <c r="E15" s="3"/>
      <c r="F15" s="3"/>
      <c r="G15" s="3"/>
      <c r="H15" s="3"/>
      <c r="I15" s="3"/>
      <c r="J15" s="3"/>
      <c r="K15" s="3"/>
      <c r="L15" s="3"/>
    </row>
    <row r="16" spans="1:12">
      <c r="A16" s="3">
        <v>42307</v>
      </c>
      <c r="B16" s="3">
        <v>206.93</v>
      </c>
      <c r="C16" s="4"/>
      <c r="D16" s="4"/>
      <c r="E16" s="3"/>
      <c r="F16" s="3"/>
      <c r="G16" s="3"/>
      <c r="H16" s="3"/>
      <c r="I16" s="3"/>
      <c r="J16" s="3"/>
      <c r="K16" s="3"/>
      <c r="L16" s="3"/>
    </row>
    <row r="17" spans="1:16">
      <c r="A17" s="3">
        <v>42310</v>
      </c>
      <c r="B17" s="3">
        <v>213.79</v>
      </c>
      <c r="C17" s="4"/>
      <c r="D17" s="4"/>
      <c r="E17" s="3"/>
      <c r="F17" s="3"/>
      <c r="G17" s="3"/>
      <c r="H17" s="3"/>
      <c r="I17" s="3"/>
      <c r="J17" s="3"/>
      <c r="K17" s="3"/>
      <c r="L17" s="3">
        <f>L18/L23</f>
        <v>0.21867980326356792</v>
      </c>
      <c r="N17" s="3"/>
      <c r="O17" s="3"/>
      <c r="P17" s="3">
        <f>P18/P23</f>
        <v>0.30318635339555838</v>
      </c>
    </row>
    <row r="18" spans="1:16">
      <c r="A18" s="3">
        <v>42311</v>
      </c>
      <c r="B18" s="3">
        <v>208.35</v>
      </c>
      <c r="C18" s="4"/>
      <c r="D18" s="4"/>
      <c r="E18" s="3"/>
      <c r="F18" s="3"/>
      <c r="G18" s="3"/>
      <c r="H18" s="3"/>
      <c r="I18" s="3"/>
      <c r="J18" s="3"/>
      <c r="K18" s="3" t="s">
        <v>8</v>
      </c>
      <c r="L18" s="3">
        <f>L23-H23</f>
        <v>2798.849999999893</v>
      </c>
      <c r="N18" s="3"/>
      <c r="O18" s="3" t="s">
        <v>8</v>
      </c>
      <c r="P18" s="3">
        <f>P23-B23</f>
        <v>94.199999999999989</v>
      </c>
    </row>
    <row r="19" spans="1:16">
      <c r="A19" s="3">
        <v>42312</v>
      </c>
      <c r="B19" s="3">
        <v>231.63</v>
      </c>
      <c r="C19" s="4"/>
      <c r="D19" s="4"/>
      <c r="E19" s="3"/>
      <c r="F19" s="3"/>
      <c r="G19" s="3"/>
      <c r="H19" s="3"/>
      <c r="I19" s="3"/>
      <c r="J19" s="3"/>
      <c r="K19" s="3"/>
      <c r="L19" s="3"/>
      <c r="N19" s="3"/>
      <c r="O19" s="3"/>
      <c r="P19" s="3"/>
    </row>
    <row r="20" spans="1:16">
      <c r="A20" s="3">
        <v>42313</v>
      </c>
      <c r="B20" s="3">
        <v>231.77</v>
      </c>
      <c r="C20" s="4"/>
      <c r="D20" s="4"/>
      <c r="E20" s="3"/>
      <c r="F20" s="3"/>
      <c r="G20" s="3"/>
      <c r="H20" s="3"/>
      <c r="I20" s="3"/>
      <c r="J20" s="3"/>
      <c r="K20" s="3"/>
      <c r="L20" s="3"/>
      <c r="N20" s="3"/>
      <c r="O20" s="3"/>
      <c r="P20" s="3"/>
    </row>
    <row r="21" spans="1:16">
      <c r="A21" s="3">
        <v>42314</v>
      </c>
      <c r="B21" s="3">
        <v>232.36</v>
      </c>
      <c r="C21" s="4"/>
      <c r="D21" s="4"/>
      <c r="E21" s="3"/>
      <c r="F21" s="3" t="s">
        <v>2</v>
      </c>
      <c r="G21" s="3" t="s">
        <v>3</v>
      </c>
      <c r="H21" s="3" t="s">
        <v>4</v>
      </c>
      <c r="I21" s="3" t="s">
        <v>13</v>
      </c>
      <c r="J21" s="3" t="s">
        <v>5</v>
      </c>
      <c r="K21" s="3" t="s">
        <v>6</v>
      </c>
      <c r="L21" s="3" t="s">
        <v>7</v>
      </c>
      <c r="N21" s="3" t="s">
        <v>5</v>
      </c>
      <c r="O21" s="3" t="s">
        <v>6</v>
      </c>
      <c r="P21" s="3" t="s">
        <v>7</v>
      </c>
    </row>
    <row r="22" spans="1:16">
      <c r="A22" s="3">
        <v>42317</v>
      </c>
      <c r="B22" s="3">
        <v>225.33</v>
      </c>
      <c r="C22" s="4"/>
      <c r="D22" s="4"/>
      <c r="E22" s="3"/>
      <c r="F22" s="3"/>
      <c r="G22" s="3"/>
      <c r="H22" s="3"/>
      <c r="I22" s="3"/>
      <c r="J22" s="3"/>
      <c r="K22" s="3"/>
      <c r="L22" s="3"/>
      <c r="N22" s="3"/>
      <c r="O22" s="3"/>
      <c r="P22" s="3"/>
    </row>
    <row r="23" spans="1:16">
      <c r="A23" s="3">
        <v>42318</v>
      </c>
      <c r="B23" s="3">
        <v>216.5</v>
      </c>
      <c r="C23" s="4" cm="1">
        <f t="array" aca="1" ref="C23" ca="1">INDIRECT(ADDRESS(ROW()-C$3,2))-INDIRECT(ADDRESS(ROW()-C$2,2))</f>
        <v>-15.27000000000001</v>
      </c>
      <c r="D23" s="4" cm="1">
        <f t="array" aca="1" ref="D23" ca="1">INDIRECT(ADDRESS(ROW()-D$3,2))-INDIRECT(ADDRESS(ROW()-D$2,2))</f>
        <v>6.1500000000000057</v>
      </c>
      <c r="E23" s="4">
        <f t="shared" ref="E23:E87" ca="1" si="0">AVERAGE(INDIRECT(ADDRESS(ROW()-E$3,2)),INDIRECT(ADDRESS(ROW()-E$2,2)))</f>
        <v>228.48000000000002</v>
      </c>
      <c r="F23" s="4">
        <v>10000</v>
      </c>
      <c r="G23" s="3">
        <v>0</v>
      </c>
      <c r="H23" s="3">
        <f t="shared" ref="H23:H86" si="1">G23+F23</f>
        <v>10000</v>
      </c>
      <c r="I23" s="3">
        <v>0</v>
      </c>
      <c r="J23" s="3">
        <f>MAX(H23:H750)</f>
        <v>16159.71999999993</v>
      </c>
      <c r="K23" s="3">
        <f>MIN(H23:H750)</f>
        <v>8600.0099999999948</v>
      </c>
      <c r="L23" s="3">
        <f>H750</f>
        <v>12798.849999999893</v>
      </c>
      <c r="N23" s="3">
        <f>MAX(B23:B750)</f>
        <v>385</v>
      </c>
      <c r="O23" s="3">
        <f>MIN(B23:B750)</f>
        <v>143.66999999999999</v>
      </c>
      <c r="P23" s="3">
        <f>B750</f>
        <v>310.7</v>
      </c>
    </row>
    <row r="24" spans="1:16">
      <c r="A24" s="3">
        <v>42319</v>
      </c>
      <c r="B24" s="3">
        <v>219.08</v>
      </c>
      <c r="C24" s="4" cm="1">
        <f t="array" aca="1" ref="C24" ca="1">INDIRECT(ADDRESS(ROW()-C$3,2))-INDIRECT(ADDRESS(ROW()-C$2,2))</f>
        <v>-13.280000000000001</v>
      </c>
      <c r="D24" s="4" cm="1">
        <f t="array" aca="1" ref="D24" ca="1">INDIRECT(ADDRESS(ROW()-D$3,2))-INDIRECT(ADDRESS(ROW()-D$2,2))</f>
        <v>6.1200000000000045</v>
      </c>
      <c r="E24" s="4">
        <f t="shared" ca="1" si="0"/>
        <v>224.13499999999999</v>
      </c>
      <c r="F24" s="3">
        <v>10000</v>
      </c>
      <c r="G24" s="3">
        <v>0</v>
      </c>
      <c r="H24" s="3">
        <f t="shared" si="1"/>
        <v>10000</v>
      </c>
      <c r="I24" s="3">
        <v>0</v>
      </c>
      <c r="J24" s="3"/>
      <c r="K24" s="3"/>
      <c r="L24" s="3"/>
      <c r="N24" s="3"/>
      <c r="O24" s="3"/>
      <c r="P24" s="3"/>
    </row>
    <row r="25" spans="1:16">
      <c r="A25" s="3">
        <v>42320</v>
      </c>
      <c r="B25" s="3">
        <v>212.94</v>
      </c>
      <c r="C25" s="4" cm="1">
        <f t="array" aca="1" ref="C25" ca="1">INDIRECT(ADDRESS(ROW()-C$3,2))-INDIRECT(ADDRESS(ROW()-C$2,2))</f>
        <v>-12.390000000000015</v>
      </c>
      <c r="D25" s="4" cm="1">
        <f t="array" aca="1" ref="D25" ca="1">INDIRECT(ADDRESS(ROW()-D$3,2))-INDIRECT(ADDRESS(ROW()-D$2,2))</f>
        <v>1.3100000000000023</v>
      </c>
      <c r="E25" s="4">
        <f t="shared" ca="1" si="0"/>
        <v>225.72000000000003</v>
      </c>
      <c r="F25" s="3">
        <v>10000</v>
      </c>
      <c r="G25" s="3">
        <v>0</v>
      </c>
      <c r="H25" s="3">
        <f t="shared" si="1"/>
        <v>10000</v>
      </c>
      <c r="I25" s="3">
        <v>0</v>
      </c>
      <c r="J25" s="3"/>
      <c r="K25" s="3"/>
      <c r="L25" s="3"/>
    </row>
    <row r="26" spans="1:16">
      <c r="A26" s="3">
        <v>42321</v>
      </c>
      <c r="B26" s="3">
        <v>207.19</v>
      </c>
      <c r="C26" s="4" cm="1">
        <f t="array" aca="1" ref="C26" ca="1">INDIRECT(ADDRESS(ROW()-C$3,2))-INDIRECT(ADDRESS(ROW()-C$2,2))</f>
        <v>-9.3100000000000023</v>
      </c>
      <c r="D26" s="4" cm="1">
        <f t="array" aca="1" ref="D26" ca="1">INDIRECT(ADDRESS(ROW()-D$3,2))-INDIRECT(ADDRESS(ROW()-D$2,2))</f>
        <v>0.25999999999999091</v>
      </c>
      <c r="E26" s="4">
        <f t="shared" ca="1" si="0"/>
        <v>219.13499999999999</v>
      </c>
      <c r="F26" s="3">
        <v>10000</v>
      </c>
      <c r="G26" s="3">
        <v>0</v>
      </c>
      <c r="H26" s="3">
        <f t="shared" si="1"/>
        <v>10000</v>
      </c>
      <c r="I26" s="3">
        <v>0</v>
      </c>
      <c r="J26" s="3"/>
      <c r="K26" s="3"/>
      <c r="L26" s="3"/>
    </row>
    <row r="27" spans="1:16">
      <c r="A27" s="3">
        <v>42324</v>
      </c>
      <c r="B27" s="3">
        <v>214.31</v>
      </c>
      <c r="C27" s="4" cm="1">
        <f t="array" aca="1" ref="C27" ca="1">INDIRECT(ADDRESS(ROW()-C$3,2))-INDIRECT(ADDRESS(ROW()-C$2,2))</f>
        <v>-4.7700000000000102</v>
      </c>
      <c r="D27" s="4" cm="1">
        <f t="array" aca="1" ref="D27" ca="1">INDIRECT(ADDRESS(ROW()-D$3,2))-INDIRECT(ADDRESS(ROW()-D$2,2))</f>
        <v>0.52000000000001023</v>
      </c>
      <c r="E27" s="4">
        <f t="shared" ca="1" si="0"/>
        <v>211.845</v>
      </c>
      <c r="F27" s="3">
        <v>10000</v>
      </c>
      <c r="G27" s="3">
        <v>0</v>
      </c>
      <c r="H27" s="3">
        <f t="shared" si="1"/>
        <v>10000</v>
      </c>
      <c r="I27" s="3">
        <v>0</v>
      </c>
      <c r="J27" s="3"/>
      <c r="K27" s="3"/>
      <c r="L27" s="3"/>
    </row>
    <row r="28" spans="1:16">
      <c r="A28" s="3">
        <v>42325</v>
      </c>
      <c r="B28" s="3">
        <v>214</v>
      </c>
      <c r="C28" s="4" cm="1">
        <f t="array" aca="1" ref="C28" ca="1">INDIRECT(ADDRESS(ROW()-C$3,2))-INDIRECT(ADDRESS(ROW()-C$2,2))</f>
        <v>1.0600000000000023</v>
      </c>
      <c r="D28" s="4" cm="1">
        <f t="array" aca="1" ref="D28" ca="1">INDIRECT(ADDRESS(ROW()-D$3,2))-INDIRECT(ADDRESS(ROW()-D$2,2))</f>
        <v>5.6500000000000057</v>
      </c>
      <c r="E28" s="4">
        <f t="shared" ca="1" si="0"/>
        <v>216.69499999999999</v>
      </c>
      <c r="F28" s="3">
        <v>156</v>
      </c>
      <c r="G28" s="3">
        <v>9844</v>
      </c>
      <c r="H28" s="3">
        <f t="shared" si="1"/>
        <v>10000</v>
      </c>
      <c r="I28" s="3">
        <v>46</v>
      </c>
      <c r="J28" s="3"/>
      <c r="K28" s="3"/>
      <c r="L28" s="3"/>
    </row>
    <row r="29" spans="1:16">
      <c r="A29" s="3">
        <v>42326</v>
      </c>
      <c r="B29" s="3">
        <v>221.07</v>
      </c>
      <c r="C29" s="4" cm="1">
        <f t="array" aca="1" ref="C29" ca="1">INDIRECT(ADDRESS(ROW()-C$3,2))-INDIRECT(ADDRESS(ROW()-C$2,2))</f>
        <v>13.879999999999995</v>
      </c>
      <c r="D29" s="4" cm="1">
        <f t="array" aca="1" ref="D29" ca="1">INDIRECT(ADDRESS(ROW()-D$3,2))-INDIRECT(ADDRESS(ROW()-D$2,2))</f>
        <v>-10.560000000000002</v>
      </c>
      <c r="E29" s="4">
        <f t="shared" ca="1" si="0"/>
        <v>213.47</v>
      </c>
      <c r="F29" s="3">
        <v>156</v>
      </c>
      <c r="G29" s="3">
        <v>10169.219999999999</v>
      </c>
      <c r="H29" s="3">
        <f t="shared" si="1"/>
        <v>10325.219999999999</v>
      </c>
      <c r="I29" s="3">
        <v>46</v>
      </c>
      <c r="J29" s="3"/>
      <c r="K29" s="3"/>
      <c r="L29" s="3"/>
    </row>
    <row r="30" spans="1:16">
      <c r="A30" s="3">
        <v>42327</v>
      </c>
      <c r="B30" s="3">
        <v>221.8</v>
      </c>
      <c r="C30" s="4" cm="1">
        <f t="array" aca="1" ref="C30" ca="1">INDIRECT(ADDRESS(ROW()-C$3,2))-INDIRECT(ADDRESS(ROW()-C$2,2))</f>
        <v>7.4900000000000091</v>
      </c>
      <c r="D30" s="4" cm="1">
        <f t="array" aca="1" ref="D30" ca="1">INDIRECT(ADDRESS(ROW()-D$3,2))-INDIRECT(ADDRESS(ROW()-D$2,2))</f>
        <v>-9.9699999999999989</v>
      </c>
      <c r="E30" s="4">
        <f t="shared" ca="1" si="0"/>
        <v>214.13</v>
      </c>
      <c r="F30" s="3">
        <v>156</v>
      </c>
      <c r="G30" s="3">
        <v>10202.800000000001</v>
      </c>
      <c r="H30" s="3">
        <f t="shared" si="1"/>
        <v>10358.800000000001</v>
      </c>
      <c r="I30" s="3">
        <v>46</v>
      </c>
      <c r="J30" s="3"/>
      <c r="K30" s="3"/>
      <c r="L30" s="3"/>
    </row>
    <row r="31" spans="1:16">
      <c r="A31" s="3">
        <v>42328</v>
      </c>
      <c r="B31" s="3">
        <v>220.01</v>
      </c>
      <c r="C31" s="4" cm="1">
        <f t="array" aca="1" ref="C31" ca="1">INDIRECT(ADDRESS(ROW()-C$3,2))-INDIRECT(ADDRESS(ROW()-C$2,2))</f>
        <v>6.0099999999999909</v>
      </c>
      <c r="D31" s="4" cm="1">
        <f t="array" aca="1" ref="D31" ca="1">INDIRECT(ADDRESS(ROW()-D$3,2))-INDIRECT(ADDRESS(ROW()-D$2,2))</f>
        <v>-12.350000000000023</v>
      </c>
      <c r="E31" s="4">
        <f t="shared" ca="1" si="0"/>
        <v>218.05500000000001</v>
      </c>
      <c r="F31" s="3">
        <v>156</v>
      </c>
      <c r="G31" s="3">
        <v>10120.459999999999</v>
      </c>
      <c r="H31" s="3">
        <f t="shared" si="1"/>
        <v>10276.459999999999</v>
      </c>
      <c r="I31" s="3">
        <v>46</v>
      </c>
      <c r="J31" s="3"/>
      <c r="K31" s="3"/>
      <c r="L31" s="3"/>
    </row>
    <row r="32" spans="1:16">
      <c r="A32" s="3">
        <v>42331</v>
      </c>
      <c r="B32" s="3">
        <v>217.75</v>
      </c>
      <c r="C32" s="4" cm="1">
        <f t="array" aca="1" ref="C32" ca="1">INDIRECT(ADDRESS(ROW()-C$3,2))-INDIRECT(ADDRESS(ROW()-C$2,2))</f>
        <v>-3.3199999999999932</v>
      </c>
      <c r="D32" s="4" cm="1">
        <f t="array" aca="1" ref="D32" ca="1">INDIRECT(ADDRESS(ROW()-D$3,2))-INDIRECT(ADDRESS(ROW()-D$2,2))</f>
        <v>-7.5800000000000125</v>
      </c>
      <c r="E32" s="4">
        <f t="shared" ca="1" si="0"/>
        <v>217.005</v>
      </c>
      <c r="F32" s="3">
        <v>10172.5</v>
      </c>
      <c r="G32" s="3">
        <v>0</v>
      </c>
      <c r="H32" s="3">
        <f t="shared" si="1"/>
        <v>10172.5</v>
      </c>
      <c r="I32" s="3">
        <v>0</v>
      </c>
      <c r="J32" s="3"/>
      <c r="K32" s="3"/>
      <c r="L32" s="3"/>
    </row>
    <row r="33" spans="1:12">
      <c r="A33" s="3">
        <v>42332</v>
      </c>
      <c r="B33" s="3">
        <v>218.25</v>
      </c>
      <c r="C33" s="4" cm="1">
        <f t="array" aca="1" ref="C33" ca="1">INDIRECT(ADDRESS(ROW()-C$3,2))-INDIRECT(ADDRESS(ROW()-C$2,2))</f>
        <v>-3.5500000000000114</v>
      </c>
      <c r="D33" s="4" cm="1">
        <f t="array" aca="1" ref="D33" ca="1">INDIRECT(ADDRESS(ROW()-D$3,2))-INDIRECT(ADDRESS(ROW()-D$2,2))</f>
        <v>1.75</v>
      </c>
      <c r="E33" s="4">
        <f t="shared" ca="1" si="0"/>
        <v>219.41</v>
      </c>
      <c r="F33" s="3">
        <v>10172.5</v>
      </c>
      <c r="G33" s="3">
        <v>0</v>
      </c>
      <c r="H33" s="3">
        <f t="shared" si="1"/>
        <v>10172.5</v>
      </c>
      <c r="I33" s="3">
        <v>0</v>
      </c>
      <c r="J33" s="3"/>
      <c r="K33" s="3"/>
      <c r="L33" s="3"/>
    </row>
    <row r="34" spans="1:12">
      <c r="A34" s="3">
        <v>42333</v>
      </c>
      <c r="B34" s="3">
        <v>229.64</v>
      </c>
      <c r="C34" s="4" cm="1">
        <f t="array" aca="1" ref="C34" ca="1">INDIRECT(ADDRESS(ROW()-C$3,2))-INDIRECT(ADDRESS(ROW()-C$2,2))</f>
        <v>9.6299999999999955</v>
      </c>
      <c r="D34" s="4" cm="1">
        <f t="array" aca="1" ref="D34" ca="1">INDIRECT(ADDRESS(ROW()-D$3,2))-INDIRECT(ADDRESS(ROW()-D$2,2))</f>
        <v>10.559999999999974</v>
      </c>
      <c r="E34" s="4">
        <f t="shared" ca="1" si="0"/>
        <v>220.02500000000001</v>
      </c>
      <c r="F34" s="3">
        <v>68.340000000000487</v>
      </c>
      <c r="G34" s="3">
        <v>10104.16</v>
      </c>
      <c r="H34" s="3">
        <f t="shared" si="1"/>
        <v>10172.5</v>
      </c>
      <c r="I34" s="3">
        <v>44</v>
      </c>
      <c r="J34" s="3"/>
      <c r="K34" s="3"/>
      <c r="L34" s="3"/>
    </row>
    <row r="35" spans="1:12">
      <c r="A35" s="3">
        <v>42335</v>
      </c>
      <c r="B35" s="3">
        <v>231.61</v>
      </c>
      <c r="C35" s="4" cm="1">
        <f t="array" aca="1" ref="C35" ca="1">INDIRECT(ADDRESS(ROW()-C$3,2))-INDIRECT(ADDRESS(ROW()-C$2,2))</f>
        <v>13.860000000000014</v>
      </c>
      <c r="D35" s="4" cm="1">
        <f t="array" aca="1" ref="D35" ca="1">INDIRECT(ADDRESS(ROW()-D$3,2))-INDIRECT(ADDRESS(ROW()-D$2,2))</f>
        <v>18.670000000000016</v>
      </c>
      <c r="E35" s="4">
        <f t="shared" ca="1" si="0"/>
        <v>224.82499999999999</v>
      </c>
      <c r="F35" s="3">
        <v>68.340000000000487</v>
      </c>
      <c r="G35" s="3">
        <v>10190.84</v>
      </c>
      <c r="H35" s="3">
        <f t="shared" si="1"/>
        <v>10259.18</v>
      </c>
      <c r="I35" s="3">
        <v>44</v>
      </c>
      <c r="J35" s="3"/>
      <c r="K35" s="3"/>
      <c r="L35" s="3"/>
    </row>
    <row r="36" spans="1:12">
      <c r="A36" s="3">
        <v>42338</v>
      </c>
      <c r="B36" s="3">
        <v>230.26</v>
      </c>
      <c r="C36" s="4" cm="1">
        <f t="array" aca="1" ref="C36" ca="1">INDIRECT(ADDRESS(ROW()-C$3,2))-INDIRECT(ADDRESS(ROW()-C$2,2))</f>
        <v>12.009999999999991</v>
      </c>
      <c r="D36" s="4" cm="1">
        <f t="array" aca="1" ref="D36" ca="1">INDIRECT(ADDRESS(ROW()-D$3,2))-INDIRECT(ADDRESS(ROW()-D$2,2))</f>
        <v>23.069999999999993</v>
      </c>
      <c r="E36" s="4">
        <f t="shared" ca="1" si="0"/>
        <v>224.68</v>
      </c>
      <c r="F36" s="3">
        <v>68.340000000000487</v>
      </c>
      <c r="G36" s="3">
        <v>10131.439999999999</v>
      </c>
      <c r="H36" s="3">
        <f t="shared" si="1"/>
        <v>10199.779999999999</v>
      </c>
      <c r="I36" s="3">
        <v>44</v>
      </c>
      <c r="J36" s="3"/>
      <c r="K36" s="3"/>
      <c r="L36" s="3"/>
    </row>
    <row r="37" spans="1:12">
      <c r="A37" s="3">
        <v>42339</v>
      </c>
      <c r="B37" s="3">
        <v>237.19</v>
      </c>
      <c r="C37" s="4" cm="1">
        <f t="array" aca="1" ref="C37" ca="1">INDIRECT(ADDRESS(ROW()-C$3,2))-INDIRECT(ADDRESS(ROW()-C$2,2))</f>
        <v>7.5500000000000114</v>
      </c>
      <c r="D37" s="4" cm="1">
        <f t="array" aca="1" ref="D37" ca="1">INDIRECT(ADDRESS(ROW()-D$3,2))-INDIRECT(ADDRESS(ROW()-D$2,2))</f>
        <v>22.879999999999995</v>
      </c>
      <c r="E37" s="4">
        <f t="shared" ca="1" si="0"/>
        <v>224.255</v>
      </c>
      <c r="F37" s="3">
        <v>68.340000000000487</v>
      </c>
      <c r="G37" s="3">
        <v>10436.36</v>
      </c>
      <c r="H37" s="3">
        <f t="shared" si="1"/>
        <v>10504.7</v>
      </c>
      <c r="I37" s="3">
        <v>44</v>
      </c>
      <c r="J37" s="3"/>
      <c r="K37" s="3"/>
      <c r="L37" s="3"/>
    </row>
    <row r="38" spans="1:12">
      <c r="A38" s="3">
        <v>42340</v>
      </c>
      <c r="B38" s="3">
        <v>231.99</v>
      </c>
      <c r="C38" s="4" cm="1">
        <f t="array" aca="1" ref="C38" ca="1">INDIRECT(ADDRESS(ROW()-C$3,2))-INDIRECT(ADDRESS(ROW()-C$2,2))</f>
        <v>0.37999999999999545</v>
      </c>
      <c r="D38" s="4" cm="1">
        <f t="array" aca="1" ref="D38" ca="1">INDIRECT(ADDRESS(ROW()-D$3,2))-INDIRECT(ADDRESS(ROW()-D$2,2))</f>
        <v>17.990000000000009</v>
      </c>
      <c r="E38" s="4">
        <f t="shared" ca="1" si="0"/>
        <v>233.41499999999999</v>
      </c>
      <c r="F38" s="3">
        <v>68.340000000000487</v>
      </c>
      <c r="G38" s="3">
        <v>10207.560000000001</v>
      </c>
      <c r="H38" s="3">
        <f t="shared" si="1"/>
        <v>10275.900000000001</v>
      </c>
      <c r="I38" s="3">
        <v>44</v>
      </c>
      <c r="J38" s="3"/>
      <c r="K38" s="3"/>
      <c r="L38" s="3"/>
    </row>
    <row r="39" spans="1:12">
      <c r="A39" s="3">
        <v>42341</v>
      </c>
      <c r="B39" s="3">
        <v>232.71</v>
      </c>
      <c r="C39" s="4" cm="1">
        <f t="array" aca="1" ref="C39" ca="1">INDIRECT(ADDRESS(ROW()-C$3,2))-INDIRECT(ADDRESS(ROW()-C$2,2))</f>
        <v>2.4500000000000171</v>
      </c>
      <c r="D39" s="4" cm="1">
        <f t="array" aca="1" ref="D39" ca="1">INDIRECT(ADDRESS(ROW()-D$3,2))-INDIRECT(ADDRESS(ROW()-D$2,2))</f>
        <v>11.640000000000015</v>
      </c>
      <c r="E39" s="4">
        <f t="shared" ca="1" si="0"/>
        <v>231.8</v>
      </c>
      <c r="F39" s="3">
        <v>68.340000000000487</v>
      </c>
      <c r="G39" s="3">
        <v>10239.24</v>
      </c>
      <c r="H39" s="3">
        <f t="shared" si="1"/>
        <v>10307.58</v>
      </c>
      <c r="I39" s="3">
        <v>44</v>
      </c>
      <c r="J39" s="3"/>
      <c r="K39" s="3"/>
      <c r="L39" s="3"/>
    </row>
    <row r="40" spans="1:12">
      <c r="A40" s="3">
        <v>42342</v>
      </c>
      <c r="B40" s="3">
        <v>230.38</v>
      </c>
      <c r="C40" s="4" cm="1">
        <f t="array" aca="1" ref="C40" ca="1">INDIRECT(ADDRESS(ROW()-C$3,2))-INDIRECT(ADDRESS(ROW()-C$2,2))</f>
        <v>-6.8100000000000023</v>
      </c>
      <c r="D40" s="4" cm="1">
        <f t="array" aca="1" ref="D40" ca="1">INDIRECT(ADDRESS(ROW()-D$3,2))-INDIRECT(ADDRESS(ROW()-D$2,2))</f>
        <v>8.5799999999999841</v>
      </c>
      <c r="E40" s="4">
        <f t="shared" ca="1" si="0"/>
        <v>231.48500000000001</v>
      </c>
      <c r="F40" s="3">
        <v>10205.06</v>
      </c>
      <c r="G40" s="3">
        <v>0</v>
      </c>
      <c r="H40" s="3">
        <f t="shared" si="1"/>
        <v>10205.06</v>
      </c>
      <c r="I40" s="3">
        <v>0</v>
      </c>
      <c r="J40" s="3"/>
      <c r="K40" s="3"/>
      <c r="L40" s="3"/>
    </row>
    <row r="41" spans="1:12">
      <c r="A41" s="3">
        <v>42345</v>
      </c>
      <c r="B41" s="3">
        <v>231.13</v>
      </c>
      <c r="C41" s="4" cm="1">
        <f t="array" aca="1" ref="C41" ca="1">INDIRECT(ADDRESS(ROW()-C$3,2))-INDIRECT(ADDRESS(ROW()-C$2,2))</f>
        <v>-0.86000000000001364</v>
      </c>
      <c r="D41" s="4" cm="1">
        <f t="array" aca="1" ref="D41" ca="1">INDIRECT(ADDRESS(ROW()-D$3,2))-INDIRECT(ADDRESS(ROW()-D$2,2))</f>
        <v>11.120000000000005</v>
      </c>
      <c r="E41" s="4">
        <f t="shared" ca="1" si="0"/>
        <v>233.785</v>
      </c>
      <c r="F41" s="3">
        <v>10205.06</v>
      </c>
      <c r="G41" s="3">
        <v>0</v>
      </c>
      <c r="H41" s="3">
        <f t="shared" si="1"/>
        <v>10205.06</v>
      </c>
      <c r="I41" s="3">
        <v>0</v>
      </c>
      <c r="J41" s="3"/>
      <c r="K41" s="3"/>
      <c r="L41" s="3"/>
    </row>
    <row r="42" spans="1:12">
      <c r="A42" s="3">
        <v>42346</v>
      </c>
      <c r="B42" s="3">
        <v>226.72</v>
      </c>
      <c r="C42" s="4" cm="1">
        <f t="array" aca="1" ref="C42" ca="1">INDIRECT(ADDRESS(ROW()-C$3,2))-INDIRECT(ADDRESS(ROW()-C$2,2))</f>
        <v>-5.9900000000000091</v>
      </c>
      <c r="D42" s="4" cm="1">
        <f t="array" aca="1" ref="D42" ca="1">INDIRECT(ADDRESS(ROW()-D$3,2))-INDIRECT(ADDRESS(ROW()-D$2,2))</f>
        <v>8.9699999999999989</v>
      </c>
      <c r="E42" s="4">
        <f t="shared" ca="1" si="0"/>
        <v>231.56</v>
      </c>
      <c r="F42" s="3">
        <v>10205.06</v>
      </c>
      <c r="G42" s="3">
        <v>0</v>
      </c>
      <c r="H42" s="3">
        <f t="shared" si="1"/>
        <v>10205.06</v>
      </c>
      <c r="I42" s="3">
        <v>0</v>
      </c>
      <c r="J42" s="3"/>
      <c r="K42" s="3"/>
      <c r="L42" s="3"/>
    </row>
    <row r="43" spans="1:12">
      <c r="A43" s="3">
        <v>42347</v>
      </c>
      <c r="B43" s="3">
        <v>224.52</v>
      </c>
      <c r="C43" s="4" cm="1">
        <f t="array" aca="1" ref="C43" ca="1">INDIRECT(ADDRESS(ROW()-C$3,2))-INDIRECT(ADDRESS(ROW()-C$2,2))</f>
        <v>-5.8599999999999852</v>
      </c>
      <c r="D43" s="4" cm="1">
        <f t="array" aca="1" ref="D43" ca="1">INDIRECT(ADDRESS(ROW()-D$3,2))-INDIRECT(ADDRESS(ROW()-D$2,2))</f>
        <v>6.2700000000000102</v>
      </c>
      <c r="E43" s="4">
        <f t="shared" ca="1" si="0"/>
        <v>229.715</v>
      </c>
      <c r="F43" s="3">
        <v>10205.06</v>
      </c>
      <c r="G43" s="3">
        <v>0</v>
      </c>
      <c r="H43" s="3">
        <f t="shared" si="1"/>
        <v>10205.06</v>
      </c>
      <c r="I43" s="3">
        <v>0</v>
      </c>
      <c r="J43" s="3"/>
      <c r="K43" s="3"/>
      <c r="L43" s="3"/>
    </row>
    <row r="44" spans="1:12">
      <c r="A44" s="3">
        <v>42348</v>
      </c>
      <c r="B44" s="3">
        <v>227.07</v>
      </c>
      <c r="C44" s="4" cm="1">
        <f t="array" aca="1" ref="C44" ca="1">INDIRECT(ADDRESS(ROW()-C$3,2))-INDIRECT(ADDRESS(ROW()-C$2,2))</f>
        <v>-4.0600000000000023</v>
      </c>
      <c r="D44" s="4" cm="1">
        <f t="array" aca="1" ref="D44" ca="1">INDIRECT(ADDRESS(ROW()-D$3,2))-INDIRECT(ADDRESS(ROW()-D$2,2))</f>
        <v>-2.5699999999999932</v>
      </c>
      <c r="E44" s="4">
        <f t="shared" ca="1" si="0"/>
        <v>227.45</v>
      </c>
      <c r="F44" s="3">
        <v>10205.06</v>
      </c>
      <c r="G44" s="3">
        <v>0</v>
      </c>
      <c r="H44" s="3">
        <f t="shared" si="1"/>
        <v>10205.06</v>
      </c>
      <c r="I44" s="3">
        <v>0</v>
      </c>
      <c r="J44" s="3"/>
      <c r="K44" s="3"/>
      <c r="L44" s="3"/>
    </row>
    <row r="45" spans="1:12">
      <c r="A45" s="3">
        <v>42349</v>
      </c>
      <c r="B45" s="3">
        <v>217.02</v>
      </c>
      <c r="C45" s="4" cm="1">
        <f t="array" aca="1" ref="C45" ca="1">INDIRECT(ADDRESS(ROW()-C$3,2))-INDIRECT(ADDRESS(ROW()-C$2,2))</f>
        <v>-9.6999999999999886</v>
      </c>
      <c r="D45" s="4" cm="1">
        <f t="array" aca="1" ref="D45" ca="1">INDIRECT(ADDRESS(ROW()-D$3,2))-INDIRECT(ADDRESS(ROW()-D$2,2))</f>
        <v>-14.590000000000003</v>
      </c>
      <c r="E45" s="4">
        <f t="shared" ca="1" si="0"/>
        <v>229.1</v>
      </c>
      <c r="F45" s="3">
        <v>10205.06</v>
      </c>
      <c r="G45" s="3">
        <v>0</v>
      </c>
      <c r="H45" s="3">
        <f t="shared" si="1"/>
        <v>10205.06</v>
      </c>
      <c r="I45" s="3">
        <v>0</v>
      </c>
      <c r="J45" s="3"/>
      <c r="K45" s="3"/>
      <c r="L45" s="3"/>
    </row>
    <row r="46" spans="1:12">
      <c r="A46" s="3">
        <v>42352</v>
      </c>
      <c r="B46" s="3">
        <v>218.58</v>
      </c>
      <c r="C46" s="4" cm="1">
        <f t="array" aca="1" ref="C46" ca="1">INDIRECT(ADDRESS(ROW()-C$3,2))-INDIRECT(ADDRESS(ROW()-C$2,2))</f>
        <v>-5.9399999999999977</v>
      </c>
      <c r="D46" s="4" cm="1">
        <f t="array" aca="1" ref="D46" ca="1">INDIRECT(ADDRESS(ROW()-D$3,2))-INDIRECT(ADDRESS(ROW()-D$2,2))</f>
        <v>-11.679999999999978</v>
      </c>
      <c r="E46" s="4">
        <f t="shared" ca="1" si="0"/>
        <v>221.87</v>
      </c>
      <c r="F46" s="3">
        <v>10205.06</v>
      </c>
      <c r="G46" s="3">
        <v>0</v>
      </c>
      <c r="H46" s="3">
        <f t="shared" si="1"/>
        <v>10205.06</v>
      </c>
      <c r="I46" s="3">
        <v>0</v>
      </c>
      <c r="J46" s="3"/>
      <c r="K46" s="3"/>
      <c r="L46" s="3"/>
    </row>
    <row r="47" spans="1:12">
      <c r="A47" s="3">
        <v>42353</v>
      </c>
      <c r="B47" s="3">
        <v>221.09</v>
      </c>
      <c r="C47" s="4" cm="1">
        <f t="array" aca="1" ref="C47" ca="1">INDIRECT(ADDRESS(ROW()-C$3,2))-INDIRECT(ADDRESS(ROW()-C$2,2))</f>
        <v>-5.9799999999999898</v>
      </c>
      <c r="D47" s="4" cm="1">
        <f t="array" aca="1" ref="D47" ca="1">INDIRECT(ADDRESS(ROW()-D$3,2))-INDIRECT(ADDRESS(ROW()-D$2,2))</f>
        <v>-16.099999999999994</v>
      </c>
      <c r="E47" s="4">
        <f t="shared" ca="1" si="0"/>
        <v>221.55</v>
      </c>
      <c r="F47" s="3">
        <v>10205.06</v>
      </c>
      <c r="G47" s="3">
        <v>0</v>
      </c>
      <c r="H47" s="3">
        <f t="shared" si="1"/>
        <v>10205.06</v>
      </c>
      <c r="I47" s="3">
        <v>0</v>
      </c>
      <c r="J47" s="3"/>
      <c r="K47" s="3"/>
      <c r="L47" s="3"/>
    </row>
    <row r="48" spans="1:12">
      <c r="A48" s="3">
        <v>42354</v>
      </c>
      <c r="B48" s="3">
        <v>234.51</v>
      </c>
      <c r="C48" s="4" cm="1">
        <f t="array" aca="1" ref="C48" ca="1">INDIRECT(ADDRESS(ROW()-C$3,2))-INDIRECT(ADDRESS(ROW()-C$2,2))</f>
        <v>17.489999999999981</v>
      </c>
      <c r="D48" s="4" cm="1">
        <f t="array" aca="1" ref="D48" ca="1">INDIRECT(ADDRESS(ROW()-D$3,2))-INDIRECT(ADDRESS(ROW()-D$2,2))</f>
        <v>2.5199999999999818</v>
      </c>
      <c r="E48" s="4">
        <f t="shared" ca="1" si="0"/>
        <v>224.07999999999998</v>
      </c>
      <c r="F48" s="3">
        <v>121.12999999999215</v>
      </c>
      <c r="G48" s="3">
        <v>10083.93</v>
      </c>
      <c r="H48" s="3">
        <f t="shared" si="1"/>
        <v>10205.059999999992</v>
      </c>
      <c r="I48" s="3">
        <v>43</v>
      </c>
      <c r="J48" s="3"/>
      <c r="K48" s="3"/>
      <c r="L48" s="3"/>
    </row>
    <row r="49" spans="1:12">
      <c r="A49" s="3">
        <v>42355</v>
      </c>
      <c r="B49" s="3">
        <v>233.39</v>
      </c>
      <c r="C49" s="4" cm="1">
        <f t="array" aca="1" ref="C49" ca="1">INDIRECT(ADDRESS(ROW()-C$3,2))-INDIRECT(ADDRESS(ROW()-C$2,2))</f>
        <v>14.809999999999974</v>
      </c>
      <c r="D49" s="4" cm="1">
        <f t="array" aca="1" ref="D49" ca="1">INDIRECT(ADDRESS(ROW()-D$3,2))-INDIRECT(ADDRESS(ROW()-D$2,2))</f>
        <v>0.6799999999999784</v>
      </c>
      <c r="E49" s="4">
        <f t="shared" ca="1" si="0"/>
        <v>225.76499999999999</v>
      </c>
      <c r="F49" s="3">
        <v>121.12999999999215</v>
      </c>
      <c r="G49" s="3">
        <v>10035.769999999999</v>
      </c>
      <c r="H49" s="3">
        <f t="shared" si="1"/>
        <v>10156.899999999991</v>
      </c>
      <c r="I49" s="3">
        <v>43</v>
      </c>
      <c r="J49" s="3"/>
      <c r="K49" s="3"/>
      <c r="L49" s="3"/>
    </row>
    <row r="50" spans="1:12">
      <c r="A50" s="3">
        <v>42356</v>
      </c>
      <c r="B50" s="3">
        <v>230.46</v>
      </c>
      <c r="C50" s="4" cm="1">
        <f t="array" aca="1" ref="C50" ca="1">INDIRECT(ADDRESS(ROW()-C$3,2))-INDIRECT(ADDRESS(ROW()-C$2,2))</f>
        <v>9.3700000000000045</v>
      </c>
      <c r="D50" s="4" cm="1">
        <f t="array" aca="1" ref="D50" ca="1">INDIRECT(ADDRESS(ROW()-D$3,2))-INDIRECT(ADDRESS(ROW()-D$2,2))</f>
        <v>8.0000000000012506E-2</v>
      </c>
      <c r="E50" s="4">
        <f t="shared" ca="1" si="0"/>
        <v>225.98500000000001</v>
      </c>
      <c r="F50" s="3">
        <v>121.12999999999215</v>
      </c>
      <c r="G50" s="3">
        <v>9909.7800000000007</v>
      </c>
      <c r="H50" s="3">
        <f t="shared" si="1"/>
        <v>10030.909999999993</v>
      </c>
      <c r="I50" s="3">
        <v>43</v>
      </c>
      <c r="J50" s="3"/>
      <c r="K50" s="3"/>
      <c r="L50" s="3"/>
    </row>
    <row r="51" spans="1:12">
      <c r="A51" s="3">
        <v>42359</v>
      </c>
      <c r="B51" s="3">
        <v>232.56</v>
      </c>
      <c r="C51" s="4" cm="1">
        <f t="array" aca="1" ref="C51" ca="1">INDIRECT(ADDRESS(ROW()-C$3,2))-INDIRECT(ADDRESS(ROW()-C$2,2))</f>
        <v>-1.9499999999999886</v>
      </c>
      <c r="D51" s="4" cm="1">
        <f t="array" aca="1" ref="D51" ca="1">INDIRECT(ADDRESS(ROW()-D$3,2))-INDIRECT(ADDRESS(ROW()-D$2,2))</f>
        <v>1.4300000000000068</v>
      </c>
      <c r="E51" s="4">
        <f t="shared" ca="1" si="0"/>
        <v>225.77500000000001</v>
      </c>
      <c r="F51" s="3">
        <v>10121.209999999992</v>
      </c>
      <c r="G51" s="3">
        <v>0</v>
      </c>
      <c r="H51" s="3">
        <f t="shared" si="1"/>
        <v>10121.209999999992</v>
      </c>
      <c r="I51" s="3">
        <v>0</v>
      </c>
      <c r="J51" s="3"/>
      <c r="K51" s="3"/>
      <c r="L51" s="3"/>
    </row>
    <row r="52" spans="1:12">
      <c r="A52" s="3">
        <v>42360</v>
      </c>
      <c r="B52" s="3">
        <v>229.95</v>
      </c>
      <c r="C52" s="4" cm="1">
        <f t="array" aca="1" ref="C52" ca="1">INDIRECT(ADDRESS(ROW()-C$3,2))-INDIRECT(ADDRESS(ROW()-C$2,2))</f>
        <v>-3.4399999999999977</v>
      </c>
      <c r="D52" s="4" cm="1">
        <f t="array" aca="1" ref="D52" ca="1">INDIRECT(ADDRESS(ROW()-D$3,2))-INDIRECT(ADDRESS(ROW()-D$2,2))</f>
        <v>3.2299999999999898</v>
      </c>
      <c r="E52" s="4">
        <f t="shared" ca="1" si="0"/>
        <v>233.535</v>
      </c>
      <c r="F52" s="3">
        <v>10121.209999999992</v>
      </c>
      <c r="G52" s="3">
        <v>0</v>
      </c>
      <c r="H52" s="3">
        <f t="shared" si="1"/>
        <v>10121.209999999992</v>
      </c>
      <c r="I52" s="3">
        <v>0</v>
      </c>
      <c r="J52" s="3"/>
      <c r="K52" s="3"/>
      <c r="L52" s="3"/>
    </row>
    <row r="53" spans="1:12">
      <c r="A53" s="3">
        <v>42361</v>
      </c>
      <c r="B53" s="3">
        <v>229.7</v>
      </c>
      <c r="C53" s="4" cm="1">
        <f t="array" aca="1" ref="C53" ca="1">INDIRECT(ADDRESS(ROW()-C$3,2))-INDIRECT(ADDRESS(ROW()-C$2,2))</f>
        <v>-0.76000000000001933</v>
      </c>
      <c r="D53" s="4" cm="1">
        <f t="array" aca="1" ref="D53" ca="1">INDIRECT(ADDRESS(ROW()-D$3,2))-INDIRECT(ADDRESS(ROW()-D$2,2))</f>
        <v>5.1799999999999784</v>
      </c>
      <c r="E53" s="4">
        <f t="shared" ca="1" si="0"/>
        <v>231.67</v>
      </c>
      <c r="F53" s="3">
        <v>10121.209999999992</v>
      </c>
      <c r="G53" s="3">
        <v>0</v>
      </c>
      <c r="H53" s="3">
        <f t="shared" si="1"/>
        <v>10121.209999999992</v>
      </c>
      <c r="I53" s="3">
        <v>0</v>
      </c>
      <c r="J53" s="3"/>
      <c r="K53" s="3"/>
      <c r="L53" s="3"/>
    </row>
    <row r="54" spans="1:12">
      <c r="A54" s="3">
        <v>42362</v>
      </c>
      <c r="B54" s="3">
        <v>230.57</v>
      </c>
      <c r="C54" s="4" cm="1">
        <f t="array" aca="1" ref="C54" ca="1">INDIRECT(ADDRESS(ROW()-C$3,2))-INDIRECT(ADDRESS(ROW()-C$2,2))</f>
        <v>-1.9900000000000091</v>
      </c>
      <c r="D54" s="4" cm="1">
        <f t="array" aca="1" ref="D54" ca="1">INDIRECT(ADDRESS(ROW()-D$3,2))-INDIRECT(ADDRESS(ROW()-D$2,2))</f>
        <v>3.5</v>
      </c>
      <c r="E54" s="4">
        <f t="shared" ca="1" si="0"/>
        <v>230.07999999999998</v>
      </c>
      <c r="F54" s="3">
        <v>10121.209999999992</v>
      </c>
      <c r="G54" s="3">
        <v>0</v>
      </c>
      <c r="H54" s="3">
        <f t="shared" si="1"/>
        <v>10121.209999999992</v>
      </c>
      <c r="I54" s="3">
        <v>0</v>
      </c>
      <c r="J54" s="3"/>
      <c r="K54" s="3"/>
      <c r="L54" s="3"/>
    </row>
    <row r="55" spans="1:12">
      <c r="A55" s="3">
        <v>42366</v>
      </c>
      <c r="B55" s="3">
        <v>228.95</v>
      </c>
      <c r="C55" s="4" cm="1">
        <f t="array" aca="1" ref="C55" ca="1">INDIRECT(ADDRESS(ROW()-C$3,2))-INDIRECT(ADDRESS(ROW()-C$2,2))</f>
        <v>-1</v>
      </c>
      <c r="D55" s="4" cm="1">
        <f t="array" aca="1" ref="D55" ca="1">INDIRECT(ADDRESS(ROW()-D$3,2))-INDIRECT(ADDRESS(ROW()-D$2,2))</f>
        <v>11.929999999999978</v>
      </c>
      <c r="E55" s="4">
        <f t="shared" ca="1" si="0"/>
        <v>231.565</v>
      </c>
      <c r="F55" s="3">
        <v>10121.209999999992</v>
      </c>
      <c r="G55" s="3">
        <v>0</v>
      </c>
      <c r="H55" s="3">
        <f t="shared" si="1"/>
        <v>10121.209999999992</v>
      </c>
      <c r="I55" s="3">
        <v>0</v>
      </c>
      <c r="J55" s="3"/>
      <c r="K55" s="3"/>
      <c r="L55" s="3"/>
    </row>
    <row r="56" spans="1:12">
      <c r="A56" s="3">
        <v>42367</v>
      </c>
      <c r="B56" s="3">
        <v>237.19</v>
      </c>
      <c r="C56" s="4" cm="1">
        <f t="array" aca="1" ref="C56" ca="1">INDIRECT(ADDRESS(ROW()-C$3,2))-INDIRECT(ADDRESS(ROW()-C$2,2))</f>
        <v>7.4900000000000091</v>
      </c>
      <c r="D56" s="4" cm="1">
        <f t="array" aca="1" ref="D56" ca="1">INDIRECT(ADDRESS(ROW()-D$3,2))-INDIRECT(ADDRESS(ROW()-D$2,2))</f>
        <v>18.609999999999985</v>
      </c>
      <c r="E56" s="4">
        <f t="shared" ca="1" si="0"/>
        <v>229.45</v>
      </c>
      <c r="F56" s="3">
        <v>159.22999999999377</v>
      </c>
      <c r="G56" s="3">
        <v>9961.98</v>
      </c>
      <c r="H56" s="3">
        <f t="shared" si="1"/>
        <v>10121.209999999994</v>
      </c>
      <c r="I56" s="3">
        <v>42</v>
      </c>
      <c r="J56" s="3"/>
      <c r="K56" s="3"/>
      <c r="L56" s="3"/>
    </row>
    <row r="57" spans="1:12">
      <c r="A57" s="3">
        <v>42368</v>
      </c>
      <c r="B57" s="3">
        <v>238.09</v>
      </c>
      <c r="C57" s="4" cm="1">
        <f t="array" aca="1" ref="C57" ca="1">INDIRECT(ADDRESS(ROW()-C$3,2))-INDIRECT(ADDRESS(ROW()-C$2,2))</f>
        <v>7.5200000000000102</v>
      </c>
      <c r="D57" s="4" cm="1">
        <f t="array" aca="1" ref="D57" ca="1">INDIRECT(ADDRESS(ROW()-D$3,2))-INDIRECT(ADDRESS(ROW()-D$2,2))</f>
        <v>17</v>
      </c>
      <c r="E57" s="4">
        <f t="shared" ca="1" si="0"/>
        <v>233.44499999999999</v>
      </c>
      <c r="F57" s="3">
        <v>159.22999999999377</v>
      </c>
      <c r="G57" s="3">
        <v>9999.7800000000007</v>
      </c>
      <c r="H57" s="3">
        <f t="shared" si="1"/>
        <v>10159.009999999995</v>
      </c>
      <c r="I57" s="3">
        <v>42</v>
      </c>
      <c r="J57" s="3"/>
      <c r="K57" s="3"/>
      <c r="L57" s="3"/>
    </row>
    <row r="58" spans="1:12">
      <c r="A58" s="3">
        <v>42369</v>
      </c>
      <c r="B58" s="3">
        <v>240.01</v>
      </c>
      <c r="C58" s="4" cm="1">
        <f t="array" aca="1" ref="C58" ca="1">INDIRECT(ADDRESS(ROW()-C$3,2))-INDIRECT(ADDRESS(ROW()-C$2,2))</f>
        <v>11.060000000000002</v>
      </c>
      <c r="D58" s="4" cm="1">
        <f t="array" aca="1" ref="D58" ca="1">INDIRECT(ADDRESS(ROW()-D$3,2))-INDIRECT(ADDRESS(ROW()-D$2,2))</f>
        <v>5.5</v>
      </c>
      <c r="E58" s="4">
        <f t="shared" ca="1" si="0"/>
        <v>234.32999999999998</v>
      </c>
      <c r="F58" s="3">
        <v>159.22999999999377</v>
      </c>
      <c r="G58" s="3">
        <v>10080.42</v>
      </c>
      <c r="H58" s="3">
        <f t="shared" si="1"/>
        <v>10239.649999999994</v>
      </c>
      <c r="I58" s="3">
        <v>42</v>
      </c>
      <c r="J58" s="3"/>
      <c r="K58" s="3"/>
      <c r="L58" s="3"/>
    </row>
    <row r="59" spans="1:12">
      <c r="A59" s="3">
        <v>42373</v>
      </c>
      <c r="B59" s="3">
        <v>223.41</v>
      </c>
      <c r="C59" s="4" cm="1">
        <f t="array" aca="1" ref="C59" ca="1">INDIRECT(ADDRESS(ROW()-C$3,2))-INDIRECT(ADDRESS(ROW()-C$2,2))</f>
        <v>-13.780000000000001</v>
      </c>
      <c r="D59" s="4" cm="1">
        <f t="array" aca="1" ref="D59" ca="1">INDIRECT(ADDRESS(ROW()-D$3,2))-INDIRECT(ADDRESS(ROW()-D$2,2))</f>
        <v>-9.9799999999999898</v>
      </c>
      <c r="E59" s="4">
        <f t="shared" ca="1" si="0"/>
        <v>234.48</v>
      </c>
      <c r="F59" s="3">
        <v>9542.4499999999935</v>
      </c>
      <c r="G59" s="3">
        <v>0</v>
      </c>
      <c r="H59" s="3">
        <f t="shared" si="1"/>
        <v>9542.4499999999935</v>
      </c>
      <c r="I59" s="3">
        <v>0</v>
      </c>
      <c r="J59" s="3"/>
      <c r="K59" s="3"/>
      <c r="L59" s="3"/>
    </row>
    <row r="60" spans="1:12">
      <c r="A60" s="3">
        <v>42374</v>
      </c>
      <c r="B60" s="3">
        <v>223.43</v>
      </c>
      <c r="C60" s="4" cm="1">
        <f t="array" aca="1" ref="C60" ca="1">INDIRECT(ADDRESS(ROW()-C$3,2))-INDIRECT(ADDRESS(ROW()-C$2,2))</f>
        <v>-14.659999999999997</v>
      </c>
      <c r="D60" s="4" cm="1">
        <f t="array" aca="1" ref="D60" ca="1">INDIRECT(ADDRESS(ROW()-D$3,2))-INDIRECT(ADDRESS(ROW()-D$2,2))</f>
        <v>-7.0300000000000011</v>
      </c>
      <c r="E60" s="4">
        <f t="shared" ca="1" si="0"/>
        <v>230.3</v>
      </c>
      <c r="F60" s="3">
        <v>9542.4499999999935</v>
      </c>
      <c r="G60" s="3">
        <v>0</v>
      </c>
      <c r="H60" s="3">
        <f t="shared" si="1"/>
        <v>9542.4499999999935</v>
      </c>
      <c r="I60" s="3">
        <v>0</v>
      </c>
      <c r="J60" s="3"/>
      <c r="K60" s="3"/>
      <c r="L60" s="3"/>
    </row>
    <row r="61" spans="1:12">
      <c r="A61" s="3">
        <v>42375</v>
      </c>
      <c r="B61" s="3">
        <v>219.04</v>
      </c>
      <c r="C61" s="4" cm="1">
        <f t="array" aca="1" ref="C61" ca="1">INDIRECT(ADDRESS(ROW()-C$3,2))-INDIRECT(ADDRESS(ROW()-C$2,2))</f>
        <v>-20.97</v>
      </c>
      <c r="D61" s="4" cm="1">
        <f t="array" aca="1" ref="D61" ca="1">INDIRECT(ADDRESS(ROW()-D$3,2))-INDIRECT(ADDRESS(ROW()-D$2,2))</f>
        <v>-13.52000000000001</v>
      </c>
      <c r="E61" s="4">
        <f t="shared" ca="1" si="0"/>
        <v>230.76</v>
      </c>
      <c r="F61" s="3">
        <v>9542.4499999999935</v>
      </c>
      <c r="G61" s="3">
        <v>0</v>
      </c>
      <c r="H61" s="3">
        <f t="shared" si="1"/>
        <v>9542.4499999999935</v>
      </c>
      <c r="I61" s="3">
        <v>0</v>
      </c>
      <c r="J61" s="3"/>
      <c r="K61" s="3"/>
      <c r="L61" s="3"/>
    </row>
    <row r="62" spans="1:12">
      <c r="A62" s="3">
        <v>42376</v>
      </c>
      <c r="B62" s="3">
        <v>215.65</v>
      </c>
      <c r="C62" s="4" cm="1">
        <f t="array" aca="1" ref="C62" ca="1">INDIRECT(ADDRESS(ROW()-C$3,2))-INDIRECT(ADDRESS(ROW()-C$2,2))</f>
        <v>-7.7599999999999909</v>
      </c>
      <c r="D62" s="4" cm="1">
        <f t="array" aca="1" ref="D62" ca="1">INDIRECT(ADDRESS(ROW()-D$3,2))-INDIRECT(ADDRESS(ROW()-D$2,2))</f>
        <v>-14.299999999999983</v>
      </c>
      <c r="E62" s="4">
        <f t="shared" ca="1" si="0"/>
        <v>229.52499999999998</v>
      </c>
      <c r="F62" s="3">
        <v>9542.4499999999935</v>
      </c>
      <c r="G62" s="3">
        <v>0</v>
      </c>
      <c r="H62" s="3">
        <f t="shared" si="1"/>
        <v>9542.4499999999935</v>
      </c>
      <c r="I62" s="3">
        <v>0</v>
      </c>
      <c r="J62" s="3"/>
      <c r="K62" s="3"/>
      <c r="L62" s="3"/>
    </row>
    <row r="63" spans="1:12">
      <c r="A63" s="3">
        <v>42377</v>
      </c>
      <c r="B63" s="3">
        <v>211</v>
      </c>
      <c r="C63" s="4" cm="1">
        <f t="array" aca="1" ref="C63" ca="1">INDIRECT(ADDRESS(ROW()-C$3,2))-INDIRECT(ADDRESS(ROW()-C$2,2))</f>
        <v>-12.430000000000007</v>
      </c>
      <c r="D63" s="4" cm="1">
        <f t="array" aca="1" ref="D63" ca="1">INDIRECT(ADDRESS(ROW()-D$3,2))-INDIRECT(ADDRESS(ROW()-D$2,2))</f>
        <v>-18.699999999999989</v>
      </c>
      <c r="E63" s="4">
        <f t="shared" ca="1" si="0"/>
        <v>219.53</v>
      </c>
      <c r="F63" s="3">
        <v>9542.4499999999935</v>
      </c>
      <c r="G63" s="3">
        <v>0</v>
      </c>
      <c r="H63" s="3">
        <f t="shared" si="1"/>
        <v>9542.4499999999935</v>
      </c>
      <c r="I63" s="3">
        <v>0</v>
      </c>
      <c r="J63" s="3"/>
      <c r="K63" s="3"/>
      <c r="L63" s="3"/>
    </row>
    <row r="64" spans="1:12">
      <c r="A64" s="3">
        <v>42380</v>
      </c>
      <c r="B64" s="3">
        <v>207.85</v>
      </c>
      <c r="C64" s="4" cm="1">
        <f t="array" aca="1" ref="C64" ca="1">INDIRECT(ADDRESS(ROW()-C$3,2))-INDIRECT(ADDRESS(ROW()-C$2,2))</f>
        <v>-11.189999999999998</v>
      </c>
      <c r="D64" s="4" cm="1">
        <f t="array" aca="1" ref="D64" ca="1">INDIRECT(ADDRESS(ROW()-D$3,2))-INDIRECT(ADDRESS(ROW()-D$2,2))</f>
        <v>-22.72</v>
      </c>
      <c r="E64" s="4">
        <f t="shared" ca="1" si="0"/>
        <v>217.215</v>
      </c>
      <c r="F64" s="3">
        <v>9542.4499999999935</v>
      </c>
      <c r="G64" s="3">
        <v>0</v>
      </c>
      <c r="H64" s="3">
        <f t="shared" si="1"/>
        <v>9542.4499999999935</v>
      </c>
      <c r="I64" s="3">
        <v>0</v>
      </c>
      <c r="J64" s="3"/>
      <c r="K64" s="3"/>
      <c r="L64" s="3"/>
    </row>
    <row r="65" spans="1:12">
      <c r="A65" s="3">
        <v>42381</v>
      </c>
      <c r="B65" s="3">
        <v>209.97</v>
      </c>
      <c r="C65" s="4" cm="1">
        <f t="array" aca="1" ref="C65" ca="1">INDIRECT(ADDRESS(ROW()-C$3,2))-INDIRECT(ADDRESS(ROW()-C$2,2))</f>
        <v>-5.6800000000000068</v>
      </c>
      <c r="D65" s="4" cm="1">
        <f t="array" aca="1" ref="D65" ca="1">INDIRECT(ADDRESS(ROW()-D$3,2))-INDIRECT(ADDRESS(ROW()-D$2,2))</f>
        <v>-18.97999999999999</v>
      </c>
      <c r="E65" s="4">
        <f t="shared" ca="1" si="0"/>
        <v>213.44499999999999</v>
      </c>
      <c r="F65" s="3">
        <v>9542.4499999999935</v>
      </c>
      <c r="G65" s="3">
        <v>0</v>
      </c>
      <c r="H65" s="3">
        <f t="shared" si="1"/>
        <v>9542.4499999999935</v>
      </c>
      <c r="I65" s="3">
        <v>0</v>
      </c>
      <c r="J65" s="3"/>
      <c r="K65" s="3"/>
      <c r="L65" s="3"/>
    </row>
    <row r="66" spans="1:12">
      <c r="A66" s="3">
        <v>42382</v>
      </c>
      <c r="B66" s="3">
        <v>200.31</v>
      </c>
      <c r="C66" s="4" cm="1">
        <f t="array" aca="1" ref="C66" ca="1">INDIRECT(ADDRESS(ROW()-C$3,2))-INDIRECT(ADDRESS(ROW()-C$2,2))</f>
        <v>-10.689999999999998</v>
      </c>
      <c r="D66" s="4" cm="1">
        <f t="array" aca="1" ref="D66" ca="1">INDIRECT(ADDRESS(ROW()-D$3,2))-INDIRECT(ADDRESS(ROW()-D$2,2))</f>
        <v>-36.879999999999995</v>
      </c>
      <c r="E66" s="4">
        <f t="shared" ca="1" si="0"/>
        <v>212.81</v>
      </c>
      <c r="F66" s="3">
        <v>9542.4499999999935</v>
      </c>
      <c r="G66" s="3">
        <v>0</v>
      </c>
      <c r="H66" s="3">
        <f t="shared" si="1"/>
        <v>9542.4499999999935</v>
      </c>
      <c r="I66" s="3">
        <v>0</v>
      </c>
      <c r="J66" s="3"/>
      <c r="K66" s="3"/>
      <c r="L66" s="3"/>
    </row>
    <row r="67" spans="1:12">
      <c r="A67" s="3">
        <v>42383</v>
      </c>
      <c r="B67" s="3">
        <v>206.18</v>
      </c>
      <c r="C67" s="4" cm="1">
        <f t="array" aca="1" ref="C67" ca="1">INDIRECT(ADDRESS(ROW()-C$3,2))-INDIRECT(ADDRESS(ROW()-C$2,2))</f>
        <v>-1.6699999999999875</v>
      </c>
      <c r="D67" s="4" cm="1">
        <f t="array" aca="1" ref="D67" ca="1">INDIRECT(ADDRESS(ROW()-D$3,2))-INDIRECT(ADDRESS(ROW()-D$2,2))</f>
        <v>-31.909999999999997</v>
      </c>
      <c r="E67" s="4">
        <f t="shared" ca="1" si="0"/>
        <v>205.655</v>
      </c>
      <c r="F67" s="3">
        <v>9542.4499999999935</v>
      </c>
      <c r="G67" s="3">
        <v>0</v>
      </c>
      <c r="H67" s="3">
        <f t="shared" si="1"/>
        <v>9542.4499999999935</v>
      </c>
      <c r="I67" s="3">
        <v>0</v>
      </c>
      <c r="J67" s="3"/>
      <c r="K67" s="3"/>
      <c r="L67" s="3"/>
    </row>
    <row r="68" spans="1:12">
      <c r="A68" s="3">
        <v>42384</v>
      </c>
      <c r="B68" s="3">
        <v>204.99</v>
      </c>
      <c r="C68" s="4" cm="1">
        <f t="array" aca="1" ref="C68" ca="1">INDIRECT(ADDRESS(ROW()-C$3,2))-INDIRECT(ADDRESS(ROW()-C$2,2))</f>
        <v>-4.9799999999999898</v>
      </c>
      <c r="D68" s="4" cm="1">
        <f t="array" aca="1" ref="D68" ca="1">INDIRECT(ADDRESS(ROW()-D$3,2))-INDIRECT(ADDRESS(ROW()-D$2,2))</f>
        <v>-35.019999999999982</v>
      </c>
      <c r="E68" s="4">
        <f t="shared" ca="1" si="0"/>
        <v>207.01499999999999</v>
      </c>
      <c r="F68" s="3">
        <v>9542.4499999999935</v>
      </c>
      <c r="G68" s="3">
        <v>0</v>
      </c>
      <c r="H68" s="3">
        <f t="shared" si="1"/>
        <v>9542.4499999999935</v>
      </c>
      <c r="I68" s="3">
        <v>0</v>
      </c>
      <c r="J68" s="3"/>
      <c r="K68" s="3"/>
      <c r="L68" s="3"/>
    </row>
    <row r="69" spans="1:12">
      <c r="A69" s="3">
        <v>42388</v>
      </c>
      <c r="B69" s="3">
        <v>204.72</v>
      </c>
      <c r="C69" s="4" cm="1">
        <f t="array" aca="1" ref="C69" ca="1">INDIRECT(ADDRESS(ROW()-C$3,2))-INDIRECT(ADDRESS(ROW()-C$2,2))</f>
        <v>4.4099999999999966</v>
      </c>
      <c r="D69" s="4" cm="1">
        <f t="array" aca="1" ref="D69" ca="1">INDIRECT(ADDRESS(ROW()-D$3,2))-INDIRECT(ADDRESS(ROW()-D$2,2))</f>
        <v>-18.689999999999998</v>
      </c>
      <c r="E69" s="4">
        <f t="shared" ca="1" si="0"/>
        <v>207.48000000000002</v>
      </c>
      <c r="F69" s="3">
        <v>125.32999999999404</v>
      </c>
      <c r="G69" s="3">
        <v>9417.1200000000008</v>
      </c>
      <c r="H69" s="3">
        <f t="shared" si="1"/>
        <v>9542.4499999999953</v>
      </c>
      <c r="I69" s="3">
        <v>46</v>
      </c>
      <c r="J69" s="3"/>
      <c r="K69" s="3"/>
      <c r="L69" s="3"/>
    </row>
    <row r="70" spans="1:12">
      <c r="A70" s="3">
        <v>42389</v>
      </c>
      <c r="B70" s="3">
        <v>198.7</v>
      </c>
      <c r="C70" s="4" cm="1">
        <f t="array" aca="1" ref="C70" ca="1">INDIRECT(ADDRESS(ROW()-C$3,2))-INDIRECT(ADDRESS(ROW()-C$2,2))</f>
        <v>-7.4800000000000182</v>
      </c>
      <c r="D70" s="4" cm="1">
        <f t="array" aca="1" ref="D70" ca="1">INDIRECT(ADDRESS(ROW()-D$3,2))-INDIRECT(ADDRESS(ROW()-D$2,2))</f>
        <v>-24.730000000000018</v>
      </c>
      <c r="E70" s="4">
        <f t="shared" ca="1" si="0"/>
        <v>202.51499999999999</v>
      </c>
      <c r="F70" s="3">
        <v>9265.5299999999934</v>
      </c>
      <c r="G70" s="3">
        <v>0</v>
      </c>
      <c r="H70" s="3">
        <f t="shared" si="1"/>
        <v>9265.5299999999934</v>
      </c>
      <c r="I70" s="3">
        <v>0</v>
      </c>
      <c r="J70" s="3"/>
      <c r="K70" s="3"/>
      <c r="L70" s="3"/>
    </row>
    <row r="71" spans="1:12">
      <c r="A71" s="3">
        <v>42390</v>
      </c>
      <c r="B71" s="3">
        <v>199.97</v>
      </c>
      <c r="C71" s="4" cm="1">
        <f t="array" aca="1" ref="C71" ca="1">INDIRECT(ADDRESS(ROW()-C$3,2))-INDIRECT(ADDRESS(ROW()-C$2,2))</f>
        <v>-5.0200000000000102</v>
      </c>
      <c r="D71" s="4" cm="1">
        <f t="array" aca="1" ref="D71" ca="1">INDIRECT(ADDRESS(ROW()-D$3,2))-INDIRECT(ADDRESS(ROW()-D$2,2))</f>
        <v>-19.069999999999993</v>
      </c>
      <c r="E71" s="4">
        <f t="shared" ca="1" si="0"/>
        <v>202.44</v>
      </c>
      <c r="F71" s="3">
        <v>9265.5299999999934</v>
      </c>
      <c r="G71" s="3">
        <v>0</v>
      </c>
      <c r="H71" s="3">
        <f t="shared" si="1"/>
        <v>9265.5299999999934</v>
      </c>
      <c r="I71" s="3">
        <v>0</v>
      </c>
      <c r="J71" s="3"/>
      <c r="K71" s="3"/>
      <c r="L71" s="3"/>
    </row>
    <row r="72" spans="1:12">
      <c r="A72" s="3">
        <v>42391</v>
      </c>
      <c r="B72" s="3">
        <v>202.55</v>
      </c>
      <c r="C72" s="4" cm="1">
        <f t="array" aca="1" ref="C72" ca="1">INDIRECT(ADDRESS(ROW()-C$3,2))-INDIRECT(ADDRESS(ROW()-C$2,2))</f>
        <v>-2.1699999999999875</v>
      </c>
      <c r="D72" s="4" cm="1">
        <f t="array" aca="1" ref="D72" ca="1">INDIRECT(ADDRESS(ROW()-D$3,2))-INDIRECT(ADDRESS(ROW()-D$2,2))</f>
        <v>-13.099999999999994</v>
      </c>
      <c r="E72" s="4">
        <f t="shared" ca="1" si="0"/>
        <v>202.48000000000002</v>
      </c>
      <c r="F72" s="3">
        <v>9265.5299999999934</v>
      </c>
      <c r="G72" s="3">
        <v>0</v>
      </c>
      <c r="H72" s="3">
        <f t="shared" si="1"/>
        <v>9265.5299999999934</v>
      </c>
      <c r="I72" s="3">
        <v>0</v>
      </c>
      <c r="J72" s="3"/>
      <c r="K72" s="3"/>
      <c r="L72" s="3"/>
    </row>
    <row r="73" spans="1:12">
      <c r="A73" s="3">
        <v>42394</v>
      </c>
      <c r="B73" s="3">
        <v>196.38</v>
      </c>
      <c r="C73" s="4" cm="1">
        <f t="array" aca="1" ref="C73" ca="1">INDIRECT(ADDRESS(ROW()-C$3,2))-INDIRECT(ADDRESS(ROW()-C$2,2))</f>
        <v>-2.3199999999999932</v>
      </c>
      <c r="D73" s="4" cm="1">
        <f t="array" aca="1" ref="D73" ca="1">INDIRECT(ADDRESS(ROW()-D$3,2))-INDIRECT(ADDRESS(ROW()-D$2,2))</f>
        <v>-14.620000000000005</v>
      </c>
      <c r="E73" s="4">
        <f t="shared" ca="1" si="0"/>
        <v>203.63499999999999</v>
      </c>
      <c r="F73" s="3">
        <v>9265.5299999999934</v>
      </c>
      <c r="G73" s="3">
        <v>0</v>
      </c>
      <c r="H73" s="3">
        <f t="shared" si="1"/>
        <v>9265.5299999999934</v>
      </c>
      <c r="I73" s="3">
        <v>0</v>
      </c>
      <c r="J73" s="3"/>
      <c r="K73" s="3"/>
      <c r="L73" s="3"/>
    </row>
    <row r="74" spans="1:12">
      <c r="A74" s="3">
        <v>42395</v>
      </c>
      <c r="B74" s="3">
        <v>193.56</v>
      </c>
      <c r="C74" s="4" cm="1">
        <f t="array" aca="1" ref="C74" ca="1">INDIRECT(ADDRESS(ROW()-C$3,2))-INDIRECT(ADDRESS(ROW()-C$2,2))</f>
        <v>-6.4099999999999966</v>
      </c>
      <c r="D74" s="4" cm="1">
        <f t="array" aca="1" ref="D74" ca="1">INDIRECT(ADDRESS(ROW()-D$3,2))-INDIRECT(ADDRESS(ROW()-D$2,2))</f>
        <v>-14.289999999999992</v>
      </c>
      <c r="E74" s="4">
        <f t="shared" ca="1" si="0"/>
        <v>197.54</v>
      </c>
      <c r="F74" s="3">
        <v>9265.5299999999934</v>
      </c>
      <c r="G74" s="3">
        <v>0</v>
      </c>
      <c r="H74" s="3">
        <f t="shared" si="1"/>
        <v>9265.5299999999934</v>
      </c>
      <c r="I74" s="3">
        <v>0</v>
      </c>
      <c r="J74" s="3"/>
      <c r="K74" s="3"/>
      <c r="L74" s="3"/>
    </row>
    <row r="75" spans="1:12">
      <c r="A75" s="3">
        <v>42396</v>
      </c>
      <c r="B75" s="3">
        <v>188.07</v>
      </c>
      <c r="C75" s="4" cm="1">
        <f t="array" aca="1" ref="C75" ca="1">INDIRECT(ADDRESS(ROW()-C$3,2))-INDIRECT(ADDRESS(ROW()-C$2,2))</f>
        <v>-14.480000000000018</v>
      </c>
      <c r="D75" s="4" cm="1">
        <f t="array" aca="1" ref="D75" ca="1">INDIRECT(ADDRESS(ROW()-D$3,2))-INDIRECT(ADDRESS(ROW()-D$2,2))</f>
        <v>-21.900000000000006</v>
      </c>
      <c r="E75" s="4">
        <f t="shared" ca="1" si="0"/>
        <v>196.76499999999999</v>
      </c>
      <c r="F75" s="3">
        <v>9265.5299999999934</v>
      </c>
      <c r="G75" s="3">
        <v>0</v>
      </c>
      <c r="H75" s="3">
        <f t="shared" si="1"/>
        <v>9265.5299999999934</v>
      </c>
      <c r="I75" s="3">
        <v>0</v>
      </c>
      <c r="J75" s="3"/>
      <c r="K75" s="3"/>
      <c r="L75" s="3"/>
    </row>
    <row r="76" spans="1:12">
      <c r="A76" s="3">
        <v>42397</v>
      </c>
      <c r="B76" s="3">
        <v>189.7</v>
      </c>
      <c r="C76" s="4" cm="1">
        <f t="array" aca="1" ref="C76" ca="1">INDIRECT(ADDRESS(ROW()-C$3,2))-INDIRECT(ADDRESS(ROW()-C$2,2))</f>
        <v>-6.6800000000000068</v>
      </c>
      <c r="D76" s="4" cm="1">
        <f t="array" aca="1" ref="D76" ca="1">INDIRECT(ADDRESS(ROW()-D$3,2))-INDIRECT(ADDRESS(ROW()-D$2,2))</f>
        <v>-10.610000000000014</v>
      </c>
      <c r="E76" s="4">
        <f t="shared" ca="1" si="0"/>
        <v>195.31</v>
      </c>
      <c r="F76" s="3">
        <v>9265.5299999999934</v>
      </c>
      <c r="G76" s="3">
        <v>0</v>
      </c>
      <c r="H76" s="3">
        <f t="shared" si="1"/>
        <v>9265.5299999999934</v>
      </c>
      <c r="I76" s="3">
        <v>0</v>
      </c>
      <c r="J76" s="3"/>
      <c r="K76" s="3"/>
      <c r="L76" s="3"/>
    </row>
    <row r="77" spans="1:12">
      <c r="A77" s="3">
        <v>42398</v>
      </c>
      <c r="B77" s="3">
        <v>191.2</v>
      </c>
      <c r="C77" s="4" cm="1">
        <f t="array" aca="1" ref="C77" ca="1">INDIRECT(ADDRESS(ROW()-C$3,2))-INDIRECT(ADDRESS(ROW()-C$2,2))</f>
        <v>-2.3600000000000136</v>
      </c>
      <c r="D77" s="4" cm="1">
        <f t="array" aca="1" ref="D77" ca="1">INDIRECT(ADDRESS(ROW()-D$3,2))-INDIRECT(ADDRESS(ROW()-D$2,2))</f>
        <v>-14.980000000000018</v>
      </c>
      <c r="E77" s="4">
        <f t="shared" ca="1" si="0"/>
        <v>193.04</v>
      </c>
      <c r="F77" s="3">
        <v>9265.5299999999934</v>
      </c>
      <c r="G77" s="3">
        <v>0</v>
      </c>
      <c r="H77" s="3">
        <f t="shared" si="1"/>
        <v>9265.5299999999934</v>
      </c>
      <c r="I77" s="3">
        <v>0</v>
      </c>
      <c r="J77" s="3"/>
      <c r="K77" s="3"/>
      <c r="L77" s="3"/>
    </row>
    <row r="78" spans="1:12">
      <c r="A78" s="3">
        <v>42401</v>
      </c>
      <c r="B78" s="3">
        <v>196.94</v>
      </c>
      <c r="C78" s="4" cm="1">
        <f t="array" aca="1" ref="C78" ca="1">INDIRECT(ADDRESS(ROW()-C$3,2))-INDIRECT(ADDRESS(ROW()-C$2,2))</f>
        <v>8.8700000000000045</v>
      </c>
      <c r="D78" s="4" cm="1">
        <f t="array" aca="1" ref="D78" ca="1">INDIRECT(ADDRESS(ROW()-D$3,2))-INDIRECT(ADDRESS(ROW()-D$2,2))</f>
        <v>-8.0500000000000114</v>
      </c>
      <c r="E78" s="4">
        <f t="shared" ca="1" si="0"/>
        <v>192.38</v>
      </c>
      <c r="F78" s="3">
        <v>9.3499999999982606</v>
      </c>
      <c r="G78" s="3">
        <v>9256.18</v>
      </c>
      <c r="H78" s="3">
        <f t="shared" si="1"/>
        <v>9265.5299999999988</v>
      </c>
      <c r="I78" s="3">
        <v>47</v>
      </c>
      <c r="J78" s="3"/>
      <c r="K78" s="3"/>
      <c r="L78" s="3"/>
    </row>
    <row r="79" spans="1:12">
      <c r="A79" s="3">
        <v>42402</v>
      </c>
      <c r="B79" s="3">
        <v>182.78</v>
      </c>
      <c r="C79" s="4" cm="1">
        <f t="array" aca="1" ref="C79" ca="1">INDIRECT(ADDRESS(ROW()-C$3,2))-INDIRECT(ADDRESS(ROW()-C$2,2))</f>
        <v>-6.9199999999999875</v>
      </c>
      <c r="D79" s="4" cm="1">
        <f t="array" aca="1" ref="D79" ca="1">INDIRECT(ADDRESS(ROW()-D$3,2))-INDIRECT(ADDRESS(ROW()-D$2,2))</f>
        <v>-21.939999999999998</v>
      </c>
      <c r="E79" s="4">
        <f t="shared" ca="1" si="0"/>
        <v>192.505</v>
      </c>
      <c r="F79" s="3">
        <v>8600.0099999999984</v>
      </c>
      <c r="G79" s="3">
        <v>0</v>
      </c>
      <c r="H79" s="3">
        <f t="shared" si="1"/>
        <v>8600.0099999999984</v>
      </c>
      <c r="I79" s="3">
        <v>0</v>
      </c>
      <c r="J79" s="3"/>
      <c r="K79" s="3"/>
      <c r="L79" s="3"/>
    </row>
    <row r="80" spans="1:12">
      <c r="A80" s="3">
        <v>42403</v>
      </c>
      <c r="B80" s="3">
        <v>173.48</v>
      </c>
      <c r="C80" s="4" cm="1">
        <f t="array" aca="1" ref="C80" ca="1">INDIRECT(ADDRESS(ROW()-C$3,2))-INDIRECT(ADDRESS(ROW()-C$2,2))</f>
        <v>-17.72</v>
      </c>
      <c r="D80" s="4" cm="1">
        <f t="array" aca="1" ref="D80" ca="1">INDIRECT(ADDRESS(ROW()-D$3,2))-INDIRECT(ADDRESS(ROW()-D$2,2))</f>
        <v>-25.22</v>
      </c>
      <c r="E80" s="4">
        <f t="shared" ca="1" si="0"/>
        <v>186.24</v>
      </c>
      <c r="F80" s="3">
        <v>8600.0099999999984</v>
      </c>
      <c r="G80" s="3">
        <v>0</v>
      </c>
      <c r="H80" s="3">
        <f t="shared" si="1"/>
        <v>8600.0099999999984</v>
      </c>
      <c r="I80" s="3">
        <v>0</v>
      </c>
      <c r="J80" s="3"/>
      <c r="K80" s="3"/>
      <c r="L80" s="3"/>
    </row>
    <row r="81" spans="1:12">
      <c r="A81" s="3">
        <v>42404</v>
      </c>
      <c r="B81" s="3">
        <v>175.33</v>
      </c>
      <c r="C81" s="4" cm="1">
        <f t="array" aca="1" ref="C81" ca="1">INDIRECT(ADDRESS(ROW()-C$3,2))-INDIRECT(ADDRESS(ROW()-C$2,2))</f>
        <v>-21.609999999999985</v>
      </c>
      <c r="D81" s="4" cm="1">
        <f t="array" aca="1" ref="D81" ca="1">INDIRECT(ADDRESS(ROW()-D$3,2))-INDIRECT(ADDRESS(ROW()-D$2,2))</f>
        <v>-24.639999999999986</v>
      </c>
      <c r="E81" s="4">
        <f t="shared" ca="1" si="0"/>
        <v>182.33999999999997</v>
      </c>
      <c r="F81" s="3">
        <v>8600.0099999999984</v>
      </c>
      <c r="G81" s="3">
        <v>0</v>
      </c>
      <c r="H81" s="3">
        <f t="shared" si="1"/>
        <v>8600.0099999999984</v>
      </c>
      <c r="I81" s="3">
        <v>0</v>
      </c>
      <c r="J81" s="3"/>
      <c r="K81" s="3"/>
      <c r="L81" s="3"/>
    </row>
    <row r="82" spans="1:12">
      <c r="A82" s="3">
        <v>42405</v>
      </c>
      <c r="B82" s="3">
        <v>162.6</v>
      </c>
      <c r="C82" s="4" cm="1">
        <f t="array" aca="1" ref="C82" ca="1">INDIRECT(ADDRESS(ROW()-C$3,2))-INDIRECT(ADDRESS(ROW()-C$2,2))</f>
        <v>-20.180000000000007</v>
      </c>
      <c r="D82" s="4" cm="1">
        <f t="array" aca="1" ref="D82" ca="1">INDIRECT(ADDRESS(ROW()-D$3,2))-INDIRECT(ADDRESS(ROW()-D$2,2))</f>
        <v>-39.950000000000017</v>
      </c>
      <c r="E82" s="4">
        <f t="shared" ca="1" si="0"/>
        <v>186.13499999999999</v>
      </c>
      <c r="F82" s="3">
        <v>8600.0099999999984</v>
      </c>
      <c r="G82" s="3">
        <v>0</v>
      </c>
      <c r="H82" s="3">
        <f t="shared" si="1"/>
        <v>8600.0099999999984</v>
      </c>
      <c r="I82" s="3">
        <v>0</v>
      </c>
      <c r="J82" s="3"/>
      <c r="K82" s="3"/>
      <c r="L82" s="3"/>
    </row>
    <row r="83" spans="1:12">
      <c r="A83" s="3">
        <v>42408</v>
      </c>
      <c r="B83" s="3">
        <v>147.99</v>
      </c>
      <c r="C83" s="4" cm="1">
        <f t="array" aca="1" ref="C83" ca="1">INDIRECT(ADDRESS(ROW()-C$3,2))-INDIRECT(ADDRESS(ROW()-C$2,2))</f>
        <v>-25.489999999999981</v>
      </c>
      <c r="D83" s="4" cm="1">
        <f t="array" aca="1" ref="D83" ca="1">INDIRECT(ADDRESS(ROW()-D$3,2))-INDIRECT(ADDRESS(ROW()-D$2,2))</f>
        <v>-48.389999999999986</v>
      </c>
      <c r="E83" s="4">
        <f t="shared" ca="1" si="0"/>
        <v>172.69</v>
      </c>
      <c r="F83" s="3">
        <v>8600.0099999999984</v>
      </c>
      <c r="G83" s="3">
        <v>0</v>
      </c>
      <c r="H83" s="3">
        <f t="shared" si="1"/>
        <v>8600.0099999999984</v>
      </c>
      <c r="I83" s="3">
        <v>0</v>
      </c>
      <c r="J83" s="3"/>
      <c r="K83" s="3"/>
      <c r="L83" s="3"/>
    </row>
    <row r="84" spans="1:12">
      <c r="A84" s="3">
        <v>42409</v>
      </c>
      <c r="B84" s="3">
        <v>148.25</v>
      </c>
      <c r="C84" s="4" cm="1">
        <f t="array" aca="1" ref="C84" ca="1">INDIRECT(ADDRESS(ROW()-C$3,2))-INDIRECT(ADDRESS(ROW()-C$2,2))</f>
        <v>-27.080000000000013</v>
      </c>
      <c r="D84" s="4" cm="1">
        <f t="array" aca="1" ref="D84" ca="1">INDIRECT(ADDRESS(ROW()-D$3,2))-INDIRECT(ADDRESS(ROW()-D$2,2))</f>
        <v>-45.31</v>
      </c>
      <c r="E84" s="4">
        <f t="shared" ca="1" si="0"/>
        <v>160.73500000000001</v>
      </c>
      <c r="F84" s="3">
        <v>8600.0099999999984</v>
      </c>
      <c r="G84" s="3">
        <v>0</v>
      </c>
      <c r="H84" s="3">
        <f t="shared" si="1"/>
        <v>8600.0099999999984</v>
      </c>
      <c r="I84" s="3">
        <v>0</v>
      </c>
      <c r="J84" s="3"/>
      <c r="K84" s="3"/>
      <c r="L84" s="3"/>
    </row>
    <row r="85" spans="1:12">
      <c r="A85" s="3">
        <v>42410</v>
      </c>
      <c r="B85" s="3">
        <v>143.66999999999999</v>
      </c>
      <c r="C85" s="4" cm="1">
        <f t="array" aca="1" ref="C85" ca="1">INDIRECT(ADDRESS(ROW()-C$3,2))-INDIRECT(ADDRESS(ROW()-C$2,2))</f>
        <v>-18.930000000000007</v>
      </c>
      <c r="D85" s="4" cm="1">
        <f t="array" aca="1" ref="D85" ca="1">INDIRECT(ADDRESS(ROW()-D$3,2))-INDIRECT(ADDRESS(ROW()-D$2,2))</f>
        <v>-44.400000000000006</v>
      </c>
      <c r="E85" s="4">
        <f t="shared" ca="1" si="0"/>
        <v>161.79000000000002</v>
      </c>
      <c r="F85" s="3">
        <v>8600.0099999999984</v>
      </c>
      <c r="G85" s="3">
        <v>0</v>
      </c>
      <c r="H85" s="3">
        <f t="shared" si="1"/>
        <v>8600.0099999999984</v>
      </c>
      <c r="I85" s="3">
        <v>0</v>
      </c>
      <c r="J85" s="3"/>
      <c r="K85" s="3"/>
      <c r="L85" s="3"/>
    </row>
    <row r="86" spans="1:12">
      <c r="A86" s="3">
        <v>42411</v>
      </c>
      <c r="B86" s="3">
        <v>150.47</v>
      </c>
      <c r="C86" s="4" cm="1">
        <f t="array" aca="1" ref="C86" ca="1">INDIRECT(ADDRESS(ROW()-C$3,2))-INDIRECT(ADDRESS(ROW()-C$2,2))</f>
        <v>2.4799999999999898</v>
      </c>
      <c r="D86" s="4" cm="1">
        <f t="array" aca="1" ref="D86" ca="1">INDIRECT(ADDRESS(ROW()-D$3,2))-INDIRECT(ADDRESS(ROW()-D$2,2))</f>
        <v>-39.22999999999999</v>
      </c>
      <c r="E86" s="4">
        <f t="shared" ca="1" si="0"/>
        <v>153.13499999999999</v>
      </c>
      <c r="F86" s="3">
        <v>23.219999999995309</v>
      </c>
      <c r="G86" s="3">
        <v>8576.7899999999991</v>
      </c>
      <c r="H86" s="3">
        <f t="shared" si="1"/>
        <v>8600.0099999999948</v>
      </c>
      <c r="I86" s="3">
        <v>57</v>
      </c>
      <c r="J86" s="3"/>
      <c r="K86" s="3"/>
      <c r="L86" s="3"/>
    </row>
    <row r="87" spans="1:12">
      <c r="A87" s="3">
        <v>42412</v>
      </c>
      <c r="B87" s="3">
        <v>151.04</v>
      </c>
      <c r="C87" s="4" cm="1">
        <f t="array" aca="1" ref="C87" ca="1">INDIRECT(ADDRESS(ROW()-C$3,2))-INDIRECT(ADDRESS(ROW()-C$2,2))</f>
        <v>2.789999999999992</v>
      </c>
      <c r="D87" s="4" cm="1">
        <f t="array" aca="1" ref="D87" ca="1">INDIRECT(ADDRESS(ROW()-D$3,2))-INDIRECT(ADDRESS(ROW()-D$2,2))</f>
        <v>-40.159999999999997</v>
      </c>
      <c r="E87" s="4">
        <f t="shared" ca="1" si="0"/>
        <v>149.23000000000002</v>
      </c>
      <c r="F87" s="3">
        <v>23.219999999995309</v>
      </c>
      <c r="G87" s="3">
        <v>8609.2799999999988</v>
      </c>
      <c r="H87" s="3">
        <f t="shared" ref="H87:H150" si="2">G87+F87</f>
        <v>8632.4999999999945</v>
      </c>
      <c r="I87" s="3">
        <v>57</v>
      </c>
      <c r="J87" s="3"/>
      <c r="K87" s="3"/>
      <c r="L87" s="3"/>
    </row>
    <row r="88" spans="1:12">
      <c r="A88" s="3">
        <v>42416</v>
      </c>
      <c r="B88" s="3">
        <v>155.16999999999999</v>
      </c>
      <c r="C88" s="4" cm="1">
        <f t="array" aca="1" ref="C88" ca="1">INDIRECT(ADDRESS(ROW()-C$3,2))-INDIRECT(ADDRESS(ROW()-C$2,2))</f>
        <v>11.5</v>
      </c>
      <c r="D88" s="4" cm="1">
        <f t="array" aca="1" ref="D88" ca="1">INDIRECT(ADDRESS(ROW()-D$3,2))-INDIRECT(ADDRESS(ROW()-D$2,2))</f>
        <v>-41.77000000000001</v>
      </c>
      <c r="E88" s="4">
        <f t="shared" ref="E88:E151" ca="1" si="3">AVERAGE(INDIRECT(ADDRESS(ROW()-E$3,2)),INDIRECT(ADDRESS(ROW()-E$2,2)))</f>
        <v>149.64499999999998</v>
      </c>
      <c r="F88" s="3">
        <v>23.219999999995309</v>
      </c>
      <c r="G88" s="3">
        <v>8844.6899999999987</v>
      </c>
      <c r="H88" s="3">
        <f t="shared" si="2"/>
        <v>8867.9099999999944</v>
      </c>
      <c r="I88" s="3">
        <v>57</v>
      </c>
      <c r="J88" s="3"/>
      <c r="K88" s="3"/>
      <c r="L88" s="3"/>
    </row>
    <row r="89" spans="1:12">
      <c r="A89" s="3">
        <v>42417</v>
      </c>
      <c r="B89" s="3">
        <v>168.68</v>
      </c>
      <c r="C89" s="4" cm="1">
        <f t="array" aca="1" ref="C89" ca="1">INDIRECT(ADDRESS(ROW()-C$3,2))-INDIRECT(ADDRESS(ROW()-C$2,2))</f>
        <v>18.210000000000008</v>
      </c>
      <c r="D89" s="4" cm="1">
        <f t="array" aca="1" ref="D89" ca="1">INDIRECT(ADDRESS(ROW()-D$3,2))-INDIRECT(ADDRESS(ROW()-D$2,2))</f>
        <v>-14.099999999999994</v>
      </c>
      <c r="E89" s="4">
        <f t="shared" ca="1" si="3"/>
        <v>149.41999999999999</v>
      </c>
      <c r="F89" s="3">
        <v>23.219999999995309</v>
      </c>
      <c r="G89" s="3">
        <v>9614.76</v>
      </c>
      <c r="H89" s="3">
        <f t="shared" si="2"/>
        <v>9637.9799999999959</v>
      </c>
      <c r="I89" s="3">
        <v>57</v>
      </c>
      <c r="J89" s="3"/>
      <c r="K89" s="3"/>
      <c r="L89" s="3"/>
    </row>
    <row r="90" spans="1:12">
      <c r="A90" s="3">
        <v>42418</v>
      </c>
      <c r="B90" s="3">
        <v>166.77</v>
      </c>
      <c r="C90" s="4" cm="1">
        <f t="array" aca="1" ref="C90" ca="1">INDIRECT(ADDRESS(ROW()-C$3,2))-INDIRECT(ADDRESS(ROW()-C$2,2))</f>
        <v>15.730000000000018</v>
      </c>
      <c r="D90" s="4" cm="1">
        <f t="array" aca="1" ref="D90" ca="1">INDIRECT(ADDRESS(ROW()-D$3,2))-INDIRECT(ADDRESS(ROW()-D$2,2))</f>
        <v>-6.7099999999999795</v>
      </c>
      <c r="E90" s="4">
        <f t="shared" ca="1" si="3"/>
        <v>159.57499999999999</v>
      </c>
      <c r="F90" s="3">
        <v>23.219999999995309</v>
      </c>
      <c r="G90" s="3">
        <v>9505.8900000000012</v>
      </c>
      <c r="H90" s="3">
        <f t="shared" si="2"/>
        <v>9529.1099999999969</v>
      </c>
      <c r="I90" s="3">
        <v>57</v>
      </c>
      <c r="J90" s="3"/>
      <c r="K90" s="3"/>
      <c r="L90" s="3"/>
    </row>
    <row r="91" spans="1:12">
      <c r="A91" s="3">
        <v>42419</v>
      </c>
      <c r="B91" s="3">
        <v>166.58</v>
      </c>
      <c r="C91" s="4" cm="1">
        <f t="array" aca="1" ref="C91" ca="1">INDIRECT(ADDRESS(ROW()-C$3,2))-INDIRECT(ADDRESS(ROW()-C$2,2))</f>
        <v>11.410000000000025</v>
      </c>
      <c r="D91" s="4" cm="1">
        <f t="array" aca="1" ref="D91" ca="1">INDIRECT(ADDRESS(ROW()-D$3,2))-INDIRECT(ADDRESS(ROW()-D$2,2))</f>
        <v>-8.75</v>
      </c>
      <c r="E91" s="4">
        <f t="shared" ca="1" si="3"/>
        <v>158.905</v>
      </c>
      <c r="F91" s="3">
        <v>23.219999999995309</v>
      </c>
      <c r="G91" s="3">
        <v>9495.0600000000013</v>
      </c>
      <c r="H91" s="3">
        <f t="shared" si="2"/>
        <v>9518.279999999997</v>
      </c>
      <c r="I91" s="3">
        <v>57</v>
      </c>
      <c r="J91" s="3"/>
      <c r="K91" s="3"/>
      <c r="L91" s="3"/>
    </row>
    <row r="92" spans="1:12">
      <c r="A92" s="3">
        <v>42422</v>
      </c>
      <c r="B92" s="3">
        <v>177.74</v>
      </c>
      <c r="C92" s="4" cm="1">
        <f t="array" aca="1" ref="C92" ca="1">INDIRECT(ADDRESS(ROW()-C$3,2))-INDIRECT(ADDRESS(ROW()-C$2,2))</f>
        <v>9.0600000000000023</v>
      </c>
      <c r="D92" s="4" cm="1">
        <f t="array" aca="1" ref="D92" ca="1">INDIRECT(ADDRESS(ROW()-D$3,2))-INDIRECT(ADDRESS(ROW()-D$2,2))</f>
        <v>15.140000000000015</v>
      </c>
      <c r="E92" s="4">
        <f t="shared" ca="1" si="3"/>
        <v>160.875</v>
      </c>
      <c r="F92" s="3">
        <v>23.219999999995309</v>
      </c>
      <c r="G92" s="3">
        <v>10131.18</v>
      </c>
      <c r="H92" s="3">
        <f t="shared" si="2"/>
        <v>10154.399999999996</v>
      </c>
      <c r="I92" s="3">
        <v>57</v>
      </c>
      <c r="J92" s="3"/>
      <c r="K92" s="3"/>
      <c r="L92" s="3"/>
    </row>
    <row r="93" spans="1:12">
      <c r="A93" s="3">
        <v>42423</v>
      </c>
      <c r="B93" s="3">
        <v>177.21</v>
      </c>
      <c r="C93" s="4" cm="1">
        <f t="array" aca="1" ref="C93" ca="1">INDIRECT(ADDRESS(ROW()-C$3,2))-INDIRECT(ADDRESS(ROW()-C$2,2))</f>
        <v>10.439999999999998</v>
      </c>
      <c r="D93" s="4" cm="1">
        <f t="array" aca="1" ref="D93" ca="1">INDIRECT(ADDRESS(ROW()-D$3,2))-INDIRECT(ADDRESS(ROW()-D$2,2))</f>
        <v>29.22</v>
      </c>
      <c r="E93" s="4">
        <f t="shared" ca="1" si="3"/>
        <v>173.21</v>
      </c>
      <c r="F93" s="3">
        <v>23.219999999995309</v>
      </c>
      <c r="G93" s="3">
        <v>10100.970000000001</v>
      </c>
      <c r="H93" s="3">
        <f t="shared" si="2"/>
        <v>10124.189999999997</v>
      </c>
      <c r="I93" s="3">
        <v>57</v>
      </c>
      <c r="J93" s="3"/>
      <c r="K93" s="3"/>
      <c r="L93" s="3"/>
    </row>
    <row r="94" spans="1:12">
      <c r="A94" s="3">
        <v>42424</v>
      </c>
      <c r="B94" s="3">
        <v>179</v>
      </c>
      <c r="C94" s="4" cm="1">
        <f t="array" aca="1" ref="C94" ca="1">INDIRECT(ADDRESS(ROW()-C$3,2))-INDIRECT(ADDRESS(ROW()-C$2,2))</f>
        <v>12.419999999999987</v>
      </c>
      <c r="D94" s="4" cm="1">
        <f t="array" aca="1" ref="D94" ca="1">INDIRECT(ADDRESS(ROW()-D$3,2))-INDIRECT(ADDRESS(ROW()-D$2,2))</f>
        <v>30.75</v>
      </c>
      <c r="E94" s="4">
        <f t="shared" ca="1" si="3"/>
        <v>171.99</v>
      </c>
      <c r="F94" s="3">
        <v>23.219999999995309</v>
      </c>
      <c r="G94" s="3">
        <v>10203</v>
      </c>
      <c r="H94" s="3">
        <f t="shared" si="2"/>
        <v>10226.219999999996</v>
      </c>
      <c r="I94" s="3">
        <v>57</v>
      </c>
      <c r="J94" s="3"/>
      <c r="K94" s="3"/>
      <c r="L94" s="3"/>
    </row>
    <row r="95" spans="1:12">
      <c r="A95" s="3">
        <v>42425</v>
      </c>
      <c r="B95" s="3">
        <v>187.43</v>
      </c>
      <c r="C95" s="4" cm="1">
        <f t="array" aca="1" ref="C95" ca="1">INDIRECT(ADDRESS(ROW()-C$3,2))-INDIRECT(ADDRESS(ROW()-C$2,2))</f>
        <v>9.6899999999999977</v>
      </c>
      <c r="D95" s="4" cm="1">
        <f t="array" aca="1" ref="D95" ca="1">INDIRECT(ADDRESS(ROW()-D$3,2))-INDIRECT(ADDRESS(ROW()-D$2,2))</f>
        <v>43.760000000000019</v>
      </c>
      <c r="E95" s="4">
        <f t="shared" ca="1" si="3"/>
        <v>172.79000000000002</v>
      </c>
      <c r="F95" s="3">
        <v>23.219999999995309</v>
      </c>
      <c r="G95" s="3">
        <v>10683.51</v>
      </c>
      <c r="H95" s="3">
        <f t="shared" si="2"/>
        <v>10706.729999999996</v>
      </c>
      <c r="I95" s="3">
        <v>57</v>
      </c>
      <c r="J95" s="3"/>
      <c r="K95" s="3"/>
      <c r="L95" s="3"/>
    </row>
    <row r="96" spans="1:12">
      <c r="A96" s="3">
        <v>42426</v>
      </c>
      <c r="B96" s="3">
        <v>190.34</v>
      </c>
      <c r="C96" s="4" cm="1">
        <f t="array" aca="1" ref="C96" ca="1">INDIRECT(ADDRESS(ROW()-C$3,2))-INDIRECT(ADDRESS(ROW()-C$2,2))</f>
        <v>13.129999999999995</v>
      </c>
      <c r="D96" s="4" cm="1">
        <f t="array" aca="1" ref="D96" ca="1">INDIRECT(ADDRESS(ROW()-D$3,2))-INDIRECT(ADDRESS(ROW()-D$2,2))</f>
        <v>39.870000000000005</v>
      </c>
      <c r="E96" s="4">
        <f t="shared" ca="1" si="3"/>
        <v>182.58500000000001</v>
      </c>
      <c r="F96" s="3">
        <v>23.219999999995309</v>
      </c>
      <c r="G96" s="3">
        <v>10849.380000000001</v>
      </c>
      <c r="H96" s="3">
        <f t="shared" si="2"/>
        <v>10872.599999999997</v>
      </c>
      <c r="I96" s="3">
        <v>57</v>
      </c>
      <c r="J96" s="3"/>
      <c r="K96" s="3"/>
      <c r="L96" s="3"/>
    </row>
    <row r="97" spans="1:12">
      <c r="A97" s="3">
        <v>42429</v>
      </c>
      <c r="B97" s="3">
        <v>191.93</v>
      </c>
      <c r="C97" s="4" cm="1">
        <f t="array" aca="1" ref="C97" ca="1">INDIRECT(ADDRESS(ROW()-C$3,2))-INDIRECT(ADDRESS(ROW()-C$2,2))</f>
        <v>12.930000000000007</v>
      </c>
      <c r="D97" s="4" cm="1">
        <f t="array" aca="1" ref="D97" ca="1">INDIRECT(ADDRESS(ROW()-D$3,2))-INDIRECT(ADDRESS(ROW()-D$2,2))</f>
        <v>40.890000000000015</v>
      </c>
      <c r="E97" s="4">
        <f t="shared" ca="1" si="3"/>
        <v>183.77500000000001</v>
      </c>
      <c r="F97" s="3">
        <v>23.219999999995309</v>
      </c>
      <c r="G97" s="3">
        <v>10940.01</v>
      </c>
      <c r="H97" s="3">
        <f t="shared" si="2"/>
        <v>10963.229999999996</v>
      </c>
      <c r="I97" s="3">
        <v>57</v>
      </c>
      <c r="J97" s="3"/>
      <c r="K97" s="3"/>
      <c r="L97" s="3"/>
    </row>
    <row r="98" spans="1:12">
      <c r="A98" s="3">
        <v>42430</v>
      </c>
      <c r="B98" s="3">
        <v>186.35</v>
      </c>
      <c r="C98" s="4" cm="1">
        <f t="array" aca="1" ref="C98" ca="1">INDIRECT(ADDRESS(ROW()-C$3,2))-INDIRECT(ADDRESS(ROW()-C$2,2))</f>
        <v>-1.0800000000000125</v>
      </c>
      <c r="D98" s="4" cm="1">
        <f t="array" aca="1" ref="D98" ca="1">INDIRECT(ADDRESS(ROW()-D$3,2))-INDIRECT(ADDRESS(ROW()-D$2,2))</f>
        <v>31.180000000000007</v>
      </c>
      <c r="E98" s="4">
        <f t="shared" ca="1" si="3"/>
        <v>185.465</v>
      </c>
      <c r="F98" s="3">
        <v>10645.169999999995</v>
      </c>
      <c r="G98" s="3">
        <v>0</v>
      </c>
      <c r="H98" s="3">
        <f t="shared" si="2"/>
        <v>10645.169999999995</v>
      </c>
      <c r="I98" s="3">
        <v>0</v>
      </c>
      <c r="J98" s="3"/>
      <c r="K98" s="3"/>
      <c r="L98" s="3"/>
    </row>
    <row r="99" spans="1:12">
      <c r="A99" s="3">
        <v>42431</v>
      </c>
      <c r="B99" s="3">
        <v>188.34</v>
      </c>
      <c r="C99" s="4" cm="1">
        <f t="array" aca="1" ref="C99" ca="1">INDIRECT(ADDRESS(ROW()-C$3,2))-INDIRECT(ADDRESS(ROW()-C$2,2))</f>
        <v>-2</v>
      </c>
      <c r="D99" s="4" cm="1">
        <f t="array" aca="1" ref="D99" ca="1">INDIRECT(ADDRESS(ROW()-D$3,2))-INDIRECT(ADDRESS(ROW()-D$2,2))</f>
        <v>19.659999999999997</v>
      </c>
      <c r="E99" s="4">
        <f t="shared" ca="1" si="3"/>
        <v>186.89</v>
      </c>
      <c r="F99" s="3">
        <v>10645.169999999995</v>
      </c>
      <c r="G99" s="3">
        <v>0</v>
      </c>
      <c r="H99" s="3">
        <f t="shared" si="2"/>
        <v>10645.169999999995</v>
      </c>
      <c r="I99" s="3">
        <v>0</v>
      </c>
      <c r="J99" s="3"/>
      <c r="K99" s="3"/>
      <c r="L99" s="3"/>
    </row>
    <row r="100" spans="1:12">
      <c r="A100" s="3">
        <v>42432</v>
      </c>
      <c r="B100" s="3">
        <v>195.74</v>
      </c>
      <c r="C100" s="4" cm="1">
        <f t="array" aca="1" ref="C100" ca="1">INDIRECT(ADDRESS(ROW()-C$3,2))-INDIRECT(ADDRESS(ROW()-C$2,2))</f>
        <v>3.8100000000000023</v>
      </c>
      <c r="D100" s="4" cm="1">
        <f t="array" aca="1" ref="D100" ca="1">INDIRECT(ADDRESS(ROW()-D$3,2))-INDIRECT(ADDRESS(ROW()-D$2,2))</f>
        <v>28.97</v>
      </c>
      <c r="E100" s="4">
        <f t="shared" ca="1" si="3"/>
        <v>189.34</v>
      </c>
      <c r="F100" s="3">
        <v>75.210000000003902</v>
      </c>
      <c r="G100" s="3">
        <v>10569.960000000001</v>
      </c>
      <c r="H100" s="3">
        <f t="shared" si="2"/>
        <v>10645.170000000006</v>
      </c>
      <c r="I100" s="3">
        <v>54</v>
      </c>
      <c r="J100" s="3"/>
      <c r="K100" s="3"/>
      <c r="L100" s="3"/>
    </row>
    <row r="101" spans="1:12">
      <c r="A101" s="3">
        <v>42433</v>
      </c>
      <c r="B101" s="3">
        <v>201.04</v>
      </c>
      <c r="C101" s="4" cm="1">
        <f t="array" aca="1" ref="C101" ca="1">INDIRECT(ADDRESS(ROW()-C$3,2))-INDIRECT(ADDRESS(ROW()-C$2,2))</f>
        <v>14.689999999999998</v>
      </c>
      <c r="D101" s="4" cm="1">
        <f t="array" aca="1" ref="D101" ca="1">INDIRECT(ADDRESS(ROW()-D$3,2))-INDIRECT(ADDRESS(ROW()-D$2,2))</f>
        <v>34.45999999999998</v>
      </c>
      <c r="E101" s="4">
        <f t="shared" ca="1" si="3"/>
        <v>193.83500000000001</v>
      </c>
      <c r="F101" s="3">
        <v>75.210000000003902</v>
      </c>
      <c r="G101" s="3">
        <v>10856.16</v>
      </c>
      <c r="H101" s="3">
        <f t="shared" si="2"/>
        <v>10931.370000000004</v>
      </c>
      <c r="I101" s="3">
        <v>54</v>
      </c>
      <c r="J101" s="3"/>
      <c r="K101" s="3"/>
      <c r="L101" s="3"/>
    </row>
    <row r="102" spans="1:12">
      <c r="A102" s="3">
        <v>42436</v>
      </c>
      <c r="B102" s="3">
        <v>205.29</v>
      </c>
      <c r="C102" s="4" cm="1">
        <f t="array" aca="1" ref="C102" ca="1">INDIRECT(ADDRESS(ROW()-C$3,2))-INDIRECT(ADDRESS(ROW()-C$2,2))</f>
        <v>16.949999999999989</v>
      </c>
      <c r="D102" s="4" cm="1">
        <f t="array" aca="1" ref="D102" ca="1">INDIRECT(ADDRESS(ROW()-D$3,2))-INDIRECT(ADDRESS(ROW()-D$2,2))</f>
        <v>27.549999999999983</v>
      </c>
      <c r="E102" s="4">
        <f t="shared" ca="1" si="3"/>
        <v>193.69499999999999</v>
      </c>
      <c r="F102" s="3">
        <v>75.210000000003902</v>
      </c>
      <c r="G102" s="3">
        <v>11085.66</v>
      </c>
      <c r="H102" s="3">
        <f t="shared" si="2"/>
        <v>11160.870000000004</v>
      </c>
      <c r="I102" s="3">
        <v>54</v>
      </c>
      <c r="J102" s="3"/>
      <c r="K102" s="3"/>
      <c r="L102" s="3"/>
    </row>
    <row r="103" spans="1:12">
      <c r="A103" s="3">
        <v>42437</v>
      </c>
      <c r="B103" s="3">
        <v>202.6</v>
      </c>
      <c r="C103" s="4" cm="1">
        <f t="array" aca="1" ref="C103" ca="1">INDIRECT(ADDRESS(ROW()-C$3,2))-INDIRECT(ADDRESS(ROW()-C$2,2))</f>
        <v>6.8599999999999852</v>
      </c>
      <c r="D103" s="4" cm="1">
        <f t="array" aca="1" ref="D103" ca="1">INDIRECT(ADDRESS(ROW()-D$3,2))-INDIRECT(ADDRESS(ROW()-D$2,2))</f>
        <v>25.389999999999986</v>
      </c>
      <c r="E103" s="4">
        <f t="shared" ca="1" si="3"/>
        <v>196.815</v>
      </c>
      <c r="F103" s="3">
        <v>75.210000000003902</v>
      </c>
      <c r="G103" s="3">
        <v>10940.4</v>
      </c>
      <c r="H103" s="3">
        <f t="shared" si="2"/>
        <v>11015.610000000004</v>
      </c>
      <c r="I103" s="3">
        <v>54</v>
      </c>
      <c r="J103" s="3"/>
      <c r="K103" s="3"/>
      <c r="L103" s="3"/>
    </row>
    <row r="104" spans="1:12">
      <c r="A104" s="3">
        <v>42438</v>
      </c>
      <c r="B104" s="3">
        <v>208.72</v>
      </c>
      <c r="C104" s="4" cm="1">
        <f t="array" aca="1" ref="C104" ca="1">INDIRECT(ADDRESS(ROW()-C$3,2))-INDIRECT(ADDRESS(ROW()-C$2,2))</f>
        <v>7.6800000000000068</v>
      </c>
      <c r="D104" s="4" cm="1">
        <f t="array" aca="1" ref="D104" ca="1">INDIRECT(ADDRESS(ROW()-D$3,2))-INDIRECT(ADDRESS(ROW()-D$2,2))</f>
        <v>29.72</v>
      </c>
      <c r="E104" s="4">
        <f t="shared" ca="1" si="3"/>
        <v>199.17000000000002</v>
      </c>
      <c r="F104" s="3">
        <v>75.210000000003902</v>
      </c>
      <c r="G104" s="3">
        <v>11270.88</v>
      </c>
      <c r="H104" s="3">
        <f t="shared" si="2"/>
        <v>11346.090000000004</v>
      </c>
      <c r="I104" s="3">
        <v>54</v>
      </c>
      <c r="J104" s="3"/>
      <c r="K104" s="3"/>
      <c r="L104" s="3"/>
    </row>
    <row r="105" spans="1:12">
      <c r="A105" s="3">
        <v>42439</v>
      </c>
      <c r="B105" s="3">
        <v>205.18</v>
      </c>
      <c r="C105" s="4" cm="1">
        <f t="array" aca="1" ref="C105" ca="1">INDIRECT(ADDRESS(ROW()-C$3,2))-INDIRECT(ADDRESS(ROW()-C$2,2))</f>
        <v>-0.10999999999998522</v>
      </c>
      <c r="D105" s="4" cm="1">
        <f t="array" aca="1" ref="D105" ca="1">INDIRECT(ADDRESS(ROW()-D$3,2))-INDIRECT(ADDRESS(ROW()-D$2,2))</f>
        <v>17.75</v>
      </c>
      <c r="E105" s="4">
        <f t="shared" ca="1" si="3"/>
        <v>204.88</v>
      </c>
      <c r="F105" s="3">
        <v>11154.930000000006</v>
      </c>
      <c r="G105" s="3">
        <v>0</v>
      </c>
      <c r="H105" s="3">
        <f t="shared" si="2"/>
        <v>11154.930000000006</v>
      </c>
      <c r="I105" s="3">
        <v>0</v>
      </c>
      <c r="J105" s="3"/>
      <c r="K105" s="3"/>
      <c r="L105" s="3"/>
    </row>
    <row r="106" spans="1:12">
      <c r="A106" s="3">
        <v>42440</v>
      </c>
      <c r="B106" s="3">
        <v>207.5</v>
      </c>
      <c r="C106" s="4" cm="1">
        <f t="array" aca="1" ref="C106" ca="1">INDIRECT(ADDRESS(ROW()-C$3,2))-INDIRECT(ADDRESS(ROW()-C$2,2))</f>
        <v>4.9000000000000057</v>
      </c>
      <c r="D106" s="4" cm="1">
        <f t="array" aca="1" ref="D106" ca="1">INDIRECT(ADDRESS(ROW()-D$3,2))-INDIRECT(ADDRESS(ROW()-D$2,2))</f>
        <v>17.159999999999997</v>
      </c>
      <c r="E106" s="4">
        <f t="shared" ca="1" si="3"/>
        <v>205.23500000000001</v>
      </c>
      <c r="F106" s="3">
        <v>157.43000000000575</v>
      </c>
      <c r="G106" s="3">
        <v>10997.5</v>
      </c>
      <c r="H106" s="3">
        <f t="shared" si="2"/>
        <v>11154.930000000006</v>
      </c>
      <c r="I106" s="3">
        <v>53</v>
      </c>
      <c r="J106" s="3"/>
      <c r="K106" s="3"/>
      <c r="L106" s="3"/>
    </row>
    <row r="107" spans="1:12">
      <c r="A107" s="3">
        <v>42443</v>
      </c>
      <c r="B107" s="3">
        <v>215.15</v>
      </c>
      <c r="C107" s="4" cm="1">
        <f t="array" aca="1" ref="C107" ca="1">INDIRECT(ADDRESS(ROW()-C$3,2))-INDIRECT(ADDRESS(ROW()-C$2,2))</f>
        <v>6.4300000000000068</v>
      </c>
      <c r="D107" s="4" cm="1">
        <f t="array" aca="1" ref="D107" ca="1">INDIRECT(ADDRESS(ROW()-D$3,2))-INDIRECT(ADDRESS(ROW()-D$2,2))</f>
        <v>23.22</v>
      </c>
      <c r="E107" s="4">
        <f t="shared" ca="1" si="3"/>
        <v>205.05</v>
      </c>
      <c r="F107" s="3">
        <v>157.43000000000575</v>
      </c>
      <c r="G107" s="3">
        <v>11402.95</v>
      </c>
      <c r="H107" s="3">
        <f t="shared" si="2"/>
        <v>11560.380000000006</v>
      </c>
      <c r="I107" s="3">
        <v>53</v>
      </c>
      <c r="J107" s="3"/>
      <c r="K107" s="3"/>
      <c r="L107" s="3"/>
    </row>
    <row r="108" spans="1:12">
      <c r="A108" s="3">
        <v>42444</v>
      </c>
      <c r="B108" s="3">
        <v>218.34</v>
      </c>
      <c r="C108" s="4" cm="1">
        <f t="array" aca="1" ref="C108" ca="1">INDIRECT(ADDRESS(ROW()-C$3,2))-INDIRECT(ADDRESS(ROW()-C$2,2))</f>
        <v>13.159999999999997</v>
      </c>
      <c r="D108" s="4" cm="1">
        <f t="array" aca="1" ref="D108" ca="1">INDIRECT(ADDRESS(ROW()-D$3,2))-INDIRECT(ADDRESS(ROW()-D$2,2))</f>
        <v>31.990000000000009</v>
      </c>
      <c r="E108" s="4">
        <f t="shared" ca="1" si="3"/>
        <v>211.935</v>
      </c>
      <c r="F108" s="3">
        <v>157.43000000000575</v>
      </c>
      <c r="G108" s="3">
        <v>11572.02</v>
      </c>
      <c r="H108" s="3">
        <f t="shared" si="2"/>
        <v>11729.450000000006</v>
      </c>
      <c r="I108" s="3">
        <v>53</v>
      </c>
      <c r="J108" s="3"/>
      <c r="K108" s="3"/>
      <c r="L108" s="3"/>
    </row>
    <row r="109" spans="1:12">
      <c r="A109" s="3">
        <v>42445</v>
      </c>
      <c r="B109" s="3">
        <v>221.93</v>
      </c>
      <c r="C109" s="4" cm="1">
        <f t="array" aca="1" ref="C109" ca="1">INDIRECT(ADDRESS(ROW()-C$3,2))-INDIRECT(ADDRESS(ROW()-C$2,2))</f>
        <v>14.430000000000007</v>
      </c>
      <c r="D109" s="4" cm="1">
        <f t="array" aca="1" ref="D109" ca="1">INDIRECT(ADDRESS(ROW()-D$3,2))-INDIRECT(ADDRESS(ROW()-D$2,2))</f>
        <v>33.590000000000003</v>
      </c>
      <c r="E109" s="4">
        <f t="shared" ca="1" si="3"/>
        <v>211.76</v>
      </c>
      <c r="F109" s="3">
        <v>157.43000000000575</v>
      </c>
      <c r="G109" s="3">
        <v>11762.29</v>
      </c>
      <c r="H109" s="3">
        <f t="shared" si="2"/>
        <v>11919.720000000007</v>
      </c>
      <c r="I109" s="3">
        <v>53</v>
      </c>
      <c r="J109" s="3"/>
      <c r="K109" s="3"/>
      <c r="L109" s="3"/>
    </row>
    <row r="110" spans="1:12">
      <c r="A110" s="3">
        <v>42446</v>
      </c>
      <c r="B110" s="3">
        <v>226.38</v>
      </c>
      <c r="C110" s="4" cm="1">
        <f t="array" aca="1" ref="C110" ca="1">INDIRECT(ADDRESS(ROW()-C$3,2))-INDIRECT(ADDRESS(ROW()-C$2,2))</f>
        <v>11.22999999999999</v>
      </c>
      <c r="D110" s="4" cm="1">
        <f t="array" aca="1" ref="D110" ca="1">INDIRECT(ADDRESS(ROW()-D$3,2))-INDIRECT(ADDRESS(ROW()-D$2,2))</f>
        <v>30.639999999999986</v>
      </c>
      <c r="E110" s="4">
        <f t="shared" ca="1" si="3"/>
        <v>214.715</v>
      </c>
      <c r="F110" s="3">
        <v>157.43000000000575</v>
      </c>
      <c r="G110" s="3">
        <v>11998.14</v>
      </c>
      <c r="H110" s="3">
        <f t="shared" si="2"/>
        <v>12155.570000000005</v>
      </c>
      <c r="I110" s="3">
        <v>53</v>
      </c>
      <c r="J110" s="3"/>
      <c r="K110" s="3"/>
      <c r="L110" s="3"/>
    </row>
    <row r="111" spans="1:12">
      <c r="A111" s="3">
        <v>42447</v>
      </c>
      <c r="B111" s="3">
        <v>232.74</v>
      </c>
      <c r="C111" s="4" cm="1">
        <f t="array" aca="1" ref="C111" ca="1">INDIRECT(ADDRESS(ROW()-C$3,2))-INDIRECT(ADDRESS(ROW()-C$2,2))</f>
        <v>14.400000000000006</v>
      </c>
      <c r="D111" s="4" cm="1">
        <f t="array" aca="1" ref="D111" ca="1">INDIRECT(ADDRESS(ROW()-D$3,2))-INDIRECT(ADDRESS(ROW()-D$2,2))</f>
        <v>31.700000000000017</v>
      </c>
      <c r="E111" s="4">
        <f t="shared" ca="1" si="3"/>
        <v>220.76499999999999</v>
      </c>
      <c r="F111" s="3">
        <v>157.43000000000575</v>
      </c>
      <c r="G111" s="3">
        <v>12335.220000000001</v>
      </c>
      <c r="H111" s="3">
        <f t="shared" si="2"/>
        <v>12492.650000000007</v>
      </c>
      <c r="I111" s="3">
        <v>53</v>
      </c>
      <c r="J111" s="3"/>
      <c r="K111" s="3"/>
      <c r="L111" s="3"/>
    </row>
    <row r="112" spans="1:12">
      <c r="A112" s="3">
        <v>42450</v>
      </c>
      <c r="B112" s="3">
        <v>238.32</v>
      </c>
      <c r="C112" s="4" cm="1">
        <f t="array" aca="1" ref="C112" ca="1">INDIRECT(ADDRESS(ROW()-C$3,2))-INDIRECT(ADDRESS(ROW()-C$2,2))</f>
        <v>16.389999999999986</v>
      </c>
      <c r="D112" s="4" cm="1">
        <f t="array" aca="1" ref="D112" ca="1">INDIRECT(ADDRESS(ROW()-D$3,2))-INDIRECT(ADDRESS(ROW()-D$2,2))</f>
        <v>33.03</v>
      </c>
      <c r="E112" s="4">
        <f t="shared" ca="1" si="3"/>
        <v>225.54000000000002</v>
      </c>
      <c r="F112" s="3">
        <v>157.43000000000575</v>
      </c>
      <c r="G112" s="3">
        <v>12630.96</v>
      </c>
      <c r="H112" s="3">
        <f t="shared" si="2"/>
        <v>12788.390000000005</v>
      </c>
      <c r="I112" s="3">
        <v>53</v>
      </c>
      <c r="J112" s="3"/>
      <c r="K112" s="3"/>
      <c r="L112" s="3"/>
    </row>
    <row r="113" spans="1:12">
      <c r="A113" s="3">
        <v>42451</v>
      </c>
      <c r="B113" s="3">
        <v>234.24</v>
      </c>
      <c r="C113" s="4" cm="1">
        <f t="array" aca="1" ref="C113" ca="1">INDIRECT(ADDRESS(ROW()-C$3,2))-INDIRECT(ADDRESS(ROW()-C$2,2))</f>
        <v>7.8600000000000136</v>
      </c>
      <c r="D113" s="4" cm="1">
        <f t="array" aca="1" ref="D113" ca="1">INDIRECT(ADDRESS(ROW()-D$3,2))-INDIRECT(ADDRESS(ROW()-D$2,2))</f>
        <v>31.640000000000015</v>
      </c>
      <c r="E113" s="4">
        <f t="shared" ca="1" si="3"/>
        <v>230.125</v>
      </c>
      <c r="F113" s="3">
        <v>157.43000000000575</v>
      </c>
      <c r="G113" s="3">
        <v>12414.720000000001</v>
      </c>
      <c r="H113" s="3">
        <f t="shared" si="2"/>
        <v>12572.150000000007</v>
      </c>
      <c r="I113" s="3">
        <v>53</v>
      </c>
      <c r="J113" s="3"/>
      <c r="K113" s="3"/>
      <c r="L113" s="3"/>
    </row>
    <row r="114" spans="1:12">
      <c r="A114" s="3">
        <v>42452</v>
      </c>
      <c r="B114" s="3">
        <v>222.58</v>
      </c>
      <c r="C114" s="4" cm="1">
        <f t="array" aca="1" ref="C114" ca="1">INDIRECT(ADDRESS(ROW()-C$3,2))-INDIRECT(ADDRESS(ROW()-C$2,2))</f>
        <v>-10.159999999999997</v>
      </c>
      <c r="D114" s="4" cm="1">
        <f t="array" aca="1" ref="D114" ca="1">INDIRECT(ADDRESS(ROW()-D$3,2))-INDIRECT(ADDRESS(ROW()-D$2,2))</f>
        <v>13.860000000000014</v>
      </c>
      <c r="E114" s="4">
        <f t="shared" ca="1" si="3"/>
        <v>230.31</v>
      </c>
      <c r="F114" s="3">
        <v>11954.170000000006</v>
      </c>
      <c r="G114" s="3">
        <v>0</v>
      </c>
      <c r="H114" s="3">
        <f t="shared" si="2"/>
        <v>11954.170000000006</v>
      </c>
      <c r="I114" s="3">
        <v>0</v>
      </c>
      <c r="J114" s="3"/>
      <c r="K114" s="3"/>
      <c r="L114" s="3"/>
    </row>
    <row r="115" spans="1:12">
      <c r="A115" s="3">
        <v>42453</v>
      </c>
      <c r="B115" s="3">
        <v>227.75</v>
      </c>
      <c r="C115" s="4" cm="1">
        <f t="array" aca="1" ref="C115" ca="1">INDIRECT(ADDRESS(ROW()-C$3,2))-INDIRECT(ADDRESS(ROW()-C$2,2))</f>
        <v>-10.569999999999993</v>
      </c>
      <c r="D115" s="4" cm="1">
        <f t="array" aca="1" ref="D115" ca="1">INDIRECT(ADDRESS(ROW()-D$3,2))-INDIRECT(ADDRESS(ROW()-D$2,2))</f>
        <v>22.569999999999993</v>
      </c>
      <c r="E115" s="4">
        <f t="shared" ca="1" si="3"/>
        <v>227.66000000000003</v>
      </c>
      <c r="F115" s="3">
        <v>11954.170000000006</v>
      </c>
      <c r="G115" s="3">
        <v>0</v>
      </c>
      <c r="H115" s="3">
        <f t="shared" si="2"/>
        <v>11954.170000000006</v>
      </c>
      <c r="I115" s="3">
        <v>0</v>
      </c>
      <c r="J115" s="3"/>
      <c r="K115" s="3"/>
      <c r="L115" s="3"/>
    </row>
    <row r="116" spans="1:12">
      <c r="A116" s="3">
        <v>42457</v>
      </c>
      <c r="B116" s="3">
        <v>230.26</v>
      </c>
      <c r="C116" s="4" cm="1">
        <f t="array" aca="1" ref="C116" ca="1">INDIRECT(ADDRESS(ROW()-C$3,2))-INDIRECT(ADDRESS(ROW()-C$2,2))</f>
        <v>-3.9800000000000182</v>
      </c>
      <c r="D116" s="4" cm="1">
        <f t="array" aca="1" ref="D116" ca="1">INDIRECT(ADDRESS(ROW()-D$3,2))-INDIRECT(ADDRESS(ROW()-D$2,2))</f>
        <v>22.759999999999991</v>
      </c>
      <c r="E116" s="4">
        <f t="shared" ca="1" si="3"/>
        <v>233.035</v>
      </c>
      <c r="F116" s="3">
        <v>11954.170000000006</v>
      </c>
      <c r="G116" s="3">
        <v>0</v>
      </c>
      <c r="H116" s="3">
        <f t="shared" si="2"/>
        <v>11954.170000000006</v>
      </c>
      <c r="I116" s="3">
        <v>0</v>
      </c>
      <c r="J116" s="3"/>
      <c r="K116" s="3"/>
      <c r="L116" s="3"/>
    </row>
    <row r="117" spans="1:12">
      <c r="A117" s="3">
        <v>42458</v>
      </c>
      <c r="B117" s="3">
        <v>230.13</v>
      </c>
      <c r="C117" s="4" cm="1">
        <f t="array" aca="1" ref="C117" ca="1">INDIRECT(ADDRESS(ROW()-C$3,2))-INDIRECT(ADDRESS(ROW()-C$2,2))</f>
        <v>7.5499999999999829</v>
      </c>
      <c r="D117" s="4" cm="1">
        <f t="array" aca="1" ref="D117" ca="1">INDIRECT(ADDRESS(ROW()-D$3,2))-INDIRECT(ADDRESS(ROW()-D$2,2))</f>
        <v>14.97999999999999</v>
      </c>
      <c r="E117" s="4">
        <f t="shared" ca="1" si="3"/>
        <v>232.25</v>
      </c>
      <c r="F117" s="3">
        <v>217.54000000001497</v>
      </c>
      <c r="G117" s="3">
        <v>11736.63</v>
      </c>
      <c r="H117" s="3">
        <f t="shared" si="2"/>
        <v>11954.170000000015</v>
      </c>
      <c r="I117" s="3">
        <v>51</v>
      </c>
      <c r="J117" s="3"/>
      <c r="K117" s="3"/>
      <c r="L117" s="3"/>
    </row>
    <row r="118" spans="1:12">
      <c r="A118" s="3">
        <v>42459</v>
      </c>
      <c r="B118" s="3">
        <v>226.89</v>
      </c>
      <c r="C118" s="4" cm="1">
        <f t="array" aca="1" ref="C118" ca="1">INDIRECT(ADDRESS(ROW()-C$3,2))-INDIRECT(ADDRESS(ROW()-C$2,2))</f>
        <v>-0.86000000000001364</v>
      </c>
      <c r="D118" s="4" cm="1">
        <f t="array" aca="1" ref="D118" ca="1">INDIRECT(ADDRESS(ROW()-D$3,2))-INDIRECT(ADDRESS(ROW()-D$2,2))</f>
        <v>8.5499999999999829</v>
      </c>
      <c r="E118" s="4">
        <f t="shared" ca="1" si="3"/>
        <v>226.35500000000002</v>
      </c>
      <c r="F118" s="3">
        <v>11788.930000000015</v>
      </c>
      <c r="G118" s="3">
        <v>0</v>
      </c>
      <c r="H118" s="3">
        <f t="shared" si="2"/>
        <v>11788.930000000015</v>
      </c>
      <c r="I118" s="3">
        <v>0</v>
      </c>
      <c r="J118" s="3"/>
      <c r="K118" s="3"/>
      <c r="L118" s="3"/>
    </row>
    <row r="119" spans="1:12">
      <c r="A119" s="3">
        <v>42460</v>
      </c>
      <c r="B119" s="3">
        <v>229.77</v>
      </c>
      <c r="C119" s="4" cm="1">
        <f t="array" aca="1" ref="C119" ca="1">INDIRECT(ADDRESS(ROW()-C$3,2))-INDIRECT(ADDRESS(ROW()-C$2,2))</f>
        <v>-0.48999999999998067</v>
      </c>
      <c r="D119" s="4" cm="1">
        <f t="array" aca="1" ref="D119" ca="1">INDIRECT(ADDRESS(ROW()-D$3,2))-INDIRECT(ADDRESS(ROW()-D$2,2))</f>
        <v>7.8400000000000034</v>
      </c>
      <c r="E119" s="4">
        <f t="shared" ca="1" si="3"/>
        <v>227.32</v>
      </c>
      <c r="F119" s="3">
        <v>11788.930000000015</v>
      </c>
      <c r="G119" s="3">
        <v>0</v>
      </c>
      <c r="H119" s="3">
        <f t="shared" si="2"/>
        <v>11788.930000000015</v>
      </c>
      <c r="I119" s="3">
        <v>0</v>
      </c>
      <c r="J119" s="3"/>
      <c r="K119" s="3"/>
      <c r="L119" s="3"/>
    </row>
    <row r="120" spans="1:12">
      <c r="A120" s="3">
        <v>42461</v>
      </c>
      <c r="B120" s="3">
        <v>237.59</v>
      </c>
      <c r="C120" s="4" cm="1">
        <f t="array" aca="1" ref="C120" ca="1">INDIRECT(ADDRESS(ROW()-C$3,2))-INDIRECT(ADDRESS(ROW()-C$2,2))</f>
        <v>7.460000000000008</v>
      </c>
      <c r="D120" s="4" cm="1">
        <f t="array" aca="1" ref="D120" ca="1">INDIRECT(ADDRESS(ROW()-D$3,2))-INDIRECT(ADDRESS(ROW()-D$2,2))</f>
        <v>11.210000000000008</v>
      </c>
      <c r="E120" s="4">
        <f t="shared" ca="1" si="3"/>
        <v>230.01499999999999</v>
      </c>
      <c r="F120" s="3">
        <v>147.02000000000933</v>
      </c>
      <c r="G120" s="3">
        <v>11641.91</v>
      </c>
      <c r="H120" s="3">
        <f t="shared" si="2"/>
        <v>11788.930000000009</v>
      </c>
      <c r="I120" s="3">
        <v>49</v>
      </c>
      <c r="J120" s="3"/>
      <c r="K120" s="3"/>
      <c r="L120" s="3"/>
    </row>
    <row r="121" spans="1:12">
      <c r="A121" s="3">
        <v>42464</v>
      </c>
      <c r="B121" s="3">
        <v>246.99</v>
      </c>
      <c r="C121" s="4" cm="1">
        <f t="array" aca="1" ref="C121" ca="1">INDIRECT(ADDRESS(ROW()-C$3,2))-INDIRECT(ADDRESS(ROW()-C$2,2))</f>
        <v>20.100000000000023</v>
      </c>
      <c r="D121" s="4" cm="1">
        <f t="array" aca="1" ref="D121" ca="1">INDIRECT(ADDRESS(ROW()-D$3,2))-INDIRECT(ADDRESS(ROW()-D$2,2))</f>
        <v>14.25</v>
      </c>
      <c r="E121" s="4">
        <f t="shared" ca="1" si="3"/>
        <v>233.86</v>
      </c>
      <c r="F121" s="3">
        <v>147.02000000000933</v>
      </c>
      <c r="G121" s="3">
        <v>12102.51</v>
      </c>
      <c r="H121" s="3">
        <f t="shared" si="2"/>
        <v>12249.53000000001</v>
      </c>
      <c r="I121" s="3">
        <v>49</v>
      </c>
      <c r="J121" s="3"/>
      <c r="K121" s="3"/>
      <c r="L121" s="3"/>
    </row>
    <row r="122" spans="1:12">
      <c r="A122" s="3">
        <v>42465</v>
      </c>
      <c r="B122" s="3">
        <v>255.47</v>
      </c>
      <c r="C122" s="4" cm="1">
        <f t="array" aca="1" ref="C122" ca="1">INDIRECT(ADDRESS(ROW()-C$3,2))-INDIRECT(ADDRESS(ROW()-C$2,2))</f>
        <v>25.699999999999989</v>
      </c>
      <c r="D122" s="4" cm="1">
        <f t="array" aca="1" ref="D122" ca="1">INDIRECT(ADDRESS(ROW()-D$3,2))-INDIRECT(ADDRESS(ROW()-D$2,2))</f>
        <v>17.150000000000006</v>
      </c>
      <c r="E122" s="4">
        <f t="shared" ca="1" si="3"/>
        <v>236.94</v>
      </c>
      <c r="F122" s="3">
        <v>147.02000000000933</v>
      </c>
      <c r="G122" s="3">
        <v>12518.03</v>
      </c>
      <c r="H122" s="3">
        <f t="shared" si="2"/>
        <v>12665.05000000001</v>
      </c>
      <c r="I122" s="3">
        <v>49</v>
      </c>
      <c r="J122" s="3"/>
      <c r="K122" s="3"/>
      <c r="L122" s="3"/>
    </row>
    <row r="123" spans="1:12">
      <c r="A123" s="3">
        <v>42466</v>
      </c>
      <c r="B123" s="3">
        <v>265.42</v>
      </c>
      <c r="C123" s="4" cm="1">
        <f t="array" aca="1" ref="C123" ca="1">INDIRECT(ADDRESS(ROW()-C$3,2))-INDIRECT(ADDRESS(ROW()-C$2,2))</f>
        <v>27.830000000000013</v>
      </c>
      <c r="D123" s="4" cm="1">
        <f t="array" aca="1" ref="D123" ca="1">INDIRECT(ADDRESS(ROW()-D$3,2))-INDIRECT(ADDRESS(ROW()-D$2,2))</f>
        <v>31.180000000000007</v>
      </c>
      <c r="E123" s="4">
        <f t="shared" ca="1" si="3"/>
        <v>242.62</v>
      </c>
      <c r="F123" s="3">
        <v>147.02000000000933</v>
      </c>
      <c r="G123" s="3">
        <v>13005.58</v>
      </c>
      <c r="H123" s="3">
        <f t="shared" si="2"/>
        <v>13152.600000000009</v>
      </c>
      <c r="I123" s="3">
        <v>49</v>
      </c>
      <c r="J123" s="3"/>
      <c r="K123" s="3"/>
      <c r="L123" s="3"/>
    </row>
    <row r="124" spans="1:12">
      <c r="A124" s="3">
        <v>42467</v>
      </c>
      <c r="B124" s="3">
        <v>257.2</v>
      </c>
      <c r="C124" s="4" cm="1">
        <f t="array" aca="1" ref="C124" ca="1">INDIRECT(ADDRESS(ROW()-C$3,2))-INDIRECT(ADDRESS(ROW()-C$2,2))</f>
        <v>10.20999999999998</v>
      </c>
      <c r="D124" s="4" cm="1">
        <f t="array" aca="1" ref="D124" ca="1">INDIRECT(ADDRESS(ROW()-D$3,2))-INDIRECT(ADDRESS(ROW()-D$2,2))</f>
        <v>34.619999999999976</v>
      </c>
      <c r="E124" s="4">
        <f t="shared" ca="1" si="3"/>
        <v>251.505</v>
      </c>
      <c r="F124" s="3">
        <v>147.02000000000933</v>
      </c>
      <c r="G124" s="3">
        <v>12602.8</v>
      </c>
      <c r="H124" s="3">
        <f t="shared" si="2"/>
        <v>12749.820000000009</v>
      </c>
      <c r="I124" s="3">
        <v>49</v>
      </c>
      <c r="J124" s="3"/>
      <c r="K124" s="3"/>
      <c r="L124" s="3"/>
    </row>
    <row r="125" spans="1:12">
      <c r="A125" s="3">
        <v>42468</v>
      </c>
      <c r="B125" s="3">
        <v>250.07</v>
      </c>
      <c r="C125" s="4" cm="1">
        <f t="array" aca="1" ref="C125" ca="1">INDIRECT(ADDRESS(ROW()-C$3,2))-INDIRECT(ADDRESS(ROW()-C$2,2))</f>
        <v>-5.4000000000000057</v>
      </c>
      <c r="D125" s="4" cm="1">
        <f t="array" aca="1" ref="D125" ca="1">INDIRECT(ADDRESS(ROW()-D$3,2))-INDIRECT(ADDRESS(ROW()-D$2,2))</f>
        <v>22.319999999999993</v>
      </c>
      <c r="E125" s="4">
        <f t="shared" ca="1" si="3"/>
        <v>252.095</v>
      </c>
      <c r="F125" s="3">
        <v>12400.45000000001</v>
      </c>
      <c r="G125" s="3">
        <v>0</v>
      </c>
      <c r="H125" s="3">
        <f t="shared" si="2"/>
        <v>12400.45000000001</v>
      </c>
      <c r="I125" s="3">
        <v>0</v>
      </c>
      <c r="J125" s="3"/>
      <c r="K125" s="3"/>
      <c r="L125" s="3"/>
    </row>
    <row r="126" spans="1:12">
      <c r="A126" s="3">
        <v>42471</v>
      </c>
      <c r="B126" s="3">
        <v>249.92</v>
      </c>
      <c r="C126" s="4" cm="1">
        <f t="array" aca="1" ref="C126" ca="1">INDIRECT(ADDRESS(ROW()-C$3,2))-INDIRECT(ADDRESS(ROW()-C$2,2))</f>
        <v>-15.500000000000028</v>
      </c>
      <c r="D126" s="4" cm="1">
        <f t="array" aca="1" ref="D126" ca="1">INDIRECT(ADDRESS(ROW()-D$3,2))-INDIRECT(ADDRESS(ROW()-D$2,2))</f>
        <v>19.659999999999997</v>
      </c>
      <c r="E126" s="4">
        <f t="shared" ca="1" si="3"/>
        <v>252.76999999999998</v>
      </c>
      <c r="F126" s="3">
        <v>12400.45000000001</v>
      </c>
      <c r="G126" s="3">
        <v>0</v>
      </c>
      <c r="H126" s="3">
        <f t="shared" si="2"/>
        <v>12400.45000000001</v>
      </c>
      <c r="I126" s="3">
        <v>0</v>
      </c>
      <c r="J126" s="3"/>
      <c r="K126" s="3"/>
      <c r="L126" s="3"/>
    </row>
    <row r="127" spans="1:12">
      <c r="A127" s="3">
        <v>42472</v>
      </c>
      <c r="B127" s="3">
        <v>247.82</v>
      </c>
      <c r="C127" s="4" cm="1">
        <f t="array" aca="1" ref="C127" ca="1">INDIRECT(ADDRESS(ROW()-C$3,2))-INDIRECT(ADDRESS(ROW()-C$2,2))</f>
        <v>-9.3799999999999955</v>
      </c>
      <c r="D127" s="4" cm="1">
        <f t="array" aca="1" ref="D127" ca="1">INDIRECT(ADDRESS(ROW()-D$3,2))-INDIRECT(ADDRESS(ROW()-D$2,2))</f>
        <v>17.689999999999998</v>
      </c>
      <c r="E127" s="4">
        <f t="shared" ca="1" si="3"/>
        <v>257.67</v>
      </c>
      <c r="F127" s="3">
        <v>12400.45000000001</v>
      </c>
      <c r="G127" s="3">
        <v>0</v>
      </c>
      <c r="H127" s="3">
        <f t="shared" si="2"/>
        <v>12400.45000000001</v>
      </c>
      <c r="I127" s="3">
        <v>0</v>
      </c>
      <c r="J127" s="3"/>
      <c r="K127" s="3"/>
      <c r="L127" s="3"/>
    </row>
    <row r="128" spans="1:12">
      <c r="A128" s="3">
        <v>42473</v>
      </c>
      <c r="B128" s="3">
        <v>254.53</v>
      </c>
      <c r="C128" s="4" cm="1">
        <f t="array" aca="1" ref="C128" ca="1">INDIRECT(ADDRESS(ROW()-C$3,2))-INDIRECT(ADDRESS(ROW()-C$2,2))</f>
        <v>4.460000000000008</v>
      </c>
      <c r="D128" s="4" cm="1">
        <f t="array" aca="1" ref="D128" ca="1">INDIRECT(ADDRESS(ROW()-D$3,2))-INDIRECT(ADDRESS(ROW()-D$2,2))</f>
        <v>27.640000000000015</v>
      </c>
      <c r="E128" s="4">
        <f t="shared" ca="1" si="3"/>
        <v>252.51</v>
      </c>
      <c r="F128" s="3">
        <v>183.01000000000201</v>
      </c>
      <c r="G128" s="3">
        <v>12217.44</v>
      </c>
      <c r="H128" s="3">
        <f t="shared" si="2"/>
        <v>12400.450000000003</v>
      </c>
      <c r="I128" s="3">
        <v>48</v>
      </c>
      <c r="J128" s="3"/>
      <c r="K128" s="3"/>
      <c r="L128" s="3"/>
    </row>
    <row r="129" spans="1:12">
      <c r="A129" s="3">
        <v>42474</v>
      </c>
      <c r="B129" s="3">
        <v>251.86</v>
      </c>
      <c r="C129" s="4" cm="1">
        <f t="array" aca="1" ref="C129" ca="1">INDIRECT(ADDRESS(ROW()-C$3,2))-INDIRECT(ADDRESS(ROW()-C$2,2))</f>
        <v>1.9400000000000261</v>
      </c>
      <c r="D129" s="4" cm="1">
        <f t="array" aca="1" ref="D129" ca="1">INDIRECT(ADDRESS(ROW()-D$3,2))-INDIRECT(ADDRESS(ROW()-D$2,2))</f>
        <v>22.090000000000003</v>
      </c>
      <c r="E129" s="4">
        <f t="shared" ca="1" si="3"/>
        <v>252.3</v>
      </c>
      <c r="F129" s="3">
        <v>183.01000000000201</v>
      </c>
      <c r="G129" s="3">
        <v>12089.28</v>
      </c>
      <c r="H129" s="3">
        <f t="shared" si="2"/>
        <v>12272.290000000003</v>
      </c>
      <c r="I129" s="3">
        <v>48</v>
      </c>
      <c r="J129" s="3"/>
      <c r="K129" s="3"/>
      <c r="L129" s="3"/>
    </row>
    <row r="130" spans="1:12">
      <c r="A130" s="3">
        <v>42475</v>
      </c>
      <c r="B130" s="3">
        <v>254.51</v>
      </c>
      <c r="C130" s="4" cm="1">
        <f t="array" aca="1" ref="C130" ca="1">INDIRECT(ADDRESS(ROW()-C$3,2))-INDIRECT(ADDRESS(ROW()-C$2,2))</f>
        <v>6.6899999999999977</v>
      </c>
      <c r="D130" s="4" cm="1">
        <f t="array" aca="1" ref="D130" ca="1">INDIRECT(ADDRESS(ROW()-D$3,2))-INDIRECT(ADDRESS(ROW()-D$2,2))</f>
        <v>16.919999999999987</v>
      </c>
      <c r="E130" s="4">
        <f t="shared" ca="1" si="3"/>
        <v>250.89</v>
      </c>
      <c r="F130" s="3">
        <v>183.01000000000201</v>
      </c>
      <c r="G130" s="3">
        <v>12216.48</v>
      </c>
      <c r="H130" s="3">
        <f t="shared" si="2"/>
        <v>12399.490000000002</v>
      </c>
      <c r="I130" s="3">
        <v>48</v>
      </c>
      <c r="J130" s="3"/>
      <c r="K130" s="3"/>
      <c r="L130" s="3"/>
    </row>
    <row r="131" spans="1:12">
      <c r="A131" s="3">
        <v>42478</v>
      </c>
      <c r="B131" s="3">
        <v>253.88</v>
      </c>
      <c r="C131" s="4" cm="1">
        <f t="array" aca="1" ref="C131" ca="1">INDIRECT(ADDRESS(ROW()-C$3,2))-INDIRECT(ADDRESS(ROW()-C$2,2))</f>
        <v>-0.65000000000000568</v>
      </c>
      <c r="D131" s="4" cm="1">
        <f t="array" aca="1" ref="D131" ca="1">INDIRECT(ADDRESS(ROW()-D$3,2))-INDIRECT(ADDRESS(ROW()-D$2,2))</f>
        <v>6.8899999999999864</v>
      </c>
      <c r="E131" s="4">
        <f t="shared" ca="1" si="3"/>
        <v>251.16499999999999</v>
      </c>
      <c r="F131" s="3">
        <v>12369.250000000002</v>
      </c>
      <c r="G131" s="3">
        <v>0</v>
      </c>
      <c r="H131" s="3">
        <f t="shared" si="2"/>
        <v>12369.250000000002</v>
      </c>
      <c r="I131" s="3">
        <v>0</v>
      </c>
      <c r="J131" s="3"/>
      <c r="K131" s="3"/>
      <c r="L131" s="3"/>
    </row>
    <row r="132" spans="1:12">
      <c r="A132" s="3">
        <v>42479</v>
      </c>
      <c r="B132" s="3">
        <v>247.37</v>
      </c>
      <c r="C132" s="4" cm="1">
        <f t="array" aca="1" ref="C132" ca="1">INDIRECT(ADDRESS(ROW()-C$3,2))-INDIRECT(ADDRESS(ROW()-C$2,2))</f>
        <v>-4.4900000000000091</v>
      </c>
      <c r="D132" s="4" cm="1">
        <f t="array" aca="1" ref="D132" ca="1">INDIRECT(ADDRESS(ROW()-D$3,2))-INDIRECT(ADDRESS(ROW()-D$2,2))</f>
        <v>-8.0999999999999943</v>
      </c>
      <c r="E132" s="4">
        <f t="shared" ca="1" si="3"/>
        <v>254.20499999999998</v>
      </c>
      <c r="F132" s="3">
        <v>12369.250000000002</v>
      </c>
      <c r="G132" s="3">
        <v>0</v>
      </c>
      <c r="H132" s="3">
        <f t="shared" si="2"/>
        <v>12369.250000000002</v>
      </c>
      <c r="I132" s="3">
        <v>0</v>
      </c>
      <c r="J132" s="3"/>
      <c r="K132" s="3"/>
      <c r="L132" s="3"/>
    </row>
    <row r="133" spans="1:12">
      <c r="A133" s="3">
        <v>42480</v>
      </c>
      <c r="B133" s="3">
        <v>249.97</v>
      </c>
      <c r="C133" s="4" cm="1">
        <f t="array" aca="1" ref="C133" ca="1">INDIRECT(ADDRESS(ROW()-C$3,2))-INDIRECT(ADDRESS(ROW()-C$2,2))</f>
        <v>-4.539999999999992</v>
      </c>
      <c r="D133" s="4" cm="1">
        <f t="array" aca="1" ref="D133" ca="1">INDIRECT(ADDRESS(ROW()-D$3,2))-INDIRECT(ADDRESS(ROW()-D$2,2))</f>
        <v>-15.450000000000017</v>
      </c>
      <c r="E133" s="4">
        <f t="shared" ca="1" si="3"/>
        <v>249.61500000000001</v>
      </c>
      <c r="F133" s="3">
        <v>12369.250000000002</v>
      </c>
      <c r="G133" s="3">
        <v>0</v>
      </c>
      <c r="H133" s="3">
        <f t="shared" si="2"/>
        <v>12369.250000000002</v>
      </c>
      <c r="I133" s="3">
        <v>0</v>
      </c>
      <c r="J133" s="3"/>
      <c r="K133" s="3"/>
      <c r="L133" s="3"/>
    </row>
    <row r="134" spans="1:12">
      <c r="A134" s="3">
        <v>42481</v>
      </c>
      <c r="B134" s="3">
        <v>248.29</v>
      </c>
      <c r="C134" s="4" cm="1">
        <f t="array" aca="1" ref="C134" ca="1">INDIRECT(ADDRESS(ROW()-C$3,2))-INDIRECT(ADDRESS(ROW()-C$2,2))</f>
        <v>-5.5900000000000034</v>
      </c>
      <c r="D134" s="4" cm="1">
        <f t="array" aca="1" ref="D134" ca="1">INDIRECT(ADDRESS(ROW()-D$3,2))-INDIRECT(ADDRESS(ROW()-D$2,2))</f>
        <v>-8.9099999999999966</v>
      </c>
      <c r="E134" s="4">
        <f t="shared" ca="1" si="3"/>
        <v>252.24</v>
      </c>
      <c r="F134" s="3">
        <v>12369.250000000002</v>
      </c>
      <c r="G134" s="3">
        <v>0</v>
      </c>
      <c r="H134" s="3">
        <f t="shared" si="2"/>
        <v>12369.250000000002</v>
      </c>
      <c r="I134" s="3">
        <v>0</v>
      </c>
      <c r="J134" s="3"/>
      <c r="K134" s="3"/>
      <c r="L134" s="3"/>
    </row>
    <row r="135" spans="1:12">
      <c r="A135" s="3">
        <v>42482</v>
      </c>
      <c r="B135" s="3">
        <v>253.75</v>
      </c>
      <c r="C135" s="4" cm="1">
        <f t="array" aca="1" ref="C135" ca="1">INDIRECT(ADDRESS(ROW()-C$3,2))-INDIRECT(ADDRESS(ROW()-C$2,2))</f>
        <v>6.3799999999999955</v>
      </c>
      <c r="D135" s="4" cm="1">
        <f t="array" aca="1" ref="D135" ca="1">INDIRECT(ADDRESS(ROW()-D$3,2))-INDIRECT(ADDRESS(ROW()-D$2,2))</f>
        <v>3.6800000000000068</v>
      </c>
      <c r="E135" s="4">
        <f t="shared" ca="1" si="3"/>
        <v>251.08499999999998</v>
      </c>
      <c r="F135" s="3">
        <v>189.25000000000182</v>
      </c>
      <c r="G135" s="3">
        <v>12180</v>
      </c>
      <c r="H135" s="3">
        <f t="shared" si="2"/>
        <v>12369.250000000002</v>
      </c>
      <c r="I135" s="3">
        <v>48</v>
      </c>
      <c r="J135" s="3"/>
      <c r="K135" s="3"/>
      <c r="L135" s="3"/>
    </row>
    <row r="136" spans="1:12">
      <c r="A136" s="3">
        <v>42485</v>
      </c>
      <c r="B136" s="3">
        <v>251.82</v>
      </c>
      <c r="C136" s="4" cm="1">
        <f t="array" aca="1" ref="C136" ca="1">INDIRECT(ADDRESS(ROW()-C$3,2))-INDIRECT(ADDRESS(ROW()-C$2,2))</f>
        <v>1.8499999999999943</v>
      </c>
      <c r="D136" s="4" cm="1">
        <f t="array" aca="1" ref="D136" ca="1">INDIRECT(ADDRESS(ROW()-D$3,2))-INDIRECT(ADDRESS(ROW()-D$2,2))</f>
        <v>1.9000000000000057</v>
      </c>
      <c r="E136" s="4">
        <f t="shared" ca="1" si="3"/>
        <v>250.56</v>
      </c>
      <c r="F136" s="3">
        <v>189.25000000000182</v>
      </c>
      <c r="G136" s="3">
        <v>12087.36</v>
      </c>
      <c r="H136" s="3">
        <f t="shared" si="2"/>
        <v>12276.610000000002</v>
      </c>
      <c r="I136" s="3">
        <v>48</v>
      </c>
      <c r="J136" s="3"/>
      <c r="K136" s="3"/>
      <c r="L136" s="3"/>
    </row>
    <row r="137" spans="1:12">
      <c r="A137" s="3">
        <v>42486</v>
      </c>
      <c r="B137" s="3">
        <v>253.74</v>
      </c>
      <c r="C137" s="4" cm="1">
        <f t="array" aca="1" ref="C137" ca="1">INDIRECT(ADDRESS(ROW()-C$3,2))-INDIRECT(ADDRESS(ROW()-C$2,2))</f>
        <v>5.4500000000000171</v>
      </c>
      <c r="D137" s="4" cm="1">
        <f t="array" aca="1" ref="D137" ca="1">INDIRECT(ADDRESS(ROW()-D$3,2))-INDIRECT(ADDRESS(ROW()-D$2,2))</f>
        <v>5.9200000000000159</v>
      </c>
      <c r="E137" s="4">
        <f t="shared" ca="1" si="3"/>
        <v>250.89499999999998</v>
      </c>
      <c r="F137" s="3">
        <v>189.25000000000182</v>
      </c>
      <c r="G137" s="3">
        <v>12179.52</v>
      </c>
      <c r="H137" s="3">
        <f t="shared" si="2"/>
        <v>12368.770000000002</v>
      </c>
      <c r="I137" s="3">
        <v>48</v>
      </c>
      <c r="J137" s="3"/>
      <c r="K137" s="3"/>
      <c r="L137" s="3"/>
    </row>
    <row r="138" spans="1:12">
      <c r="A138" s="3">
        <v>42487</v>
      </c>
      <c r="B138" s="3">
        <v>251.47</v>
      </c>
      <c r="C138" s="4" cm="1">
        <f t="array" aca="1" ref="C138" ca="1">INDIRECT(ADDRESS(ROW()-C$3,2))-INDIRECT(ADDRESS(ROW()-C$2,2))</f>
        <v>-2.2800000000000011</v>
      </c>
      <c r="D138" s="4" cm="1">
        <f t="array" aca="1" ref="D138" ca="1">INDIRECT(ADDRESS(ROW()-D$3,2))-INDIRECT(ADDRESS(ROW()-D$2,2))</f>
        <v>-3.0600000000000023</v>
      </c>
      <c r="E138" s="4">
        <f t="shared" ca="1" si="3"/>
        <v>251.01499999999999</v>
      </c>
      <c r="F138" s="3">
        <v>12259.810000000001</v>
      </c>
      <c r="G138" s="3">
        <v>0</v>
      </c>
      <c r="H138" s="3">
        <f t="shared" si="2"/>
        <v>12259.810000000001</v>
      </c>
      <c r="I138" s="3">
        <v>0</v>
      </c>
      <c r="J138" s="3"/>
      <c r="K138" s="3"/>
      <c r="L138" s="3"/>
    </row>
    <row r="139" spans="1:12">
      <c r="A139" s="3">
        <v>42488</v>
      </c>
      <c r="B139" s="3">
        <v>247.71</v>
      </c>
      <c r="C139" s="4" cm="1">
        <f t="array" aca="1" ref="C139" ca="1">INDIRECT(ADDRESS(ROW()-C$3,2))-INDIRECT(ADDRESS(ROW()-C$2,2))</f>
        <v>-4.1099999999999852</v>
      </c>
      <c r="D139" s="4" cm="1">
        <f t="array" aca="1" ref="D139" ca="1">INDIRECT(ADDRESS(ROW()-D$3,2))-INDIRECT(ADDRESS(ROW()-D$2,2))</f>
        <v>-4.1500000000000057</v>
      </c>
      <c r="E139" s="4">
        <f t="shared" ca="1" si="3"/>
        <v>252.61</v>
      </c>
      <c r="F139" s="3">
        <v>12259.810000000001</v>
      </c>
      <c r="G139" s="3">
        <v>0</v>
      </c>
      <c r="H139" s="3">
        <f t="shared" si="2"/>
        <v>12259.810000000001</v>
      </c>
      <c r="I139" s="3">
        <v>0</v>
      </c>
      <c r="J139" s="3"/>
      <c r="K139" s="3"/>
      <c r="L139" s="3"/>
    </row>
    <row r="140" spans="1:12">
      <c r="A140" s="3">
        <v>42489</v>
      </c>
      <c r="B140" s="3">
        <v>240.76</v>
      </c>
      <c r="C140" s="4" cm="1">
        <f t="array" aca="1" ref="C140" ca="1">INDIRECT(ADDRESS(ROW()-C$3,2))-INDIRECT(ADDRESS(ROW()-C$2,2))</f>
        <v>-12.980000000000018</v>
      </c>
      <c r="D140" s="4" cm="1">
        <f t="array" aca="1" ref="D140" ca="1">INDIRECT(ADDRESS(ROW()-D$3,2))-INDIRECT(ADDRESS(ROW()-D$2,2))</f>
        <v>-13.75</v>
      </c>
      <c r="E140" s="4">
        <f t="shared" ca="1" si="3"/>
        <v>249.76499999999999</v>
      </c>
      <c r="F140" s="3">
        <v>12259.810000000001</v>
      </c>
      <c r="G140" s="3">
        <v>0</v>
      </c>
      <c r="H140" s="3">
        <f t="shared" si="2"/>
        <v>12259.810000000001</v>
      </c>
      <c r="I140" s="3">
        <v>0</v>
      </c>
      <c r="J140" s="3"/>
      <c r="K140" s="3"/>
      <c r="L140" s="3"/>
    </row>
    <row r="141" spans="1:12">
      <c r="A141" s="3">
        <v>42492</v>
      </c>
      <c r="B141" s="3">
        <v>241.8</v>
      </c>
      <c r="C141" s="4" cm="1">
        <f t="array" aca="1" ref="C141" ca="1">INDIRECT(ADDRESS(ROW()-C$3,2))-INDIRECT(ADDRESS(ROW()-C$2,2))</f>
        <v>-9.6699999999999875</v>
      </c>
      <c r="D141" s="4" cm="1">
        <f t="array" aca="1" ref="D141" ca="1">INDIRECT(ADDRESS(ROW()-D$3,2))-INDIRECT(ADDRESS(ROW()-D$2,2))</f>
        <v>-12.079999999999984</v>
      </c>
      <c r="E141" s="4">
        <f t="shared" ca="1" si="3"/>
        <v>247.25</v>
      </c>
      <c r="F141" s="3">
        <v>12259.810000000001</v>
      </c>
      <c r="G141" s="3">
        <v>0</v>
      </c>
      <c r="H141" s="3">
        <f t="shared" si="2"/>
        <v>12259.810000000001</v>
      </c>
      <c r="I141" s="3">
        <v>0</v>
      </c>
      <c r="J141" s="3"/>
      <c r="K141" s="3"/>
      <c r="L141" s="3"/>
    </row>
    <row r="142" spans="1:12">
      <c r="A142" s="3">
        <v>42493</v>
      </c>
      <c r="B142" s="3">
        <v>232.32</v>
      </c>
      <c r="C142" s="4" cm="1">
        <f t="array" aca="1" ref="C142" ca="1">INDIRECT(ADDRESS(ROW()-C$3,2))-INDIRECT(ADDRESS(ROW()-C$2,2))</f>
        <v>-15.390000000000015</v>
      </c>
      <c r="D142" s="4" cm="1">
        <f t="array" aca="1" ref="D142" ca="1">INDIRECT(ADDRESS(ROW()-D$3,2))-INDIRECT(ADDRESS(ROW()-D$2,2))</f>
        <v>-15.050000000000011</v>
      </c>
      <c r="E142" s="4">
        <f t="shared" ca="1" si="3"/>
        <v>246.63499999999999</v>
      </c>
      <c r="F142" s="3">
        <v>12259.810000000001</v>
      </c>
      <c r="G142" s="3">
        <v>0</v>
      </c>
      <c r="H142" s="3">
        <f t="shared" si="2"/>
        <v>12259.810000000001</v>
      </c>
      <c r="I142" s="3">
        <v>0</v>
      </c>
      <c r="J142" s="3"/>
      <c r="K142" s="3"/>
      <c r="L142" s="3"/>
    </row>
    <row r="143" spans="1:12">
      <c r="A143" s="3">
        <v>42494</v>
      </c>
      <c r="B143" s="3">
        <v>222.56</v>
      </c>
      <c r="C143" s="4" cm="1">
        <f t="array" aca="1" ref="C143" ca="1">INDIRECT(ADDRESS(ROW()-C$3,2))-INDIRECT(ADDRESS(ROW()-C$2,2))</f>
        <v>-18.199999999999989</v>
      </c>
      <c r="D143" s="4" cm="1">
        <f t="array" aca="1" ref="D143" ca="1">INDIRECT(ADDRESS(ROW()-D$3,2))-INDIRECT(ADDRESS(ROW()-D$2,2))</f>
        <v>-27.409999999999997</v>
      </c>
      <c r="E143" s="4">
        <f t="shared" ca="1" si="3"/>
        <v>240.01499999999999</v>
      </c>
      <c r="F143" s="3">
        <v>12259.810000000001</v>
      </c>
      <c r="G143" s="3">
        <v>0</v>
      </c>
      <c r="H143" s="3">
        <f t="shared" si="2"/>
        <v>12259.810000000001</v>
      </c>
      <c r="I143" s="3">
        <v>0</v>
      </c>
      <c r="J143" s="3"/>
      <c r="K143" s="3"/>
      <c r="L143" s="3"/>
    </row>
    <row r="144" spans="1:12">
      <c r="A144" s="3">
        <v>42495</v>
      </c>
      <c r="B144" s="3">
        <v>211.53</v>
      </c>
      <c r="C144" s="4" cm="1">
        <f t="array" aca="1" ref="C144" ca="1">INDIRECT(ADDRESS(ROW()-C$3,2))-INDIRECT(ADDRESS(ROW()-C$2,2))</f>
        <v>-30.27000000000001</v>
      </c>
      <c r="D144" s="4" cm="1">
        <f t="array" aca="1" ref="D144" ca="1">INDIRECT(ADDRESS(ROW()-D$3,2))-INDIRECT(ADDRESS(ROW()-D$2,2))</f>
        <v>-36.759999999999991</v>
      </c>
      <c r="E144" s="4">
        <f t="shared" ca="1" si="3"/>
        <v>231.66</v>
      </c>
      <c r="F144" s="3">
        <v>12259.810000000001</v>
      </c>
      <c r="G144" s="3">
        <v>0</v>
      </c>
      <c r="H144" s="3">
        <f t="shared" si="2"/>
        <v>12259.810000000001</v>
      </c>
      <c r="I144" s="3">
        <v>0</v>
      </c>
      <c r="J144" s="3"/>
      <c r="K144" s="3"/>
      <c r="L144" s="3"/>
    </row>
    <row r="145" spans="1:12">
      <c r="A145" s="3">
        <v>42496</v>
      </c>
      <c r="B145" s="3">
        <v>214.93</v>
      </c>
      <c r="C145" s="4" cm="1">
        <f t="array" aca="1" ref="C145" ca="1">INDIRECT(ADDRESS(ROW()-C$3,2))-INDIRECT(ADDRESS(ROW()-C$2,2))</f>
        <v>-17.389999999999986</v>
      </c>
      <c r="D145" s="4" cm="1">
        <f t="array" aca="1" ref="D145" ca="1">INDIRECT(ADDRESS(ROW()-D$3,2))-INDIRECT(ADDRESS(ROW()-D$2,2))</f>
        <v>-38.819999999999993</v>
      </c>
      <c r="E145" s="4">
        <f t="shared" ca="1" si="3"/>
        <v>226.66500000000002</v>
      </c>
      <c r="F145" s="3">
        <v>12259.810000000001</v>
      </c>
      <c r="G145" s="3">
        <v>0</v>
      </c>
      <c r="H145" s="3">
        <f t="shared" si="2"/>
        <v>12259.810000000001</v>
      </c>
      <c r="I145" s="3">
        <v>0</v>
      </c>
      <c r="J145" s="3"/>
      <c r="K145" s="3"/>
      <c r="L145" s="3"/>
    </row>
    <row r="146" spans="1:12">
      <c r="A146" s="3">
        <v>42499</v>
      </c>
      <c r="B146" s="3">
        <v>208.92</v>
      </c>
      <c r="C146" s="4" cm="1">
        <f t="array" aca="1" ref="C146" ca="1">INDIRECT(ADDRESS(ROW()-C$3,2))-INDIRECT(ADDRESS(ROW()-C$2,2))</f>
        <v>-13.640000000000015</v>
      </c>
      <c r="D146" s="4" cm="1">
        <f t="array" aca="1" ref="D146" ca="1">INDIRECT(ADDRESS(ROW()-D$3,2))-INDIRECT(ADDRESS(ROW()-D$2,2))</f>
        <v>-42.900000000000006</v>
      </c>
      <c r="E146" s="4">
        <f t="shared" ca="1" si="3"/>
        <v>223.625</v>
      </c>
      <c r="F146" s="3">
        <v>12259.810000000001</v>
      </c>
      <c r="G146" s="3">
        <v>0</v>
      </c>
      <c r="H146" s="3">
        <f t="shared" si="2"/>
        <v>12259.810000000001</v>
      </c>
      <c r="I146" s="3">
        <v>0</v>
      </c>
      <c r="J146" s="3"/>
      <c r="K146" s="3"/>
      <c r="L146" s="3"/>
    </row>
    <row r="147" spans="1:12">
      <c r="A147" s="3">
        <v>42500</v>
      </c>
      <c r="B147" s="3">
        <v>208.69</v>
      </c>
      <c r="C147" s="4" cm="1">
        <f t="array" aca="1" ref="C147" ca="1">INDIRECT(ADDRESS(ROW()-C$3,2))-INDIRECT(ADDRESS(ROW()-C$2,2))</f>
        <v>-2.8400000000000034</v>
      </c>
      <c r="D147" s="4" cm="1">
        <f t="array" aca="1" ref="D147" ca="1">INDIRECT(ADDRESS(ROW()-D$3,2))-INDIRECT(ADDRESS(ROW()-D$2,2))</f>
        <v>-45.050000000000011</v>
      </c>
      <c r="E147" s="4">
        <f t="shared" ca="1" si="3"/>
        <v>215.74</v>
      </c>
      <c r="F147" s="3">
        <v>12259.810000000001</v>
      </c>
      <c r="G147" s="3">
        <v>0</v>
      </c>
      <c r="H147" s="3">
        <f t="shared" si="2"/>
        <v>12259.810000000001</v>
      </c>
      <c r="I147" s="3">
        <v>0</v>
      </c>
      <c r="J147" s="3"/>
      <c r="K147" s="3"/>
      <c r="L147" s="3"/>
    </row>
    <row r="148" spans="1:12">
      <c r="A148" s="3">
        <v>42501</v>
      </c>
      <c r="B148" s="3">
        <v>208.96</v>
      </c>
      <c r="C148" s="4" cm="1">
        <f t="array" aca="1" ref="C148" ca="1">INDIRECT(ADDRESS(ROW()-C$3,2))-INDIRECT(ADDRESS(ROW()-C$2,2))</f>
        <v>-5.9699999999999989</v>
      </c>
      <c r="D148" s="4" cm="1">
        <f t="array" aca="1" ref="D148" ca="1">INDIRECT(ADDRESS(ROW()-D$3,2))-INDIRECT(ADDRESS(ROW()-D$2,2))</f>
        <v>-42.509999999999991</v>
      </c>
      <c r="E148" s="4">
        <f t="shared" ca="1" si="3"/>
        <v>210.11</v>
      </c>
      <c r="F148" s="3">
        <v>12259.810000000001</v>
      </c>
      <c r="G148" s="3">
        <v>0</v>
      </c>
      <c r="H148" s="3">
        <f t="shared" si="2"/>
        <v>12259.810000000001</v>
      </c>
      <c r="I148" s="3">
        <v>0</v>
      </c>
      <c r="J148" s="3"/>
      <c r="K148" s="3"/>
      <c r="L148" s="3"/>
    </row>
    <row r="149" spans="1:12">
      <c r="A149" s="3">
        <v>42502</v>
      </c>
      <c r="B149" s="3">
        <v>207.28</v>
      </c>
      <c r="C149" s="4" cm="1">
        <f t="array" aca="1" ref="C149" ca="1">INDIRECT(ADDRESS(ROW()-C$3,2))-INDIRECT(ADDRESS(ROW()-C$2,2))</f>
        <v>-1.6399999999999864</v>
      </c>
      <c r="D149" s="4" cm="1">
        <f t="array" aca="1" ref="D149" ca="1">INDIRECT(ADDRESS(ROW()-D$3,2))-INDIRECT(ADDRESS(ROW()-D$2,2))</f>
        <v>-40.430000000000007</v>
      </c>
      <c r="E149" s="4">
        <f t="shared" ca="1" si="3"/>
        <v>211.94499999999999</v>
      </c>
      <c r="F149" s="3">
        <v>12259.810000000001</v>
      </c>
      <c r="G149" s="3">
        <v>0</v>
      </c>
      <c r="H149" s="3">
        <f t="shared" si="2"/>
        <v>12259.810000000001</v>
      </c>
      <c r="I149" s="3">
        <v>0</v>
      </c>
      <c r="J149" s="3"/>
      <c r="K149" s="3"/>
      <c r="L149" s="3"/>
    </row>
    <row r="150" spans="1:12">
      <c r="A150" s="3">
        <v>42503</v>
      </c>
      <c r="B150" s="3">
        <v>207.61</v>
      </c>
      <c r="C150" s="4" cm="1">
        <f t="array" aca="1" ref="C150" ca="1">INDIRECT(ADDRESS(ROW()-C$3,2))-INDIRECT(ADDRESS(ROW()-C$2,2))</f>
        <v>-1.0799999999999841</v>
      </c>
      <c r="D150" s="4" cm="1">
        <f t="array" aca="1" ref="D150" ca="1">INDIRECT(ADDRESS(ROW()-D$3,2))-INDIRECT(ADDRESS(ROW()-D$2,2))</f>
        <v>-33.149999999999977</v>
      </c>
      <c r="E150" s="4">
        <f t="shared" ca="1" si="3"/>
        <v>208.1</v>
      </c>
      <c r="F150" s="3">
        <v>12259.810000000001</v>
      </c>
      <c r="G150" s="3">
        <v>0</v>
      </c>
      <c r="H150" s="3">
        <f t="shared" si="2"/>
        <v>12259.810000000001</v>
      </c>
      <c r="I150" s="3">
        <v>0</v>
      </c>
      <c r="J150" s="3"/>
      <c r="K150" s="3"/>
      <c r="L150" s="3"/>
    </row>
    <row r="151" spans="1:12">
      <c r="A151" s="3">
        <v>42506</v>
      </c>
      <c r="B151" s="3">
        <v>208.29</v>
      </c>
      <c r="C151" s="4" cm="1">
        <f t="array" aca="1" ref="C151" ca="1">INDIRECT(ADDRESS(ROW()-C$3,2))-INDIRECT(ADDRESS(ROW()-C$2,2))</f>
        <v>-0.67000000000001592</v>
      </c>
      <c r="D151" s="4" cm="1">
        <f t="array" aca="1" ref="D151" ca="1">INDIRECT(ADDRESS(ROW()-D$3,2))-INDIRECT(ADDRESS(ROW()-D$2,2))</f>
        <v>-33.510000000000019</v>
      </c>
      <c r="E151" s="4">
        <f t="shared" ca="1" si="3"/>
        <v>208.15</v>
      </c>
      <c r="F151" s="3">
        <v>12259.810000000001</v>
      </c>
      <c r="G151" s="3">
        <v>0</v>
      </c>
      <c r="H151" s="3">
        <f t="shared" ref="H151:H214" si="4">G151+F151</f>
        <v>12259.810000000001</v>
      </c>
      <c r="I151" s="3">
        <v>0</v>
      </c>
      <c r="J151" s="3"/>
      <c r="K151" s="3"/>
      <c r="L151" s="3"/>
    </row>
    <row r="152" spans="1:12">
      <c r="A152" s="3">
        <v>42507</v>
      </c>
      <c r="B152" s="3">
        <v>204.66</v>
      </c>
      <c r="C152" s="4" cm="1">
        <f t="array" aca="1" ref="C152" ca="1">INDIRECT(ADDRESS(ROW()-C$3,2))-INDIRECT(ADDRESS(ROW()-C$2,2))</f>
        <v>-2.6200000000000045</v>
      </c>
      <c r="D152" s="4" cm="1">
        <f t="array" aca="1" ref="D152" ca="1">INDIRECT(ADDRESS(ROW()-D$3,2))-INDIRECT(ADDRESS(ROW()-D$2,2))</f>
        <v>-27.659999999999997</v>
      </c>
      <c r="E152" s="4">
        <f t="shared" ref="E152:E215" ca="1" si="5">AVERAGE(INDIRECT(ADDRESS(ROW()-E$3,2)),INDIRECT(ADDRESS(ROW()-E$2,2)))</f>
        <v>208.625</v>
      </c>
      <c r="F152" s="3">
        <v>12259.810000000001</v>
      </c>
      <c r="G152" s="3">
        <v>0</v>
      </c>
      <c r="H152" s="3">
        <f t="shared" si="4"/>
        <v>12259.810000000001</v>
      </c>
      <c r="I152" s="3">
        <v>0</v>
      </c>
      <c r="J152" s="3"/>
      <c r="K152" s="3"/>
      <c r="L152" s="3"/>
    </row>
    <row r="153" spans="1:12">
      <c r="A153" s="3">
        <v>42508</v>
      </c>
      <c r="B153" s="3">
        <v>211.17</v>
      </c>
      <c r="C153" s="4" cm="1">
        <f t="array" aca="1" ref="C153" ca="1">INDIRECT(ADDRESS(ROW()-C$3,2))-INDIRECT(ADDRESS(ROW()-C$2,2))</f>
        <v>3.5599999999999739</v>
      </c>
      <c r="D153" s="4" cm="1">
        <f t="array" aca="1" ref="D153" ca="1">INDIRECT(ADDRESS(ROW()-D$3,2))-INDIRECT(ADDRESS(ROW()-D$2,2))</f>
        <v>-11.390000000000015</v>
      </c>
      <c r="E153" s="4">
        <f t="shared" ca="1" si="5"/>
        <v>205.97</v>
      </c>
      <c r="F153" s="3">
        <v>11.949999999997601</v>
      </c>
      <c r="G153" s="3">
        <v>12247.859999999999</v>
      </c>
      <c r="H153" s="3">
        <f t="shared" si="4"/>
        <v>12259.809999999996</v>
      </c>
      <c r="I153" s="3">
        <v>58</v>
      </c>
      <c r="J153" s="3"/>
      <c r="K153" s="3"/>
      <c r="L153" s="3"/>
    </row>
    <row r="154" spans="1:12">
      <c r="A154" s="3">
        <v>42509</v>
      </c>
      <c r="B154" s="3">
        <v>215.21</v>
      </c>
      <c r="C154" s="4" cm="1">
        <f t="array" aca="1" ref="C154" ca="1">INDIRECT(ADDRESS(ROW()-C$3,2))-INDIRECT(ADDRESS(ROW()-C$2,2))</f>
        <v>6.9200000000000159</v>
      </c>
      <c r="D154" s="4" cm="1">
        <f t="array" aca="1" ref="D154" ca="1">INDIRECT(ADDRESS(ROW()-D$3,2))-INDIRECT(ADDRESS(ROW()-D$2,2))</f>
        <v>3.6800000000000068</v>
      </c>
      <c r="E154" s="4">
        <f t="shared" ca="1" si="5"/>
        <v>209.39</v>
      </c>
      <c r="F154" s="3">
        <v>11.949999999997601</v>
      </c>
      <c r="G154" s="3">
        <v>12482.18</v>
      </c>
      <c r="H154" s="3">
        <f t="shared" si="4"/>
        <v>12494.129999999997</v>
      </c>
      <c r="I154" s="3">
        <v>58</v>
      </c>
      <c r="J154" s="3"/>
      <c r="K154" s="3"/>
      <c r="L154" s="3"/>
    </row>
    <row r="155" spans="1:12">
      <c r="A155" s="3">
        <v>42510</v>
      </c>
      <c r="B155" s="3">
        <v>220.28</v>
      </c>
      <c r="C155" s="4" cm="1">
        <f t="array" aca="1" ref="C155" ca="1">INDIRECT(ADDRESS(ROW()-C$3,2))-INDIRECT(ADDRESS(ROW()-C$2,2))</f>
        <v>15.620000000000005</v>
      </c>
      <c r="D155" s="4" cm="1">
        <f t="array" aca="1" ref="D155" ca="1">INDIRECT(ADDRESS(ROW()-D$3,2))-INDIRECT(ADDRESS(ROW()-D$2,2))</f>
        <v>5.3499999999999943</v>
      </c>
      <c r="E155" s="4">
        <f t="shared" ca="1" si="5"/>
        <v>211.75</v>
      </c>
      <c r="F155" s="3">
        <v>11.949999999997601</v>
      </c>
      <c r="G155" s="3">
        <v>12776.24</v>
      </c>
      <c r="H155" s="3">
        <f t="shared" si="4"/>
        <v>12788.189999999997</v>
      </c>
      <c r="I155" s="3">
        <v>58</v>
      </c>
      <c r="J155" s="3"/>
      <c r="K155" s="3"/>
      <c r="L155" s="3"/>
    </row>
    <row r="156" spans="1:12">
      <c r="A156" s="3">
        <v>42513</v>
      </c>
      <c r="B156" s="3">
        <v>216.22</v>
      </c>
      <c r="C156" s="4" cm="1">
        <f t="array" aca="1" ref="C156" ca="1">INDIRECT(ADDRESS(ROW()-C$3,2))-INDIRECT(ADDRESS(ROW()-C$2,2))</f>
        <v>5.0500000000000114</v>
      </c>
      <c r="D156" s="4" cm="1">
        <f t="array" aca="1" ref="D156" ca="1">INDIRECT(ADDRESS(ROW()-D$3,2))-INDIRECT(ADDRESS(ROW()-D$2,2))</f>
        <v>7.3000000000000114</v>
      </c>
      <c r="E156" s="4">
        <f t="shared" ca="1" si="5"/>
        <v>212.47</v>
      </c>
      <c r="F156" s="3">
        <v>11.949999999997601</v>
      </c>
      <c r="G156" s="3">
        <v>12540.76</v>
      </c>
      <c r="H156" s="3">
        <f t="shared" si="4"/>
        <v>12552.709999999997</v>
      </c>
      <c r="I156" s="3">
        <v>58</v>
      </c>
      <c r="J156" s="3"/>
      <c r="K156" s="3"/>
      <c r="L156" s="3"/>
    </row>
    <row r="157" spans="1:12">
      <c r="A157" s="3">
        <v>42514</v>
      </c>
      <c r="B157" s="3">
        <v>217.91</v>
      </c>
      <c r="C157" s="4" cm="1">
        <f t="array" aca="1" ref="C157" ca="1">INDIRECT(ADDRESS(ROW()-C$3,2))-INDIRECT(ADDRESS(ROW()-C$2,2))</f>
        <v>2.6999999999999886</v>
      </c>
      <c r="D157" s="4" cm="1">
        <f t="array" aca="1" ref="D157" ca="1">INDIRECT(ADDRESS(ROW()-D$3,2))-INDIRECT(ADDRESS(ROW()-D$2,2))</f>
        <v>9.2199999999999989</v>
      </c>
      <c r="E157" s="4">
        <f t="shared" ca="1" si="5"/>
        <v>213.69499999999999</v>
      </c>
      <c r="F157" s="3">
        <v>11.949999999997601</v>
      </c>
      <c r="G157" s="3">
        <v>12638.78</v>
      </c>
      <c r="H157" s="3">
        <f t="shared" si="4"/>
        <v>12650.729999999998</v>
      </c>
      <c r="I157" s="3">
        <v>58</v>
      </c>
      <c r="J157" s="3"/>
      <c r="K157" s="3"/>
      <c r="L157" s="3"/>
    </row>
    <row r="158" spans="1:12">
      <c r="A158" s="3">
        <v>42515</v>
      </c>
      <c r="B158" s="3">
        <v>219.58</v>
      </c>
      <c r="C158" s="4" cm="1">
        <f t="array" aca="1" ref="C158" ca="1">INDIRECT(ADDRESS(ROW()-C$3,2))-INDIRECT(ADDRESS(ROW()-C$2,2))</f>
        <v>-0.69999999999998863</v>
      </c>
      <c r="D158" s="4" cm="1">
        <f t="array" aca="1" ref="D158" ca="1">INDIRECT(ADDRESS(ROW()-D$3,2))-INDIRECT(ADDRESS(ROW()-D$2,2))</f>
        <v>10.620000000000005</v>
      </c>
      <c r="E158" s="4">
        <f t="shared" ca="1" si="5"/>
        <v>216.56</v>
      </c>
      <c r="F158" s="3">
        <v>12747.589999999998</v>
      </c>
      <c r="G158" s="3">
        <v>0</v>
      </c>
      <c r="H158" s="3">
        <f t="shared" si="4"/>
        <v>12747.589999999998</v>
      </c>
      <c r="I158" s="3">
        <v>0</v>
      </c>
      <c r="J158" s="3"/>
      <c r="K158" s="3"/>
      <c r="L158" s="3"/>
    </row>
    <row r="159" spans="1:12">
      <c r="A159" s="3">
        <v>42516</v>
      </c>
      <c r="B159" s="3">
        <v>225.12</v>
      </c>
      <c r="C159" s="4" cm="1">
        <f t="array" aca="1" ref="C159" ca="1">INDIRECT(ADDRESS(ROW()-C$3,2))-INDIRECT(ADDRESS(ROW()-C$2,2))</f>
        <v>8.9000000000000057</v>
      </c>
      <c r="D159" s="4" cm="1">
        <f t="array" aca="1" ref="D159" ca="1">INDIRECT(ADDRESS(ROW()-D$3,2))-INDIRECT(ADDRESS(ROW()-D$2,2))</f>
        <v>17.840000000000003</v>
      </c>
      <c r="E159" s="4">
        <f t="shared" ca="1" si="5"/>
        <v>219.93</v>
      </c>
      <c r="F159" s="3">
        <v>140.86999999998579</v>
      </c>
      <c r="G159" s="3">
        <v>12606.720000000001</v>
      </c>
      <c r="H159" s="3">
        <f t="shared" si="4"/>
        <v>12747.589999999987</v>
      </c>
      <c r="I159" s="3">
        <v>56</v>
      </c>
      <c r="J159" s="3"/>
      <c r="K159" s="3"/>
      <c r="L159" s="3"/>
    </row>
    <row r="160" spans="1:12">
      <c r="A160" s="3">
        <v>42517</v>
      </c>
      <c r="B160" s="3">
        <v>223.04</v>
      </c>
      <c r="C160" s="4" cm="1">
        <f t="array" aca="1" ref="C160" ca="1">INDIRECT(ADDRESS(ROW()-C$3,2))-INDIRECT(ADDRESS(ROW()-C$2,2))</f>
        <v>5.1299999999999955</v>
      </c>
      <c r="D160" s="4" cm="1">
        <f t="array" aca="1" ref="D160" ca="1">INDIRECT(ADDRESS(ROW()-D$3,2))-INDIRECT(ADDRESS(ROW()-D$2,2))</f>
        <v>15.429999999999978</v>
      </c>
      <c r="E160" s="4">
        <f t="shared" ca="1" si="5"/>
        <v>220.67000000000002</v>
      </c>
      <c r="F160" s="3">
        <v>140.86999999998579</v>
      </c>
      <c r="G160" s="3">
        <v>12490.24</v>
      </c>
      <c r="H160" s="3">
        <f t="shared" si="4"/>
        <v>12631.109999999986</v>
      </c>
      <c r="I160" s="3">
        <v>56</v>
      </c>
      <c r="J160" s="3"/>
      <c r="K160" s="3"/>
      <c r="L160" s="3"/>
    </row>
    <row r="161" spans="1:12">
      <c r="A161" s="3">
        <v>42521</v>
      </c>
      <c r="B161" s="3">
        <v>223.23</v>
      </c>
      <c r="C161" s="4" cm="1">
        <f t="array" aca="1" ref="C161" ca="1">INDIRECT(ADDRESS(ROW()-C$3,2))-INDIRECT(ADDRESS(ROW()-C$2,2))</f>
        <v>3.6499999999999773</v>
      </c>
      <c r="D161" s="4" cm="1">
        <f t="array" aca="1" ref="D161" ca="1">INDIRECT(ADDRESS(ROW()-D$3,2))-INDIRECT(ADDRESS(ROW()-D$2,2))</f>
        <v>14.939999999999998</v>
      </c>
      <c r="E161" s="4">
        <f t="shared" ca="1" si="5"/>
        <v>220.47499999999999</v>
      </c>
      <c r="F161" s="3">
        <v>140.86999999998579</v>
      </c>
      <c r="G161" s="3">
        <v>12500.88</v>
      </c>
      <c r="H161" s="3">
        <f t="shared" si="4"/>
        <v>12641.749999999985</v>
      </c>
      <c r="I161" s="3">
        <v>56</v>
      </c>
      <c r="J161" s="3"/>
      <c r="K161" s="3"/>
      <c r="L161" s="3"/>
    </row>
    <row r="162" spans="1:12">
      <c r="A162" s="3">
        <v>42522</v>
      </c>
      <c r="B162" s="3">
        <v>219.56</v>
      </c>
      <c r="C162" s="4" cm="1">
        <f t="array" aca="1" ref="C162" ca="1">INDIRECT(ADDRESS(ROW()-C$3,2))-INDIRECT(ADDRESS(ROW()-C$2,2))</f>
        <v>-5.5600000000000023</v>
      </c>
      <c r="D162" s="4" cm="1">
        <f t="array" aca="1" ref="D162" ca="1">INDIRECT(ADDRESS(ROW()-D$3,2))-INDIRECT(ADDRESS(ROW()-D$2,2))</f>
        <v>14.900000000000006</v>
      </c>
      <c r="E162" s="4">
        <f t="shared" ca="1" si="5"/>
        <v>221.405</v>
      </c>
      <c r="F162" s="3">
        <v>12436.229999999987</v>
      </c>
      <c r="G162" s="3">
        <v>0</v>
      </c>
      <c r="H162" s="3">
        <f t="shared" si="4"/>
        <v>12436.229999999987</v>
      </c>
      <c r="I162" s="3">
        <v>0</v>
      </c>
      <c r="J162" s="3"/>
      <c r="K162" s="3"/>
      <c r="L162" s="3"/>
    </row>
    <row r="163" spans="1:12">
      <c r="A163" s="3">
        <v>42523</v>
      </c>
      <c r="B163" s="3">
        <v>218.96</v>
      </c>
      <c r="C163" s="4" cm="1">
        <f t="array" aca="1" ref="C163" ca="1">INDIRECT(ADDRESS(ROW()-C$3,2))-INDIRECT(ADDRESS(ROW()-C$2,2))</f>
        <v>-4.0799999999999841</v>
      </c>
      <c r="D163" s="4" cm="1">
        <f t="array" aca="1" ref="D163" ca="1">INDIRECT(ADDRESS(ROW()-D$3,2))-INDIRECT(ADDRESS(ROW()-D$2,2))</f>
        <v>7.7900000000000205</v>
      </c>
      <c r="E163" s="4">
        <f t="shared" ca="1" si="5"/>
        <v>222.34</v>
      </c>
      <c r="F163" s="3">
        <v>12436.229999999987</v>
      </c>
      <c r="G163" s="3">
        <v>0</v>
      </c>
      <c r="H163" s="3">
        <f t="shared" si="4"/>
        <v>12436.229999999987</v>
      </c>
      <c r="I163" s="3">
        <v>0</v>
      </c>
      <c r="J163" s="3"/>
      <c r="K163" s="3"/>
      <c r="L163" s="3"/>
    </row>
    <row r="164" spans="1:12">
      <c r="A164" s="3">
        <v>42524</v>
      </c>
      <c r="B164" s="3">
        <v>218.99</v>
      </c>
      <c r="C164" s="4" cm="1">
        <f t="array" aca="1" ref="C164" ca="1">INDIRECT(ADDRESS(ROW()-C$3,2))-INDIRECT(ADDRESS(ROW()-C$2,2))</f>
        <v>-4.2399999999999807</v>
      </c>
      <c r="D164" s="4" cm="1">
        <f t="array" aca="1" ref="D164" ca="1">INDIRECT(ADDRESS(ROW()-D$3,2))-INDIRECT(ADDRESS(ROW()-D$2,2))</f>
        <v>3.7800000000000011</v>
      </c>
      <c r="E164" s="4">
        <f t="shared" ca="1" si="5"/>
        <v>221</v>
      </c>
      <c r="F164" s="3">
        <v>12436.229999999987</v>
      </c>
      <c r="G164" s="3">
        <v>0</v>
      </c>
      <c r="H164" s="3">
        <f t="shared" si="4"/>
        <v>12436.229999999987</v>
      </c>
      <c r="I164" s="3">
        <v>0</v>
      </c>
      <c r="J164" s="3"/>
      <c r="K164" s="3"/>
      <c r="L164" s="3"/>
    </row>
    <row r="165" spans="1:12">
      <c r="A165" s="3">
        <v>42527</v>
      </c>
      <c r="B165" s="3">
        <v>220.68</v>
      </c>
      <c r="C165" s="4" cm="1">
        <f t="array" aca="1" ref="C165" ca="1">INDIRECT(ADDRESS(ROW()-C$3,2))-INDIRECT(ADDRESS(ROW()-C$2,2))</f>
        <v>1.1200000000000045</v>
      </c>
      <c r="D165" s="4" cm="1">
        <f t="array" aca="1" ref="D165" ca="1">INDIRECT(ADDRESS(ROW()-D$3,2))-INDIRECT(ADDRESS(ROW()-D$2,2))</f>
        <v>0.40000000000000568</v>
      </c>
      <c r="E165" s="4">
        <f t="shared" ca="1" si="5"/>
        <v>221.11</v>
      </c>
      <c r="F165" s="3">
        <v>78.14999999997724</v>
      </c>
      <c r="G165" s="3">
        <v>12358.08</v>
      </c>
      <c r="H165" s="3">
        <f t="shared" si="4"/>
        <v>12436.229999999978</v>
      </c>
      <c r="I165" s="3">
        <v>56</v>
      </c>
      <c r="J165" s="3"/>
      <c r="K165" s="3"/>
      <c r="L165" s="3"/>
    </row>
    <row r="166" spans="1:12">
      <c r="A166" s="3">
        <v>42528</v>
      </c>
      <c r="B166" s="3">
        <v>232.34</v>
      </c>
      <c r="C166" s="4" cm="1">
        <f t="array" aca="1" ref="C166" ca="1">INDIRECT(ADDRESS(ROW()-C$3,2))-INDIRECT(ADDRESS(ROW()-C$2,2))</f>
        <v>13.379999999999995</v>
      </c>
      <c r="D166" s="4" cm="1">
        <f t="array" aca="1" ref="D166" ca="1">INDIRECT(ADDRESS(ROW()-D$3,2))-INDIRECT(ADDRESS(ROW()-D$2,2))</f>
        <v>16.120000000000005</v>
      </c>
      <c r="E166" s="4">
        <f t="shared" ca="1" si="5"/>
        <v>220.12</v>
      </c>
      <c r="F166" s="3">
        <v>78.14999999997724</v>
      </c>
      <c r="G166" s="3">
        <v>13011.04</v>
      </c>
      <c r="H166" s="3">
        <f t="shared" si="4"/>
        <v>13089.189999999979</v>
      </c>
      <c r="I166" s="3">
        <v>56</v>
      </c>
      <c r="J166" s="3"/>
      <c r="K166" s="3"/>
      <c r="L166" s="3"/>
    </row>
    <row r="167" spans="1:12">
      <c r="A167" s="3">
        <v>42529</v>
      </c>
      <c r="B167" s="3">
        <v>235.52</v>
      </c>
      <c r="C167" s="4" cm="1">
        <f t="array" aca="1" ref="C167" ca="1">INDIRECT(ADDRESS(ROW()-C$3,2))-INDIRECT(ADDRESS(ROW()-C$2,2))</f>
        <v>16.53</v>
      </c>
      <c r="D167" s="4" cm="1">
        <f t="array" aca="1" ref="D167" ca="1">INDIRECT(ADDRESS(ROW()-D$3,2))-INDIRECT(ADDRESS(ROW()-D$2,2))</f>
        <v>17.610000000000014</v>
      </c>
      <c r="E167" s="4">
        <f t="shared" ca="1" si="5"/>
        <v>225.65</v>
      </c>
      <c r="F167" s="3">
        <v>78.14999999997724</v>
      </c>
      <c r="G167" s="3">
        <v>13189.12</v>
      </c>
      <c r="H167" s="3">
        <f t="shared" si="4"/>
        <v>13267.269999999979</v>
      </c>
      <c r="I167" s="3">
        <v>56</v>
      </c>
      <c r="J167" s="3"/>
      <c r="K167" s="3"/>
      <c r="L167" s="3"/>
    </row>
    <row r="168" spans="1:12">
      <c r="A168" s="3">
        <v>42530</v>
      </c>
      <c r="B168" s="3">
        <v>229.36</v>
      </c>
      <c r="C168" s="4" cm="1">
        <f t="array" aca="1" ref="C168" ca="1">INDIRECT(ADDRESS(ROW()-C$3,2))-INDIRECT(ADDRESS(ROW()-C$2,2))</f>
        <v>8.6800000000000068</v>
      </c>
      <c r="D168" s="4" cm="1">
        <f t="array" aca="1" ref="D168" ca="1">INDIRECT(ADDRESS(ROW()-D$3,2))-INDIRECT(ADDRESS(ROW()-D$2,2))</f>
        <v>9.7800000000000011</v>
      </c>
      <c r="E168" s="4">
        <f t="shared" ca="1" si="5"/>
        <v>227.255</v>
      </c>
      <c r="F168" s="3">
        <v>78.14999999997724</v>
      </c>
      <c r="G168" s="3">
        <v>12844.16</v>
      </c>
      <c r="H168" s="3">
        <f t="shared" si="4"/>
        <v>12922.309999999978</v>
      </c>
      <c r="I168" s="3">
        <v>56</v>
      </c>
      <c r="J168" s="3"/>
      <c r="K168" s="3"/>
      <c r="L168" s="3"/>
    </row>
    <row r="169" spans="1:12">
      <c r="A169" s="3">
        <v>42531</v>
      </c>
      <c r="B169" s="3">
        <v>218.79</v>
      </c>
      <c r="C169" s="4" cm="1">
        <f t="array" aca="1" ref="C169" ca="1">INDIRECT(ADDRESS(ROW()-C$3,2))-INDIRECT(ADDRESS(ROW()-C$2,2))</f>
        <v>-13.550000000000011</v>
      </c>
      <c r="D169" s="4" cm="1">
        <f t="array" aca="1" ref="D169" ca="1">INDIRECT(ADDRESS(ROW()-D$3,2))-INDIRECT(ADDRESS(ROW()-D$2,2))</f>
        <v>-6.3300000000000125</v>
      </c>
      <c r="E169" s="4">
        <f t="shared" ca="1" si="5"/>
        <v>225.02</v>
      </c>
      <c r="F169" s="3">
        <v>12330.389999999978</v>
      </c>
      <c r="G169" s="3">
        <v>0</v>
      </c>
      <c r="H169" s="3">
        <f t="shared" si="4"/>
        <v>12330.389999999978</v>
      </c>
      <c r="I169" s="3">
        <v>0</v>
      </c>
      <c r="J169" s="3"/>
      <c r="K169" s="3"/>
      <c r="L169" s="3"/>
    </row>
    <row r="170" spans="1:12">
      <c r="A170" s="3">
        <v>42534</v>
      </c>
      <c r="B170" s="3">
        <v>217.87</v>
      </c>
      <c r="C170" s="4" cm="1">
        <f t="array" aca="1" ref="C170" ca="1">INDIRECT(ADDRESS(ROW()-C$3,2))-INDIRECT(ADDRESS(ROW()-C$2,2))</f>
        <v>-17.650000000000006</v>
      </c>
      <c r="D170" s="4" cm="1">
        <f t="array" aca="1" ref="D170" ca="1">INDIRECT(ADDRESS(ROW()-D$3,2))-INDIRECT(ADDRESS(ROW()-D$2,2))</f>
        <v>-5.1699999999999875</v>
      </c>
      <c r="E170" s="4">
        <f t="shared" ca="1" si="5"/>
        <v>225.565</v>
      </c>
      <c r="F170" s="3">
        <v>12330.389999999978</v>
      </c>
      <c r="G170" s="3">
        <v>0</v>
      </c>
      <c r="H170" s="3">
        <f t="shared" si="4"/>
        <v>12330.389999999978</v>
      </c>
      <c r="I170" s="3">
        <v>0</v>
      </c>
      <c r="J170" s="3"/>
      <c r="K170" s="3"/>
      <c r="L170" s="3"/>
    </row>
    <row r="171" spans="1:12">
      <c r="A171" s="3">
        <v>42535</v>
      </c>
      <c r="B171" s="3">
        <v>214.96</v>
      </c>
      <c r="C171" s="4" cm="1">
        <f t="array" aca="1" ref="C171" ca="1">INDIRECT(ADDRESS(ROW()-C$3,2))-INDIRECT(ADDRESS(ROW()-C$2,2))</f>
        <v>-14.400000000000006</v>
      </c>
      <c r="D171" s="4" cm="1">
        <f t="array" aca="1" ref="D171" ca="1">INDIRECT(ADDRESS(ROW()-D$3,2))-INDIRECT(ADDRESS(ROW()-D$2,2))</f>
        <v>-8.2699999999999818</v>
      </c>
      <c r="E171" s="4">
        <f t="shared" ca="1" si="5"/>
        <v>226.69499999999999</v>
      </c>
      <c r="F171" s="3">
        <v>12330.389999999978</v>
      </c>
      <c r="G171" s="3">
        <v>0</v>
      </c>
      <c r="H171" s="3">
        <f t="shared" si="4"/>
        <v>12330.389999999978</v>
      </c>
      <c r="I171" s="3">
        <v>0</v>
      </c>
      <c r="J171" s="3"/>
      <c r="K171" s="3"/>
      <c r="L171" s="3"/>
    </row>
    <row r="172" spans="1:12">
      <c r="A172" s="3">
        <v>42536</v>
      </c>
      <c r="B172" s="3">
        <v>217.7</v>
      </c>
      <c r="C172" s="4" cm="1">
        <f t="array" aca="1" ref="C172" ca="1">INDIRECT(ADDRESS(ROW()-C$3,2))-INDIRECT(ADDRESS(ROW()-C$2,2))</f>
        <v>-1.0900000000000034</v>
      </c>
      <c r="D172" s="4" cm="1">
        <f t="array" aca="1" ref="D172" ca="1">INDIRECT(ADDRESS(ROW()-D$3,2))-INDIRECT(ADDRESS(ROW()-D$2,2))</f>
        <v>-1.8600000000000136</v>
      </c>
      <c r="E172" s="4">
        <f t="shared" ca="1" si="5"/>
        <v>222.16000000000003</v>
      </c>
      <c r="F172" s="3">
        <v>12330.389999999978</v>
      </c>
      <c r="G172" s="3">
        <v>0</v>
      </c>
      <c r="H172" s="3">
        <f t="shared" si="4"/>
        <v>12330.389999999978</v>
      </c>
      <c r="I172" s="3">
        <v>0</v>
      </c>
      <c r="J172" s="3"/>
      <c r="K172" s="3"/>
      <c r="L172" s="3"/>
    </row>
    <row r="173" spans="1:12">
      <c r="A173" s="3">
        <v>42537</v>
      </c>
      <c r="B173" s="3">
        <v>217.93</v>
      </c>
      <c r="C173" s="4" cm="1">
        <f t="array" aca="1" ref="C173" ca="1">INDIRECT(ADDRESS(ROW()-C$3,2))-INDIRECT(ADDRESS(ROW()-C$2,2))</f>
        <v>6.0000000000002274E-2</v>
      </c>
      <c r="D173" s="4" cm="1">
        <f t="array" aca="1" ref="D173" ca="1">INDIRECT(ADDRESS(ROW()-D$3,2))-INDIRECT(ADDRESS(ROW()-D$2,2))</f>
        <v>-1.0300000000000011</v>
      </c>
      <c r="E173" s="4">
        <f t="shared" ca="1" si="5"/>
        <v>218.245</v>
      </c>
      <c r="F173" s="3">
        <v>126.309999999968</v>
      </c>
      <c r="G173" s="3">
        <v>12204.08</v>
      </c>
      <c r="H173" s="3">
        <f t="shared" si="4"/>
        <v>12330.389999999968</v>
      </c>
      <c r="I173" s="3">
        <v>56</v>
      </c>
      <c r="J173" s="3"/>
      <c r="K173" s="3"/>
      <c r="L173" s="3"/>
    </row>
    <row r="174" spans="1:12">
      <c r="A174" s="3">
        <v>42538</v>
      </c>
      <c r="B174" s="3">
        <v>215.47</v>
      </c>
      <c r="C174" s="4" cm="1">
        <f t="array" aca="1" ref="C174" ca="1">INDIRECT(ADDRESS(ROW()-C$3,2))-INDIRECT(ADDRESS(ROW()-C$2,2))</f>
        <v>0.50999999999999091</v>
      </c>
      <c r="D174" s="4" cm="1">
        <f t="array" aca="1" ref="D174" ca="1">INDIRECT(ADDRESS(ROW()-D$3,2))-INDIRECT(ADDRESS(ROW()-D$2,2))</f>
        <v>-3.5200000000000102</v>
      </c>
      <c r="E174" s="4">
        <f t="shared" ca="1" si="5"/>
        <v>217.9</v>
      </c>
      <c r="F174" s="3">
        <v>126.309999999968</v>
      </c>
      <c r="G174" s="3">
        <v>12066.32</v>
      </c>
      <c r="H174" s="3">
        <f t="shared" si="4"/>
        <v>12192.629999999968</v>
      </c>
      <c r="I174" s="3">
        <v>56</v>
      </c>
      <c r="J174" s="3"/>
      <c r="K174" s="3"/>
      <c r="L174" s="3"/>
    </row>
    <row r="175" spans="1:12">
      <c r="A175" s="3">
        <v>42541</v>
      </c>
      <c r="B175" s="3">
        <v>219.7</v>
      </c>
      <c r="C175" s="4" cm="1">
        <f t="array" aca="1" ref="C175" ca="1">INDIRECT(ADDRESS(ROW()-C$3,2))-INDIRECT(ADDRESS(ROW()-C$2,2))</f>
        <v>2</v>
      </c>
      <c r="D175" s="4" cm="1">
        <f t="array" aca="1" ref="D175" ca="1">INDIRECT(ADDRESS(ROW()-D$3,2))-INDIRECT(ADDRESS(ROW()-D$2,2))</f>
        <v>-0.98000000000001819</v>
      </c>
      <c r="E175" s="4">
        <f t="shared" ca="1" si="5"/>
        <v>215.215</v>
      </c>
      <c r="F175" s="3">
        <v>126.309999999968</v>
      </c>
      <c r="G175" s="3">
        <v>12303.199999999999</v>
      </c>
      <c r="H175" s="3">
        <f t="shared" si="4"/>
        <v>12429.509999999967</v>
      </c>
      <c r="I175" s="3">
        <v>56</v>
      </c>
      <c r="J175" s="3"/>
      <c r="K175" s="3"/>
      <c r="L175" s="3"/>
    </row>
    <row r="176" spans="1:12">
      <c r="A176" s="3">
        <v>42542</v>
      </c>
      <c r="B176" s="3">
        <v>219.61</v>
      </c>
      <c r="C176" s="4" cm="1">
        <f t="array" aca="1" ref="C176" ca="1">INDIRECT(ADDRESS(ROW()-C$3,2))-INDIRECT(ADDRESS(ROW()-C$2,2))</f>
        <v>1.6800000000000068</v>
      </c>
      <c r="D176" s="4" cm="1">
        <f t="array" aca="1" ref="D176" ca="1">INDIRECT(ADDRESS(ROW()-D$3,2))-INDIRECT(ADDRESS(ROW()-D$2,2))</f>
        <v>-12.72999999999999</v>
      </c>
      <c r="E176" s="4">
        <f t="shared" ca="1" si="5"/>
        <v>218.7</v>
      </c>
      <c r="F176" s="3">
        <v>126.309999999968</v>
      </c>
      <c r="G176" s="3">
        <v>12298.16</v>
      </c>
      <c r="H176" s="3">
        <f t="shared" si="4"/>
        <v>12424.469999999968</v>
      </c>
      <c r="I176" s="3">
        <v>56</v>
      </c>
      <c r="J176" s="3"/>
      <c r="K176" s="3"/>
      <c r="L176" s="3"/>
    </row>
    <row r="177" spans="1:12">
      <c r="A177" s="3">
        <v>42543</v>
      </c>
      <c r="B177" s="3">
        <v>196.66</v>
      </c>
      <c r="C177" s="4" cm="1">
        <f t="array" aca="1" ref="C177" ca="1">INDIRECT(ADDRESS(ROW()-C$3,2))-INDIRECT(ADDRESS(ROW()-C$2,2))</f>
        <v>-18.810000000000002</v>
      </c>
      <c r="D177" s="4" cm="1">
        <f t="array" aca="1" ref="D177" ca="1">INDIRECT(ADDRESS(ROW()-D$3,2))-INDIRECT(ADDRESS(ROW()-D$2,2))</f>
        <v>-38.860000000000014</v>
      </c>
      <c r="E177" s="4">
        <f t="shared" ca="1" si="5"/>
        <v>218.77</v>
      </c>
      <c r="F177" s="3">
        <v>11139.269999999968</v>
      </c>
      <c r="G177" s="3">
        <v>0</v>
      </c>
      <c r="H177" s="3">
        <f t="shared" si="4"/>
        <v>11139.269999999968</v>
      </c>
      <c r="I177" s="3">
        <v>0</v>
      </c>
      <c r="J177" s="3"/>
      <c r="K177" s="3"/>
      <c r="L177" s="3"/>
    </row>
    <row r="178" spans="1:12">
      <c r="A178" s="3">
        <v>42544</v>
      </c>
      <c r="B178" s="3">
        <v>196.4</v>
      </c>
      <c r="C178" s="4" cm="1">
        <f t="array" aca="1" ref="C178" ca="1">INDIRECT(ADDRESS(ROW()-C$3,2))-INDIRECT(ADDRESS(ROW()-C$2,2))</f>
        <v>-23.299999999999983</v>
      </c>
      <c r="D178" s="4" cm="1">
        <f t="array" aca="1" ref="D178" ca="1">INDIRECT(ADDRESS(ROW()-D$3,2))-INDIRECT(ADDRESS(ROW()-D$2,2))</f>
        <v>-32.960000000000008</v>
      </c>
      <c r="E178" s="4">
        <f t="shared" ca="1" si="5"/>
        <v>206.065</v>
      </c>
      <c r="F178" s="3">
        <v>11139.269999999968</v>
      </c>
      <c r="G178" s="3">
        <v>0</v>
      </c>
      <c r="H178" s="3">
        <f t="shared" si="4"/>
        <v>11139.269999999968</v>
      </c>
      <c r="I178" s="3">
        <v>0</v>
      </c>
      <c r="J178" s="3"/>
      <c r="K178" s="3"/>
      <c r="L178" s="3"/>
    </row>
    <row r="179" spans="1:12">
      <c r="A179" s="3">
        <v>42545</v>
      </c>
      <c r="B179" s="3">
        <v>193.15</v>
      </c>
      <c r="C179" s="4" cm="1">
        <f t="array" aca="1" ref="C179" ca="1">INDIRECT(ADDRESS(ROW()-C$3,2))-INDIRECT(ADDRESS(ROW()-C$2,2))</f>
        <v>-26.460000000000008</v>
      </c>
      <c r="D179" s="4" cm="1">
        <f t="array" aca="1" ref="D179" ca="1">INDIRECT(ADDRESS(ROW()-D$3,2))-INDIRECT(ADDRESS(ROW()-D$2,2))</f>
        <v>-25.639999999999986</v>
      </c>
      <c r="E179" s="4">
        <f t="shared" ca="1" si="5"/>
        <v>208.05</v>
      </c>
      <c r="F179" s="3">
        <v>11139.269999999968</v>
      </c>
      <c r="G179" s="3">
        <v>0</v>
      </c>
      <c r="H179" s="3">
        <f t="shared" si="4"/>
        <v>11139.269999999968</v>
      </c>
      <c r="I179" s="3">
        <v>0</v>
      </c>
      <c r="J179" s="3"/>
      <c r="K179" s="3"/>
      <c r="L179" s="3"/>
    </row>
    <row r="180" spans="1:12">
      <c r="A180" s="3">
        <v>42548</v>
      </c>
      <c r="B180" s="3">
        <v>198.55</v>
      </c>
      <c r="C180" s="4" cm="1">
        <f t="array" aca="1" ref="C180" ca="1">INDIRECT(ADDRESS(ROW()-C$3,2))-INDIRECT(ADDRESS(ROW()-C$2,2))</f>
        <v>1.8900000000000148</v>
      </c>
      <c r="D180" s="4" cm="1">
        <f t="array" aca="1" ref="D180" ca="1">INDIRECT(ADDRESS(ROW()-D$3,2))-INDIRECT(ADDRESS(ROW()-D$2,2))</f>
        <v>-19.319999999999993</v>
      </c>
      <c r="E180" s="4">
        <f t="shared" ca="1" si="5"/>
        <v>206.38</v>
      </c>
      <c r="F180" s="3">
        <v>20.469999999972572</v>
      </c>
      <c r="G180" s="3">
        <v>11118.800000000001</v>
      </c>
      <c r="H180" s="3">
        <f t="shared" si="4"/>
        <v>11139.269999999973</v>
      </c>
      <c r="I180" s="3">
        <v>56</v>
      </c>
      <c r="J180" s="3"/>
      <c r="K180" s="3"/>
      <c r="L180" s="3"/>
    </row>
    <row r="181" spans="1:12">
      <c r="A181" s="3">
        <v>42549</v>
      </c>
      <c r="B181" s="3">
        <v>201.79</v>
      </c>
      <c r="C181" s="4" cm="1">
        <f t="array" aca="1" ref="C181" ca="1">INDIRECT(ADDRESS(ROW()-C$3,2))-INDIRECT(ADDRESS(ROW()-C$2,2))</f>
        <v>5.3899999999999864</v>
      </c>
      <c r="D181" s="4" cm="1">
        <f t="array" aca="1" ref="D181" ca="1">INDIRECT(ADDRESS(ROW()-D$3,2))-INDIRECT(ADDRESS(ROW()-D$2,2))</f>
        <v>-13.170000000000016</v>
      </c>
      <c r="E181" s="4">
        <f t="shared" ca="1" si="5"/>
        <v>197.60500000000002</v>
      </c>
      <c r="F181" s="3">
        <v>20.469999999972572</v>
      </c>
      <c r="G181" s="3">
        <v>11300.24</v>
      </c>
      <c r="H181" s="3">
        <f t="shared" si="4"/>
        <v>11320.709999999972</v>
      </c>
      <c r="I181" s="3">
        <v>56</v>
      </c>
      <c r="J181" s="3"/>
      <c r="K181" s="3"/>
      <c r="L181" s="3"/>
    </row>
    <row r="182" spans="1:12">
      <c r="A182" s="3">
        <v>42550</v>
      </c>
      <c r="B182" s="3">
        <v>210.19</v>
      </c>
      <c r="C182" s="4" cm="1">
        <f t="array" aca="1" ref="C182" ca="1">INDIRECT(ADDRESS(ROW()-C$3,2))-INDIRECT(ADDRESS(ROW()-C$2,2))</f>
        <v>17.039999999999992</v>
      </c>
      <c r="D182" s="4" cm="1">
        <f t="array" aca="1" ref="D182" ca="1">INDIRECT(ADDRESS(ROW()-D$3,2))-INDIRECT(ADDRESS(ROW()-D$2,2))</f>
        <v>-7.5099999999999909</v>
      </c>
      <c r="E182" s="4">
        <f t="shared" ca="1" si="5"/>
        <v>199.095</v>
      </c>
      <c r="F182" s="3">
        <v>20.469999999972572</v>
      </c>
      <c r="G182" s="3">
        <v>11770.64</v>
      </c>
      <c r="H182" s="3">
        <f t="shared" si="4"/>
        <v>11791.109999999971</v>
      </c>
      <c r="I182" s="3">
        <v>56</v>
      </c>
      <c r="J182" s="3"/>
      <c r="K182" s="3"/>
      <c r="L182" s="3"/>
    </row>
    <row r="183" spans="1:12">
      <c r="A183" s="3">
        <v>42551</v>
      </c>
      <c r="B183" s="3">
        <v>212.28</v>
      </c>
      <c r="C183" s="4" cm="1">
        <f t="array" aca="1" ref="C183" ca="1">INDIRECT(ADDRESS(ROW()-C$3,2))-INDIRECT(ADDRESS(ROW()-C$2,2))</f>
        <v>13.72999999999999</v>
      </c>
      <c r="D183" s="4" cm="1">
        <f t="array" aca="1" ref="D183" ca="1">INDIRECT(ADDRESS(ROW()-D$3,2))-INDIRECT(ADDRESS(ROW()-D$2,2))</f>
        <v>-5.6500000000000057</v>
      </c>
      <c r="E183" s="4">
        <f t="shared" ca="1" si="5"/>
        <v>201.67000000000002</v>
      </c>
      <c r="F183" s="3">
        <v>20.469999999972572</v>
      </c>
      <c r="G183" s="3">
        <v>11887.68</v>
      </c>
      <c r="H183" s="3">
        <f t="shared" si="4"/>
        <v>11908.149999999972</v>
      </c>
      <c r="I183" s="3">
        <v>56</v>
      </c>
      <c r="J183" s="3"/>
      <c r="K183" s="3"/>
      <c r="L183" s="3"/>
    </row>
    <row r="184" spans="1:12">
      <c r="A184" s="3">
        <v>42552</v>
      </c>
      <c r="B184" s="3">
        <v>216.5</v>
      </c>
      <c r="C184" s="4" cm="1">
        <f t="array" aca="1" ref="C184" ca="1">INDIRECT(ADDRESS(ROW()-C$3,2))-INDIRECT(ADDRESS(ROW()-C$2,2))</f>
        <v>14.710000000000008</v>
      </c>
      <c r="D184" s="4" cm="1">
        <f t="array" aca="1" ref="D184" ca="1">INDIRECT(ADDRESS(ROW()-D$3,2))-INDIRECT(ADDRESS(ROW()-D$2,2))</f>
        <v>1.0300000000000011</v>
      </c>
      <c r="E184" s="4">
        <f t="shared" ca="1" si="5"/>
        <v>205.41500000000002</v>
      </c>
      <c r="F184" s="3">
        <v>20.469999999972572</v>
      </c>
      <c r="G184" s="3">
        <v>12124</v>
      </c>
      <c r="H184" s="3">
        <f t="shared" si="4"/>
        <v>12144.469999999972</v>
      </c>
      <c r="I184" s="3">
        <v>56</v>
      </c>
      <c r="J184" s="3"/>
      <c r="K184" s="3"/>
      <c r="L184" s="3"/>
    </row>
    <row r="185" spans="1:12">
      <c r="A185" s="3">
        <v>42556</v>
      </c>
      <c r="B185" s="3">
        <v>213.98</v>
      </c>
      <c r="C185" s="4" cm="1">
        <f t="array" aca="1" ref="C185" ca="1">INDIRECT(ADDRESS(ROW()-C$3,2))-INDIRECT(ADDRESS(ROW()-C$2,2))</f>
        <v>3.789999999999992</v>
      </c>
      <c r="D185" s="4" cm="1">
        <f t="array" aca="1" ref="D185" ca="1">INDIRECT(ADDRESS(ROW()-D$3,2))-INDIRECT(ADDRESS(ROW()-D$2,2))</f>
        <v>-5.7199999999999989</v>
      </c>
      <c r="E185" s="4">
        <f t="shared" ca="1" si="5"/>
        <v>209.14499999999998</v>
      </c>
      <c r="F185" s="3">
        <v>20.469999999972572</v>
      </c>
      <c r="G185" s="3">
        <v>11982.88</v>
      </c>
      <c r="H185" s="3">
        <f t="shared" si="4"/>
        <v>12003.349999999971</v>
      </c>
      <c r="I185" s="3">
        <v>56</v>
      </c>
      <c r="J185" s="3"/>
      <c r="K185" s="3"/>
      <c r="L185" s="3"/>
    </row>
    <row r="186" spans="1:12">
      <c r="A186" s="3">
        <v>42557</v>
      </c>
      <c r="B186" s="3">
        <v>214.44</v>
      </c>
      <c r="C186" s="4" cm="1">
        <f t="array" aca="1" ref="C186" ca="1">INDIRECT(ADDRESS(ROW()-C$3,2))-INDIRECT(ADDRESS(ROW()-C$2,2))</f>
        <v>2.1599999999999966</v>
      </c>
      <c r="D186" s="4" cm="1">
        <f t="array" aca="1" ref="D186" ca="1">INDIRECT(ADDRESS(ROW()-D$3,2))-INDIRECT(ADDRESS(ROW()-D$2,2))</f>
        <v>-5.1700000000000159</v>
      </c>
      <c r="E186" s="4">
        <f t="shared" ca="1" si="5"/>
        <v>212.08499999999998</v>
      </c>
      <c r="F186" s="3">
        <v>20.469999999972572</v>
      </c>
      <c r="G186" s="3">
        <v>12008.64</v>
      </c>
      <c r="H186" s="3">
        <f t="shared" si="4"/>
        <v>12029.109999999971</v>
      </c>
      <c r="I186" s="3">
        <v>56</v>
      </c>
      <c r="J186" s="3"/>
      <c r="K186" s="3"/>
      <c r="L186" s="3"/>
    </row>
    <row r="187" spans="1:12">
      <c r="A187" s="3">
        <v>42558</v>
      </c>
      <c r="B187" s="3">
        <v>215.94</v>
      </c>
      <c r="C187" s="4" cm="1">
        <f t="array" aca="1" ref="C187" ca="1">INDIRECT(ADDRESS(ROW()-C$3,2))-INDIRECT(ADDRESS(ROW()-C$2,2))</f>
        <v>-0.56000000000000227</v>
      </c>
      <c r="D187" s="4" cm="1">
        <f t="array" aca="1" ref="D187" ca="1">INDIRECT(ADDRESS(ROW()-D$3,2))-INDIRECT(ADDRESS(ROW()-D$2,2))</f>
        <v>19.28</v>
      </c>
      <c r="E187" s="4">
        <f t="shared" ca="1" si="5"/>
        <v>213.36</v>
      </c>
      <c r="F187" s="3">
        <v>12113.109999999971</v>
      </c>
      <c r="G187" s="3">
        <v>0</v>
      </c>
      <c r="H187" s="3">
        <f t="shared" si="4"/>
        <v>12113.109999999971</v>
      </c>
      <c r="I187" s="3">
        <v>0</v>
      </c>
      <c r="J187" s="3"/>
      <c r="K187" s="3"/>
      <c r="L187" s="3"/>
    </row>
    <row r="188" spans="1:12">
      <c r="A188" s="3">
        <v>42559</v>
      </c>
      <c r="B188" s="3">
        <v>216.78</v>
      </c>
      <c r="C188" s="4" cm="1">
        <f t="array" aca="1" ref="C188" ca="1">INDIRECT(ADDRESS(ROW()-C$3,2))-INDIRECT(ADDRESS(ROW()-C$2,2))</f>
        <v>2.8000000000000114</v>
      </c>
      <c r="D188" s="4" cm="1">
        <f t="array" aca="1" ref="D188" ca="1">INDIRECT(ADDRESS(ROW()-D$3,2))-INDIRECT(ADDRESS(ROW()-D$2,2))</f>
        <v>20.379999999999995</v>
      </c>
      <c r="E188" s="4">
        <f t="shared" ca="1" si="5"/>
        <v>216.22</v>
      </c>
      <c r="F188" s="3">
        <v>190.20999999996249</v>
      </c>
      <c r="G188" s="3">
        <v>11922.9</v>
      </c>
      <c r="H188" s="3">
        <f t="shared" si="4"/>
        <v>12113.109999999962</v>
      </c>
      <c r="I188" s="3">
        <v>55</v>
      </c>
      <c r="J188" s="3"/>
      <c r="K188" s="3"/>
      <c r="L188" s="3"/>
    </row>
    <row r="189" spans="1:12">
      <c r="A189" s="3">
        <v>42562</v>
      </c>
      <c r="B189" s="3">
        <v>224.78</v>
      </c>
      <c r="C189" s="4" cm="1">
        <f t="array" aca="1" ref="C189" ca="1">INDIRECT(ADDRESS(ROW()-C$3,2))-INDIRECT(ADDRESS(ROW()-C$2,2))</f>
        <v>10.340000000000003</v>
      </c>
      <c r="D189" s="4" cm="1">
        <f t="array" aca="1" ref="D189" ca="1">INDIRECT(ADDRESS(ROW()-D$3,2))-INDIRECT(ADDRESS(ROW()-D$2,2))</f>
        <v>31.629999999999995</v>
      </c>
      <c r="E189" s="4">
        <f t="shared" ca="1" si="5"/>
        <v>215.38</v>
      </c>
      <c r="F189" s="3">
        <v>190.20999999996249</v>
      </c>
      <c r="G189" s="3">
        <v>12362.9</v>
      </c>
      <c r="H189" s="3">
        <f t="shared" si="4"/>
        <v>12553.109999999962</v>
      </c>
      <c r="I189" s="3">
        <v>55</v>
      </c>
      <c r="J189" s="3"/>
      <c r="K189" s="3"/>
      <c r="L189" s="3"/>
    </row>
    <row r="190" spans="1:12">
      <c r="A190" s="3">
        <v>42563</v>
      </c>
      <c r="B190" s="3">
        <v>224.65</v>
      </c>
      <c r="C190" s="4" cm="1">
        <f t="array" aca="1" ref="C190" ca="1">INDIRECT(ADDRESS(ROW()-C$3,2))-INDIRECT(ADDRESS(ROW()-C$2,2))</f>
        <v>8.710000000000008</v>
      </c>
      <c r="D190" s="4" cm="1">
        <f t="array" aca="1" ref="D190" ca="1">INDIRECT(ADDRESS(ROW()-D$3,2))-INDIRECT(ADDRESS(ROW()-D$2,2))</f>
        <v>26.099999999999994</v>
      </c>
      <c r="E190" s="4">
        <f t="shared" ca="1" si="5"/>
        <v>219.61</v>
      </c>
      <c r="F190" s="3">
        <v>190.20999999996249</v>
      </c>
      <c r="G190" s="3">
        <v>12355.75</v>
      </c>
      <c r="H190" s="3">
        <f t="shared" si="4"/>
        <v>12545.959999999963</v>
      </c>
      <c r="I190" s="3">
        <v>55</v>
      </c>
      <c r="J190" s="3"/>
      <c r="K190" s="3"/>
      <c r="L190" s="3"/>
    </row>
    <row r="191" spans="1:12">
      <c r="A191" s="3">
        <v>42564</v>
      </c>
      <c r="B191" s="3">
        <v>222.53</v>
      </c>
      <c r="C191" s="4" cm="1">
        <f t="array" aca="1" ref="C191" ca="1">INDIRECT(ADDRESS(ROW()-C$3,2))-INDIRECT(ADDRESS(ROW()-C$2,2))</f>
        <v>5.75</v>
      </c>
      <c r="D191" s="4" cm="1">
        <f t="array" aca="1" ref="D191" ca="1">INDIRECT(ADDRESS(ROW()-D$3,2))-INDIRECT(ADDRESS(ROW()-D$2,2))</f>
        <v>20.740000000000009</v>
      </c>
      <c r="E191" s="4">
        <f t="shared" ca="1" si="5"/>
        <v>220.29500000000002</v>
      </c>
      <c r="F191" s="3">
        <v>190.20999999996249</v>
      </c>
      <c r="G191" s="3">
        <v>12239.15</v>
      </c>
      <c r="H191" s="3">
        <f t="shared" si="4"/>
        <v>12429.359999999962</v>
      </c>
      <c r="I191" s="3">
        <v>55</v>
      </c>
      <c r="J191" s="3"/>
      <c r="K191" s="3"/>
      <c r="L191" s="3"/>
    </row>
    <row r="192" spans="1:12">
      <c r="A192" s="3">
        <v>42565</v>
      </c>
      <c r="B192" s="3">
        <v>221.53</v>
      </c>
      <c r="C192" s="4" cm="1">
        <f t="array" aca="1" ref="C192" ca="1">INDIRECT(ADDRESS(ROW()-C$3,2))-INDIRECT(ADDRESS(ROW()-C$2,2))</f>
        <v>-3.25</v>
      </c>
      <c r="D192" s="4" cm="1">
        <f t="array" aca="1" ref="D192" ca="1">INDIRECT(ADDRESS(ROW()-D$3,2))-INDIRECT(ADDRESS(ROW()-D$2,2))</f>
        <v>11.340000000000003</v>
      </c>
      <c r="E192" s="4">
        <f t="shared" ca="1" si="5"/>
        <v>219.655</v>
      </c>
      <c r="F192" s="3">
        <v>12374.359999999962</v>
      </c>
      <c r="G192" s="3">
        <v>0</v>
      </c>
      <c r="H192" s="3">
        <f t="shared" si="4"/>
        <v>12374.359999999962</v>
      </c>
      <c r="I192" s="3">
        <v>0</v>
      </c>
      <c r="J192" s="3"/>
      <c r="K192" s="3"/>
      <c r="L192" s="3"/>
    </row>
    <row r="193" spans="1:12">
      <c r="A193" s="3">
        <v>42566</v>
      </c>
      <c r="B193" s="3">
        <v>220.4</v>
      </c>
      <c r="C193" s="4" cm="1">
        <f t="array" aca="1" ref="C193" ca="1">INDIRECT(ADDRESS(ROW()-C$3,2))-INDIRECT(ADDRESS(ROW()-C$2,2))</f>
        <v>-4.25</v>
      </c>
      <c r="D193" s="4" cm="1">
        <f t="array" aca="1" ref="D193" ca="1">INDIRECT(ADDRESS(ROW()-D$3,2))-INDIRECT(ADDRESS(ROW()-D$2,2))</f>
        <v>8.1200000000000045</v>
      </c>
      <c r="E193" s="4">
        <f t="shared" ca="1" si="5"/>
        <v>223.155</v>
      </c>
      <c r="F193" s="3">
        <v>12374.359999999962</v>
      </c>
      <c r="G193" s="3">
        <v>0</v>
      </c>
      <c r="H193" s="3">
        <f t="shared" si="4"/>
        <v>12374.359999999962</v>
      </c>
      <c r="I193" s="3">
        <v>0</v>
      </c>
      <c r="J193" s="3"/>
      <c r="K193" s="3"/>
      <c r="L193" s="3"/>
    </row>
    <row r="194" spans="1:12">
      <c r="A194" s="3">
        <v>42569</v>
      </c>
      <c r="B194" s="3">
        <v>226.25</v>
      </c>
      <c r="C194" s="4" cm="1">
        <f t="array" aca="1" ref="C194" ca="1">INDIRECT(ADDRESS(ROW()-C$3,2))-INDIRECT(ADDRESS(ROW()-C$2,2))</f>
        <v>3.7199999999999989</v>
      </c>
      <c r="D194" s="4" cm="1">
        <f t="array" aca="1" ref="D194" ca="1">INDIRECT(ADDRESS(ROW()-D$3,2))-INDIRECT(ADDRESS(ROW()-D$2,2))</f>
        <v>9.75</v>
      </c>
      <c r="E194" s="4">
        <f t="shared" ca="1" si="5"/>
        <v>222.52500000000001</v>
      </c>
      <c r="F194" s="3">
        <v>156.85999999996238</v>
      </c>
      <c r="G194" s="3">
        <v>12217.5</v>
      </c>
      <c r="H194" s="3">
        <f t="shared" si="4"/>
        <v>12374.359999999962</v>
      </c>
      <c r="I194" s="3">
        <v>54</v>
      </c>
      <c r="J194" s="3"/>
      <c r="K194" s="3"/>
      <c r="L194" s="3"/>
    </row>
    <row r="195" spans="1:12">
      <c r="A195" s="3">
        <v>42570</v>
      </c>
      <c r="B195" s="3">
        <v>225.26</v>
      </c>
      <c r="C195" s="4" cm="1">
        <f t="array" aca="1" ref="C195" ca="1">INDIRECT(ADDRESS(ROW()-C$3,2))-INDIRECT(ADDRESS(ROW()-C$2,2))</f>
        <v>3.7299999999999898</v>
      </c>
      <c r="D195" s="4" cm="1">
        <f t="array" aca="1" ref="D195" ca="1">INDIRECT(ADDRESS(ROW()-D$3,2))-INDIRECT(ADDRESS(ROW()-D$2,2))</f>
        <v>11.280000000000001</v>
      </c>
      <c r="E195" s="4">
        <f t="shared" ca="1" si="5"/>
        <v>224.39</v>
      </c>
      <c r="F195" s="3">
        <v>156.85999999996238</v>
      </c>
      <c r="G195" s="3">
        <v>12164.039999999999</v>
      </c>
      <c r="H195" s="3">
        <f t="shared" si="4"/>
        <v>12320.899999999961</v>
      </c>
      <c r="I195" s="3">
        <v>54</v>
      </c>
      <c r="J195" s="3"/>
      <c r="K195" s="3"/>
      <c r="L195" s="3"/>
    </row>
    <row r="196" spans="1:12">
      <c r="A196" s="3">
        <v>42571</v>
      </c>
      <c r="B196" s="3">
        <v>228.36</v>
      </c>
      <c r="C196" s="4" cm="1">
        <f t="array" aca="1" ref="C196" ca="1">INDIRECT(ADDRESS(ROW()-C$3,2))-INDIRECT(ADDRESS(ROW()-C$2,2))</f>
        <v>7.960000000000008</v>
      </c>
      <c r="D196" s="4" cm="1">
        <f t="array" aca="1" ref="D196" ca="1">INDIRECT(ADDRESS(ROW()-D$3,2))-INDIRECT(ADDRESS(ROW()-D$2,2))</f>
        <v>13.920000000000016</v>
      </c>
      <c r="E196" s="4">
        <f t="shared" ca="1" si="5"/>
        <v>223.39499999999998</v>
      </c>
      <c r="F196" s="3">
        <v>156.85999999996238</v>
      </c>
      <c r="G196" s="3">
        <v>12331.44</v>
      </c>
      <c r="H196" s="3">
        <f t="shared" si="4"/>
        <v>12488.299999999963</v>
      </c>
      <c r="I196" s="3">
        <v>54</v>
      </c>
      <c r="J196" s="3"/>
      <c r="K196" s="3"/>
      <c r="L196" s="3"/>
    </row>
    <row r="197" spans="1:12">
      <c r="A197" s="3">
        <v>42572</v>
      </c>
      <c r="B197" s="3">
        <v>220.5</v>
      </c>
      <c r="C197" s="4" cm="1">
        <f t="array" aca="1" ref="C197" ca="1">INDIRECT(ADDRESS(ROW()-C$3,2))-INDIRECT(ADDRESS(ROW()-C$2,2))</f>
        <v>-5.75</v>
      </c>
      <c r="D197" s="4" cm="1">
        <f t="array" aca="1" ref="D197" ca="1">INDIRECT(ADDRESS(ROW()-D$3,2))-INDIRECT(ADDRESS(ROW()-D$2,2))</f>
        <v>4.5600000000000023</v>
      </c>
      <c r="E197" s="4">
        <f t="shared" ca="1" si="5"/>
        <v>224.38</v>
      </c>
      <c r="F197" s="3">
        <v>12063.859999999962</v>
      </c>
      <c r="G197" s="3">
        <v>0</v>
      </c>
      <c r="H197" s="3">
        <f t="shared" si="4"/>
        <v>12063.859999999962</v>
      </c>
      <c r="I197" s="3">
        <v>0</v>
      </c>
      <c r="J197" s="3"/>
      <c r="K197" s="3"/>
      <c r="L197" s="3"/>
    </row>
    <row r="198" spans="1:12">
      <c r="A198" s="3">
        <v>42573</v>
      </c>
      <c r="B198" s="3">
        <v>222.27</v>
      </c>
      <c r="C198" s="4" cm="1">
        <f t="array" aca="1" ref="C198" ca="1">INDIRECT(ADDRESS(ROW()-C$3,2))-INDIRECT(ADDRESS(ROW()-C$2,2))</f>
        <v>-2.9899999999999807</v>
      </c>
      <c r="D198" s="4" cm="1">
        <f t="array" aca="1" ref="D198" ca="1">INDIRECT(ADDRESS(ROW()-D$3,2))-INDIRECT(ADDRESS(ROW()-D$2,2))</f>
        <v>5.4900000000000091</v>
      </c>
      <c r="E198" s="4">
        <f t="shared" ca="1" si="5"/>
        <v>223.375</v>
      </c>
      <c r="F198" s="3">
        <v>12063.859999999962</v>
      </c>
      <c r="G198" s="3">
        <v>0</v>
      </c>
      <c r="H198" s="3">
        <f t="shared" si="4"/>
        <v>12063.859999999962</v>
      </c>
      <c r="I198" s="3">
        <v>0</v>
      </c>
      <c r="J198" s="3"/>
      <c r="K198" s="3"/>
      <c r="L198" s="3"/>
    </row>
    <row r="199" spans="1:12">
      <c r="A199" s="3">
        <v>42576</v>
      </c>
      <c r="B199" s="3">
        <v>230.01</v>
      </c>
      <c r="C199" s="4" cm="1">
        <f t="array" aca="1" ref="C199" ca="1">INDIRECT(ADDRESS(ROW()-C$3,2))-INDIRECT(ADDRESS(ROW()-C$2,2))</f>
        <v>1.6499999999999773</v>
      </c>
      <c r="D199" s="4" cm="1">
        <f t="array" aca="1" ref="D199" ca="1">INDIRECT(ADDRESS(ROW()-D$3,2))-INDIRECT(ADDRESS(ROW()-D$2,2))</f>
        <v>5.2299999999999898</v>
      </c>
      <c r="E199" s="4">
        <f t="shared" ca="1" si="5"/>
        <v>223.76499999999999</v>
      </c>
      <c r="F199" s="3">
        <v>103.33999999995308</v>
      </c>
      <c r="G199" s="3">
        <v>11960.52</v>
      </c>
      <c r="H199" s="3">
        <f t="shared" si="4"/>
        <v>12063.859999999953</v>
      </c>
      <c r="I199" s="3">
        <v>52</v>
      </c>
      <c r="J199" s="3"/>
      <c r="K199" s="3"/>
      <c r="L199" s="3"/>
    </row>
    <row r="200" spans="1:12">
      <c r="A200" s="3">
        <v>42577</v>
      </c>
      <c r="B200" s="3">
        <v>229.51</v>
      </c>
      <c r="C200" s="4" cm="1">
        <f t="array" aca="1" ref="C200" ca="1">INDIRECT(ADDRESS(ROW()-C$3,2))-INDIRECT(ADDRESS(ROW()-C$2,2))</f>
        <v>9.0099999999999909</v>
      </c>
      <c r="D200" s="4" cm="1">
        <f t="array" aca="1" ref="D200" ca="1">INDIRECT(ADDRESS(ROW()-D$3,2))-INDIRECT(ADDRESS(ROW()-D$2,2))</f>
        <v>4.8599999999999852</v>
      </c>
      <c r="E200" s="4">
        <f t="shared" ca="1" si="5"/>
        <v>229.185</v>
      </c>
      <c r="F200" s="3">
        <v>103.33999999995308</v>
      </c>
      <c r="G200" s="3">
        <v>11934.52</v>
      </c>
      <c r="H200" s="3">
        <f t="shared" si="4"/>
        <v>12037.859999999953</v>
      </c>
      <c r="I200" s="3">
        <v>52</v>
      </c>
      <c r="J200" s="3"/>
      <c r="K200" s="3"/>
      <c r="L200" s="3"/>
    </row>
    <row r="201" spans="1:12">
      <c r="A201" s="3">
        <v>42578</v>
      </c>
      <c r="B201" s="3">
        <v>228.49</v>
      </c>
      <c r="C201" s="4" cm="1">
        <f t="array" aca="1" ref="C201" ca="1">INDIRECT(ADDRESS(ROW()-C$3,2))-INDIRECT(ADDRESS(ROW()-C$2,2))</f>
        <v>6.2199999999999989</v>
      </c>
      <c r="D201" s="4" cm="1">
        <f t="array" aca="1" ref="D201" ca="1">INDIRECT(ADDRESS(ROW()-D$3,2))-INDIRECT(ADDRESS(ROW()-D$2,2))</f>
        <v>5.960000000000008</v>
      </c>
      <c r="E201" s="4">
        <f t="shared" ca="1" si="5"/>
        <v>225.005</v>
      </c>
      <c r="F201" s="3">
        <v>103.33999999995308</v>
      </c>
      <c r="G201" s="3">
        <v>11881.48</v>
      </c>
      <c r="H201" s="3">
        <f t="shared" si="4"/>
        <v>11984.819999999952</v>
      </c>
      <c r="I201" s="3">
        <v>52</v>
      </c>
      <c r="J201" s="3"/>
      <c r="K201" s="3"/>
      <c r="L201" s="3"/>
    </row>
    <row r="202" spans="1:12">
      <c r="A202" s="3">
        <v>42579</v>
      </c>
      <c r="B202" s="3">
        <v>230.61</v>
      </c>
      <c r="C202" s="4" cm="1">
        <f t="array" aca="1" ref="C202" ca="1">INDIRECT(ADDRESS(ROW()-C$3,2))-INDIRECT(ADDRESS(ROW()-C$2,2))</f>
        <v>0.60000000000002274</v>
      </c>
      <c r="D202" s="4" cm="1">
        <f t="array" aca="1" ref="D202" ca="1">INDIRECT(ADDRESS(ROW()-D$3,2))-INDIRECT(ADDRESS(ROW()-D$2,2))</f>
        <v>9.0800000000000125</v>
      </c>
      <c r="E202" s="4">
        <f t="shared" ca="1" si="5"/>
        <v>225.38</v>
      </c>
      <c r="F202" s="3">
        <v>103.33999999995308</v>
      </c>
      <c r="G202" s="3">
        <v>11991.720000000001</v>
      </c>
      <c r="H202" s="3">
        <f t="shared" si="4"/>
        <v>12095.059999999954</v>
      </c>
      <c r="I202" s="3">
        <v>52</v>
      </c>
      <c r="J202" s="3"/>
      <c r="K202" s="3"/>
      <c r="L202" s="3"/>
    </row>
    <row r="203" spans="1:12">
      <c r="A203" s="3">
        <v>42580</v>
      </c>
      <c r="B203" s="3">
        <v>234.79</v>
      </c>
      <c r="C203" s="4" cm="1">
        <f t="array" aca="1" ref="C203" ca="1">INDIRECT(ADDRESS(ROW()-C$3,2))-INDIRECT(ADDRESS(ROW()-C$2,2))</f>
        <v>5.2800000000000011</v>
      </c>
      <c r="D203" s="4" cm="1">
        <f t="array" aca="1" ref="D203" ca="1">INDIRECT(ADDRESS(ROW()-D$3,2))-INDIRECT(ADDRESS(ROW()-D$2,2))</f>
        <v>14.389999999999986</v>
      </c>
      <c r="E203" s="4">
        <f t="shared" ca="1" si="5"/>
        <v>230.31</v>
      </c>
      <c r="F203" s="3">
        <v>103.33999999995308</v>
      </c>
      <c r="G203" s="3">
        <v>12209.08</v>
      </c>
      <c r="H203" s="3">
        <f t="shared" si="4"/>
        <v>12312.419999999953</v>
      </c>
      <c r="I203" s="3">
        <v>52</v>
      </c>
      <c r="J203" s="3"/>
      <c r="K203" s="3"/>
      <c r="L203" s="3"/>
    </row>
    <row r="204" spans="1:12">
      <c r="A204" s="3">
        <v>42583</v>
      </c>
      <c r="B204" s="3">
        <v>230.01</v>
      </c>
      <c r="C204" s="4" cm="1">
        <f t="array" aca="1" ref="C204" ca="1">INDIRECT(ADDRESS(ROW()-C$3,2))-INDIRECT(ADDRESS(ROW()-C$2,2))</f>
        <v>1.5199999999999818</v>
      </c>
      <c r="D204" s="4" cm="1">
        <f t="array" aca="1" ref="D204" ca="1">INDIRECT(ADDRESS(ROW()-D$3,2))-INDIRECT(ADDRESS(ROW()-D$2,2))</f>
        <v>3.7599999999999909</v>
      </c>
      <c r="E204" s="4">
        <f t="shared" ca="1" si="5"/>
        <v>232.14999999999998</v>
      </c>
      <c r="F204" s="3">
        <v>103.33999999995308</v>
      </c>
      <c r="G204" s="3">
        <v>11960.52</v>
      </c>
      <c r="H204" s="3">
        <f t="shared" si="4"/>
        <v>12063.859999999953</v>
      </c>
      <c r="I204" s="3">
        <v>52</v>
      </c>
      <c r="J204" s="3"/>
      <c r="K204" s="3"/>
      <c r="L204" s="3"/>
    </row>
    <row r="205" spans="1:12">
      <c r="A205" s="3">
        <v>42584</v>
      </c>
      <c r="B205" s="3">
        <v>227.2</v>
      </c>
      <c r="C205" s="4" cm="1">
        <f t="array" aca="1" ref="C205" ca="1">INDIRECT(ADDRESS(ROW()-C$3,2))-INDIRECT(ADDRESS(ROW()-C$2,2))</f>
        <v>-3.410000000000025</v>
      </c>
      <c r="D205" s="4" cm="1">
        <f t="array" aca="1" ref="D205" ca="1">INDIRECT(ADDRESS(ROW()-D$3,2))-INDIRECT(ADDRESS(ROW()-D$2,2))</f>
        <v>1.9399999999999977</v>
      </c>
      <c r="E205" s="4">
        <f t="shared" ca="1" si="5"/>
        <v>229.25</v>
      </c>
      <c r="F205" s="3">
        <v>11917.739999999952</v>
      </c>
      <c r="G205" s="3">
        <v>0</v>
      </c>
      <c r="H205" s="3">
        <f t="shared" si="4"/>
        <v>11917.739999999952</v>
      </c>
      <c r="I205" s="3">
        <v>0</v>
      </c>
      <c r="J205" s="3"/>
      <c r="K205" s="3"/>
      <c r="L205" s="3"/>
    </row>
    <row r="206" spans="1:12">
      <c r="A206" s="3">
        <v>42585</v>
      </c>
      <c r="B206" s="3">
        <v>225.79</v>
      </c>
      <c r="C206" s="4" cm="1">
        <f t="array" aca="1" ref="C206" ca="1">INDIRECT(ADDRESS(ROW()-C$3,2))-INDIRECT(ADDRESS(ROW()-C$2,2))</f>
        <v>-9</v>
      </c>
      <c r="D206" s="4" cm="1">
        <f t="array" aca="1" ref="D206" ca="1">INDIRECT(ADDRESS(ROW()-D$3,2))-INDIRECT(ADDRESS(ROW()-D$2,2))</f>
        <v>-2.5700000000000216</v>
      </c>
      <c r="E206" s="4">
        <f t="shared" ca="1" si="5"/>
        <v>228.905</v>
      </c>
      <c r="F206" s="3">
        <v>11917.739999999952</v>
      </c>
      <c r="G206" s="3">
        <v>0</v>
      </c>
      <c r="H206" s="3">
        <f t="shared" si="4"/>
        <v>11917.739999999952</v>
      </c>
      <c r="I206" s="3">
        <v>0</v>
      </c>
      <c r="J206" s="3"/>
      <c r="K206" s="3"/>
      <c r="L206" s="3"/>
    </row>
    <row r="207" spans="1:12">
      <c r="A207" s="3">
        <v>42586</v>
      </c>
      <c r="B207" s="3">
        <v>230.61</v>
      </c>
      <c r="C207" s="4" cm="1">
        <f t="array" aca="1" ref="C207" ca="1">INDIRECT(ADDRESS(ROW()-C$3,2))-INDIRECT(ADDRESS(ROW()-C$2,2))</f>
        <v>0.60000000000002274</v>
      </c>
      <c r="D207" s="4" cm="1">
        <f t="array" aca="1" ref="D207" ca="1">INDIRECT(ADDRESS(ROW()-D$3,2))-INDIRECT(ADDRESS(ROW()-D$2,2))</f>
        <v>10.110000000000014</v>
      </c>
      <c r="E207" s="4">
        <f t="shared" ca="1" si="5"/>
        <v>230.29</v>
      </c>
      <c r="F207" s="3">
        <v>156.6299999999469</v>
      </c>
      <c r="G207" s="3">
        <v>11761.11</v>
      </c>
      <c r="H207" s="3">
        <f t="shared" si="4"/>
        <v>11917.739999999947</v>
      </c>
      <c r="I207" s="3">
        <v>51</v>
      </c>
      <c r="J207" s="3"/>
      <c r="K207" s="3"/>
      <c r="L207" s="3"/>
    </row>
    <row r="208" spans="1:12">
      <c r="A208" s="3">
        <v>42587</v>
      </c>
      <c r="B208" s="3">
        <v>230.03</v>
      </c>
      <c r="C208" s="4" cm="1">
        <f t="array" aca="1" ref="C208" ca="1">INDIRECT(ADDRESS(ROW()-C$3,2))-INDIRECT(ADDRESS(ROW()-C$2,2))</f>
        <v>2.8300000000000125</v>
      </c>
      <c r="D208" s="4" cm="1">
        <f t="array" aca="1" ref="D208" ca="1">INDIRECT(ADDRESS(ROW()-D$3,2))-INDIRECT(ADDRESS(ROW()-D$2,2))</f>
        <v>7.7599999999999909</v>
      </c>
      <c r="E208" s="4">
        <f t="shared" ca="1" si="5"/>
        <v>230.31</v>
      </c>
      <c r="F208" s="3">
        <v>156.6299999999469</v>
      </c>
      <c r="G208" s="3">
        <v>11731.53</v>
      </c>
      <c r="H208" s="3">
        <f t="shared" si="4"/>
        <v>11888.159999999947</v>
      </c>
      <c r="I208" s="3">
        <v>51</v>
      </c>
      <c r="J208" s="3"/>
      <c r="K208" s="3"/>
      <c r="L208" s="3"/>
    </row>
    <row r="209" spans="1:12">
      <c r="A209" s="3">
        <v>42590</v>
      </c>
      <c r="B209" s="3">
        <v>226.16</v>
      </c>
      <c r="C209" s="4" cm="1">
        <f t="array" aca="1" ref="C209" ca="1">INDIRECT(ADDRESS(ROW()-C$3,2))-INDIRECT(ADDRESS(ROW()-C$2,2))</f>
        <v>0.37000000000000455</v>
      </c>
      <c r="D209" s="4" cm="1">
        <f t="array" aca="1" ref="D209" ca="1">INDIRECT(ADDRESS(ROW()-D$3,2))-INDIRECT(ADDRESS(ROW()-D$2,2))</f>
        <v>-3.8499999999999943</v>
      </c>
      <c r="E209" s="4">
        <f t="shared" ca="1" si="5"/>
        <v>228.61500000000001</v>
      </c>
      <c r="F209" s="3">
        <v>156.6299999999469</v>
      </c>
      <c r="G209" s="3">
        <v>11534.16</v>
      </c>
      <c r="H209" s="3">
        <f t="shared" si="4"/>
        <v>11690.789999999946</v>
      </c>
      <c r="I209" s="3">
        <v>51</v>
      </c>
      <c r="J209" s="3"/>
      <c r="K209" s="3"/>
      <c r="L209" s="3"/>
    </row>
    <row r="210" spans="1:12">
      <c r="A210" s="3">
        <v>42591</v>
      </c>
      <c r="B210" s="3">
        <v>229.08</v>
      </c>
      <c r="C210" s="4" cm="1">
        <f t="array" aca="1" ref="C210" ca="1">INDIRECT(ADDRESS(ROW()-C$3,2))-INDIRECT(ADDRESS(ROW()-C$2,2))</f>
        <v>-1.5300000000000011</v>
      </c>
      <c r="D210" s="4" cm="1">
        <f t="array" aca="1" ref="D210" ca="1">INDIRECT(ADDRESS(ROW()-D$3,2))-INDIRECT(ADDRESS(ROW()-D$2,2))</f>
        <v>-0.4299999999999784</v>
      </c>
      <c r="E210" s="4">
        <f t="shared" ca="1" si="5"/>
        <v>225.97499999999999</v>
      </c>
      <c r="F210" s="3">
        <v>11839.709999999946</v>
      </c>
      <c r="G210" s="3">
        <v>0</v>
      </c>
      <c r="H210" s="3">
        <f t="shared" si="4"/>
        <v>11839.709999999946</v>
      </c>
      <c r="I210" s="3">
        <v>0</v>
      </c>
      <c r="J210" s="3"/>
      <c r="K210" s="3"/>
      <c r="L210" s="3"/>
    </row>
    <row r="211" spans="1:12">
      <c r="A211" s="3">
        <v>42592</v>
      </c>
      <c r="B211" s="3">
        <v>225.65</v>
      </c>
      <c r="C211" s="4" cm="1">
        <f t="array" aca="1" ref="C211" ca="1">INDIRECT(ADDRESS(ROW()-C$3,2))-INDIRECT(ADDRESS(ROW()-C$2,2))</f>
        <v>-4.3799999999999955</v>
      </c>
      <c r="D211" s="4" cm="1">
        <f t="array" aca="1" ref="D211" ca="1">INDIRECT(ADDRESS(ROW()-D$3,2))-INDIRECT(ADDRESS(ROW()-D$2,2))</f>
        <v>-2.8400000000000034</v>
      </c>
      <c r="E211" s="4">
        <f t="shared" ca="1" si="5"/>
        <v>229.84500000000003</v>
      </c>
      <c r="F211" s="3">
        <v>11839.709999999946</v>
      </c>
      <c r="G211" s="3">
        <v>0</v>
      </c>
      <c r="H211" s="3">
        <f t="shared" si="4"/>
        <v>11839.709999999946</v>
      </c>
      <c r="I211" s="3">
        <v>0</v>
      </c>
      <c r="J211" s="3"/>
      <c r="K211" s="3"/>
      <c r="L211" s="3"/>
    </row>
    <row r="212" spans="1:12">
      <c r="A212" s="3">
        <v>42593</v>
      </c>
      <c r="B212" s="3">
        <v>224.91</v>
      </c>
      <c r="C212" s="4" cm="1">
        <f t="array" aca="1" ref="C212" ca="1">INDIRECT(ADDRESS(ROW()-C$3,2))-INDIRECT(ADDRESS(ROW()-C$2,2))</f>
        <v>-1.25</v>
      </c>
      <c r="D212" s="4" cm="1">
        <f t="array" aca="1" ref="D212" ca="1">INDIRECT(ADDRESS(ROW()-D$3,2))-INDIRECT(ADDRESS(ROW()-D$2,2))</f>
        <v>-5.7000000000000171</v>
      </c>
      <c r="E212" s="4">
        <f t="shared" ca="1" si="5"/>
        <v>227.84</v>
      </c>
      <c r="F212" s="3">
        <v>11839.709999999946</v>
      </c>
      <c r="G212" s="3">
        <v>0</v>
      </c>
      <c r="H212" s="3">
        <f t="shared" si="4"/>
        <v>11839.709999999946</v>
      </c>
      <c r="I212" s="3">
        <v>0</v>
      </c>
      <c r="J212" s="3"/>
      <c r="K212" s="3"/>
      <c r="L212" s="3"/>
    </row>
    <row r="213" spans="1:12">
      <c r="A213" s="3">
        <v>42594</v>
      </c>
      <c r="B213" s="3">
        <v>225.61</v>
      </c>
      <c r="C213" s="4" cm="1">
        <f t="array" aca="1" ref="C213" ca="1">INDIRECT(ADDRESS(ROW()-C$3,2))-INDIRECT(ADDRESS(ROW()-C$2,2))</f>
        <v>-3.4699999999999989</v>
      </c>
      <c r="D213" s="4" cm="1">
        <f t="array" aca="1" ref="D213" ca="1">INDIRECT(ADDRESS(ROW()-D$3,2))-INDIRECT(ADDRESS(ROW()-D$2,2))</f>
        <v>-9.1799999999999784</v>
      </c>
      <c r="E213" s="4">
        <f t="shared" ca="1" si="5"/>
        <v>225.535</v>
      </c>
      <c r="F213" s="3">
        <v>11839.709999999946</v>
      </c>
      <c r="G213" s="3">
        <v>0</v>
      </c>
      <c r="H213" s="3">
        <f t="shared" si="4"/>
        <v>11839.709999999946</v>
      </c>
      <c r="I213" s="3">
        <v>0</v>
      </c>
      <c r="J213" s="3"/>
      <c r="K213" s="3"/>
      <c r="L213" s="3"/>
    </row>
    <row r="214" spans="1:12">
      <c r="A214" s="3">
        <v>42597</v>
      </c>
      <c r="B214" s="3">
        <v>225.59</v>
      </c>
      <c r="C214" s="4" cm="1">
        <f t="array" aca="1" ref="C214" ca="1">INDIRECT(ADDRESS(ROW()-C$3,2))-INDIRECT(ADDRESS(ROW()-C$2,2))</f>
        <v>-6.0000000000002274E-2</v>
      </c>
      <c r="D214" s="4" cm="1">
        <f t="array" aca="1" ref="D214" ca="1">INDIRECT(ADDRESS(ROW()-D$3,2))-INDIRECT(ADDRESS(ROW()-D$2,2))</f>
        <v>-4.4199999999999875</v>
      </c>
      <c r="E214" s="4">
        <f t="shared" ca="1" si="5"/>
        <v>227.34500000000003</v>
      </c>
      <c r="F214" s="3">
        <v>11839.709999999946</v>
      </c>
      <c r="G214" s="3">
        <v>0</v>
      </c>
      <c r="H214" s="3">
        <f t="shared" si="4"/>
        <v>11839.709999999946</v>
      </c>
      <c r="I214" s="3">
        <v>0</v>
      </c>
      <c r="J214" s="3"/>
      <c r="K214" s="3"/>
      <c r="L214" s="3"/>
    </row>
    <row r="215" spans="1:12">
      <c r="A215" s="3">
        <v>42598</v>
      </c>
      <c r="B215" s="3">
        <v>223.61</v>
      </c>
      <c r="C215" s="4" cm="1">
        <f t="array" aca="1" ref="C215" ca="1">INDIRECT(ADDRESS(ROW()-C$3,2))-INDIRECT(ADDRESS(ROW()-C$2,2))</f>
        <v>-1.2999999999999829</v>
      </c>
      <c r="D215" s="4" cm="1">
        <f t="array" aca="1" ref="D215" ca="1">INDIRECT(ADDRESS(ROW()-D$3,2))-INDIRECT(ADDRESS(ROW()-D$2,2))</f>
        <v>-3.589999999999975</v>
      </c>
      <c r="E215" s="4">
        <f t="shared" ca="1" si="5"/>
        <v>225.62</v>
      </c>
      <c r="F215" s="3">
        <v>11839.709999999946</v>
      </c>
      <c r="G215" s="3">
        <v>0</v>
      </c>
      <c r="H215" s="3">
        <f t="shared" ref="H215:H278" si="6">G215+F215</f>
        <v>11839.709999999946</v>
      </c>
      <c r="I215" s="3">
        <v>0</v>
      </c>
      <c r="J215" s="3"/>
      <c r="K215" s="3"/>
      <c r="L215" s="3"/>
    </row>
    <row r="216" spans="1:12">
      <c r="A216" s="3">
        <v>42599</v>
      </c>
      <c r="B216" s="3">
        <v>223.24</v>
      </c>
      <c r="C216" s="4" cm="1">
        <f t="array" aca="1" ref="C216" ca="1">INDIRECT(ADDRESS(ROW()-C$3,2))-INDIRECT(ADDRESS(ROW()-C$2,2))</f>
        <v>-2.3700000000000045</v>
      </c>
      <c r="D216" s="4" cm="1">
        <f t="array" aca="1" ref="D216" ca="1">INDIRECT(ADDRESS(ROW()-D$3,2))-INDIRECT(ADDRESS(ROW()-D$2,2))</f>
        <v>-2.5499999999999829</v>
      </c>
      <c r="E216" s="4">
        <f t="shared" ref="E216:E279" ca="1" si="7">AVERAGE(INDIRECT(ADDRESS(ROW()-E$3,2)),INDIRECT(ADDRESS(ROW()-E$2,2)))</f>
        <v>224.26</v>
      </c>
      <c r="F216" s="3">
        <v>11839.709999999946</v>
      </c>
      <c r="G216" s="3">
        <v>0</v>
      </c>
      <c r="H216" s="3">
        <f t="shared" si="6"/>
        <v>11839.709999999946</v>
      </c>
      <c r="I216" s="3">
        <v>0</v>
      </c>
      <c r="J216" s="3"/>
      <c r="K216" s="3"/>
      <c r="L216" s="3"/>
    </row>
    <row r="217" spans="1:12">
      <c r="A217" s="3">
        <v>42600</v>
      </c>
      <c r="B217" s="3">
        <v>223.51</v>
      </c>
      <c r="C217" s="4" cm="1">
        <f t="array" aca="1" ref="C217" ca="1">INDIRECT(ADDRESS(ROW()-C$3,2))-INDIRECT(ADDRESS(ROW()-C$2,2))</f>
        <v>-2.0800000000000125</v>
      </c>
      <c r="D217" s="4" cm="1">
        <f t="array" aca="1" ref="D217" ca="1">INDIRECT(ADDRESS(ROW()-D$3,2))-INDIRECT(ADDRESS(ROW()-D$2,2))</f>
        <v>-7.1000000000000227</v>
      </c>
      <c r="E217" s="4">
        <f t="shared" ca="1" si="7"/>
        <v>224.42500000000001</v>
      </c>
      <c r="F217" s="3">
        <v>11839.709999999946</v>
      </c>
      <c r="G217" s="3">
        <v>0</v>
      </c>
      <c r="H217" s="3">
        <f t="shared" si="6"/>
        <v>11839.709999999946</v>
      </c>
      <c r="I217" s="3">
        <v>0</v>
      </c>
      <c r="J217" s="3"/>
      <c r="K217" s="3"/>
      <c r="L217" s="3"/>
    </row>
    <row r="218" spans="1:12">
      <c r="A218" s="3">
        <v>42601</v>
      </c>
      <c r="B218" s="3">
        <v>225</v>
      </c>
      <c r="C218" s="4" cm="1">
        <f t="array" aca="1" ref="C218" ca="1">INDIRECT(ADDRESS(ROW()-C$3,2))-INDIRECT(ADDRESS(ROW()-C$2,2))</f>
        <v>1.3899999999999864</v>
      </c>
      <c r="D218" s="4" cm="1">
        <f t="array" aca="1" ref="D218" ca="1">INDIRECT(ADDRESS(ROW()-D$3,2))-INDIRECT(ADDRESS(ROW()-D$2,2))</f>
        <v>-5.0300000000000011</v>
      </c>
      <c r="E218" s="4">
        <f t="shared" ca="1" si="7"/>
        <v>224.55</v>
      </c>
      <c r="F218" s="3">
        <v>139.70999999994638</v>
      </c>
      <c r="G218" s="3">
        <v>11700</v>
      </c>
      <c r="H218" s="3">
        <f t="shared" si="6"/>
        <v>11839.709999999946</v>
      </c>
      <c r="I218" s="3">
        <v>52</v>
      </c>
      <c r="J218" s="3"/>
      <c r="K218" s="3"/>
      <c r="L218" s="3"/>
    </row>
    <row r="219" spans="1:12">
      <c r="A219" s="3">
        <v>42604</v>
      </c>
      <c r="B219" s="3">
        <v>222.93</v>
      </c>
      <c r="C219" s="4" cm="1">
        <f t="array" aca="1" ref="C219" ca="1">INDIRECT(ADDRESS(ROW()-C$3,2))-INDIRECT(ADDRESS(ROW()-C$2,2))</f>
        <v>-0.31000000000000227</v>
      </c>
      <c r="D219" s="4" cm="1">
        <f t="array" aca="1" ref="D219" ca="1">INDIRECT(ADDRESS(ROW()-D$3,2))-INDIRECT(ADDRESS(ROW()-D$2,2))</f>
        <v>-3.2299999999999898</v>
      </c>
      <c r="E219" s="4">
        <f t="shared" ca="1" si="7"/>
        <v>224.30500000000001</v>
      </c>
      <c r="F219" s="3">
        <v>11732.069999999947</v>
      </c>
      <c r="G219" s="3">
        <v>0</v>
      </c>
      <c r="H219" s="3">
        <f t="shared" si="6"/>
        <v>11732.069999999947</v>
      </c>
      <c r="I219" s="3">
        <v>0</v>
      </c>
      <c r="J219" s="3"/>
      <c r="K219" s="3"/>
      <c r="L219" s="3"/>
    </row>
    <row r="220" spans="1:12">
      <c r="A220" s="3">
        <v>42605</v>
      </c>
      <c r="B220" s="3">
        <v>224.84</v>
      </c>
      <c r="C220" s="4" cm="1">
        <f t="array" aca="1" ref="C220" ca="1">INDIRECT(ADDRESS(ROW()-C$3,2))-INDIRECT(ADDRESS(ROW()-C$2,2))</f>
        <v>1.3300000000000125</v>
      </c>
      <c r="D220" s="4" cm="1">
        <f t="array" aca="1" ref="D220" ca="1">INDIRECT(ADDRESS(ROW()-D$3,2))-INDIRECT(ADDRESS(ROW()-D$2,2))</f>
        <v>-4.2400000000000091</v>
      </c>
      <c r="E220" s="4">
        <f t="shared" ca="1" si="7"/>
        <v>223.08500000000001</v>
      </c>
      <c r="F220" s="3">
        <v>40.389999999940898</v>
      </c>
      <c r="G220" s="3">
        <v>11691.68</v>
      </c>
      <c r="H220" s="3">
        <f t="shared" si="6"/>
        <v>11732.069999999942</v>
      </c>
      <c r="I220" s="3">
        <v>52</v>
      </c>
      <c r="J220" s="3"/>
      <c r="K220" s="3"/>
      <c r="L220" s="3"/>
    </row>
    <row r="221" spans="1:12">
      <c r="A221" s="3">
        <v>42606</v>
      </c>
      <c r="B221" s="3">
        <v>222.62</v>
      </c>
      <c r="C221" s="4" cm="1">
        <f t="array" aca="1" ref="C221" ca="1">INDIRECT(ADDRESS(ROW()-C$3,2))-INDIRECT(ADDRESS(ROW()-C$2,2))</f>
        <v>-2.3799999999999955</v>
      </c>
      <c r="D221" s="4" cm="1">
        <f t="array" aca="1" ref="D221" ca="1">INDIRECT(ADDRESS(ROW()-D$3,2))-INDIRECT(ADDRESS(ROW()-D$2,2))</f>
        <v>-3.0300000000000011</v>
      </c>
      <c r="E221" s="4">
        <f t="shared" ca="1" si="7"/>
        <v>224.17500000000001</v>
      </c>
      <c r="F221" s="3">
        <v>11616.629999999941</v>
      </c>
      <c r="G221" s="3">
        <v>0</v>
      </c>
      <c r="H221" s="3">
        <f t="shared" si="6"/>
        <v>11616.629999999941</v>
      </c>
      <c r="I221" s="3">
        <v>0</v>
      </c>
      <c r="J221" s="3"/>
      <c r="K221" s="3"/>
      <c r="L221" s="3"/>
    </row>
    <row r="222" spans="1:12">
      <c r="A222" s="3">
        <v>42607</v>
      </c>
      <c r="B222" s="3">
        <v>220.96</v>
      </c>
      <c r="C222" s="4" cm="1">
        <f t="array" aca="1" ref="C222" ca="1">INDIRECT(ADDRESS(ROW()-C$3,2))-INDIRECT(ADDRESS(ROW()-C$2,2))</f>
        <v>-1.9699999999999989</v>
      </c>
      <c r="D222" s="4" cm="1">
        <f t="array" aca="1" ref="D222" ca="1">INDIRECT(ADDRESS(ROW()-D$3,2))-INDIRECT(ADDRESS(ROW()-D$2,2))</f>
        <v>-3.9499999999999886</v>
      </c>
      <c r="E222" s="4">
        <f t="shared" ca="1" si="7"/>
        <v>223.81</v>
      </c>
      <c r="F222" s="3">
        <v>11616.629999999941</v>
      </c>
      <c r="G222" s="3">
        <v>0</v>
      </c>
      <c r="H222" s="3">
        <f t="shared" si="6"/>
        <v>11616.629999999941</v>
      </c>
      <c r="I222" s="3">
        <v>0</v>
      </c>
      <c r="J222" s="3"/>
      <c r="K222" s="3"/>
      <c r="L222" s="3"/>
    </row>
    <row r="223" spans="1:12">
      <c r="A223" s="3">
        <v>42608</v>
      </c>
      <c r="B223" s="3">
        <v>219.99</v>
      </c>
      <c r="C223" s="4" cm="1">
        <f t="array" aca="1" ref="C223" ca="1">INDIRECT(ADDRESS(ROW()-C$3,2))-INDIRECT(ADDRESS(ROW()-C$2,2))</f>
        <v>-4.8499999999999943</v>
      </c>
      <c r="D223" s="4" cm="1">
        <f t="array" aca="1" ref="D223" ca="1">INDIRECT(ADDRESS(ROW()-D$3,2))-INDIRECT(ADDRESS(ROW()-D$2,2))</f>
        <v>-5.6200000000000045</v>
      </c>
      <c r="E223" s="4">
        <f t="shared" ca="1" si="7"/>
        <v>221.94499999999999</v>
      </c>
      <c r="F223" s="3">
        <v>11616.629999999941</v>
      </c>
      <c r="G223" s="3">
        <v>0</v>
      </c>
      <c r="H223" s="3">
        <f t="shared" si="6"/>
        <v>11616.629999999941</v>
      </c>
      <c r="I223" s="3">
        <v>0</v>
      </c>
      <c r="J223" s="3"/>
      <c r="K223" s="3"/>
      <c r="L223" s="3"/>
    </row>
    <row r="224" spans="1:12">
      <c r="A224" s="3">
        <v>42611</v>
      </c>
      <c r="B224" s="3">
        <v>215.2</v>
      </c>
      <c r="C224" s="4" cm="1">
        <f t="array" aca="1" ref="C224" ca="1">INDIRECT(ADDRESS(ROW()-C$3,2))-INDIRECT(ADDRESS(ROW()-C$2,2))</f>
        <v>-7.4200000000000159</v>
      </c>
      <c r="D224" s="4" cm="1">
        <f t="array" aca="1" ref="D224" ca="1">INDIRECT(ADDRESS(ROW()-D$3,2))-INDIRECT(ADDRESS(ROW()-D$2,2))</f>
        <v>-10.390000000000015</v>
      </c>
      <c r="E224" s="4">
        <f t="shared" ca="1" si="7"/>
        <v>222.41500000000002</v>
      </c>
      <c r="F224" s="3">
        <v>11616.629999999941</v>
      </c>
      <c r="G224" s="3">
        <v>0</v>
      </c>
      <c r="H224" s="3">
        <f t="shared" si="6"/>
        <v>11616.629999999941</v>
      </c>
      <c r="I224" s="3">
        <v>0</v>
      </c>
      <c r="J224" s="3"/>
      <c r="K224" s="3"/>
      <c r="L224" s="3"/>
    </row>
    <row r="225" spans="1:12">
      <c r="A225" s="3">
        <v>42612</v>
      </c>
      <c r="B225" s="3">
        <v>211.34</v>
      </c>
      <c r="C225" s="4" cm="1">
        <f t="array" aca="1" ref="C225" ca="1">INDIRECT(ADDRESS(ROW()-C$3,2))-INDIRECT(ADDRESS(ROW()-C$2,2))</f>
        <v>-9.6200000000000045</v>
      </c>
      <c r="D225" s="4" cm="1">
        <f t="array" aca="1" ref="D225" ca="1">INDIRECT(ADDRESS(ROW()-D$3,2))-INDIRECT(ADDRESS(ROW()-D$2,2))</f>
        <v>-12.27000000000001</v>
      </c>
      <c r="E225" s="4">
        <f t="shared" ca="1" si="7"/>
        <v>218.91</v>
      </c>
      <c r="F225" s="3">
        <v>11616.629999999941</v>
      </c>
      <c r="G225" s="3">
        <v>0</v>
      </c>
      <c r="H225" s="3">
        <f t="shared" si="6"/>
        <v>11616.629999999941</v>
      </c>
      <c r="I225" s="3">
        <v>0</v>
      </c>
      <c r="J225" s="3"/>
      <c r="K225" s="3"/>
      <c r="L225" s="3"/>
    </row>
    <row r="226" spans="1:12">
      <c r="A226" s="3">
        <v>42613</v>
      </c>
      <c r="B226" s="3">
        <v>212.01</v>
      </c>
      <c r="C226" s="4" cm="1">
        <f t="array" aca="1" ref="C226" ca="1">INDIRECT(ADDRESS(ROW()-C$3,2))-INDIRECT(ADDRESS(ROW()-C$2,2))</f>
        <v>-7.9800000000000182</v>
      </c>
      <c r="D226" s="4" cm="1">
        <f t="array" aca="1" ref="D226" ca="1">INDIRECT(ADDRESS(ROW()-D$3,2))-INDIRECT(ADDRESS(ROW()-D$2,2))</f>
        <v>-11.230000000000018</v>
      </c>
      <c r="E226" s="4">
        <f t="shared" ca="1" si="7"/>
        <v>216.15</v>
      </c>
      <c r="F226" s="3">
        <v>11616.629999999941</v>
      </c>
      <c r="G226" s="3">
        <v>0</v>
      </c>
      <c r="H226" s="3">
        <f t="shared" si="6"/>
        <v>11616.629999999941</v>
      </c>
      <c r="I226" s="3">
        <v>0</v>
      </c>
      <c r="J226" s="3"/>
      <c r="K226" s="3"/>
      <c r="L226" s="3"/>
    </row>
    <row r="227" spans="1:12">
      <c r="A227" s="3">
        <v>42614</v>
      </c>
      <c r="B227" s="3">
        <v>200.77</v>
      </c>
      <c r="C227" s="4" cm="1">
        <f t="array" aca="1" ref="C227" ca="1">INDIRECT(ADDRESS(ROW()-C$3,2))-INDIRECT(ADDRESS(ROW()-C$2,2))</f>
        <v>-14.429999999999978</v>
      </c>
      <c r="D227" s="4" cm="1">
        <f t="array" aca="1" ref="D227" ca="1">INDIRECT(ADDRESS(ROW()-D$3,2))-INDIRECT(ADDRESS(ROW()-D$2,2))</f>
        <v>-22.739999999999981</v>
      </c>
      <c r="E227" s="4">
        <f t="shared" ca="1" si="7"/>
        <v>216</v>
      </c>
      <c r="F227" s="3">
        <v>11616.629999999941</v>
      </c>
      <c r="G227" s="3">
        <v>0</v>
      </c>
      <c r="H227" s="3">
        <f t="shared" si="6"/>
        <v>11616.629999999941</v>
      </c>
      <c r="I227" s="3">
        <v>0</v>
      </c>
      <c r="J227" s="3"/>
      <c r="K227" s="3"/>
      <c r="L227" s="3"/>
    </row>
    <row r="228" spans="1:12">
      <c r="A228" s="3">
        <v>42615</v>
      </c>
      <c r="B228" s="3">
        <v>197.78</v>
      </c>
      <c r="C228" s="4" cm="1">
        <f t="array" aca="1" ref="C228" ca="1">INDIRECT(ADDRESS(ROW()-C$3,2))-INDIRECT(ADDRESS(ROW()-C$2,2))</f>
        <v>-13.560000000000002</v>
      </c>
      <c r="D228" s="4" cm="1">
        <f t="array" aca="1" ref="D228" ca="1">INDIRECT(ADDRESS(ROW()-D$3,2))-INDIRECT(ADDRESS(ROW()-D$2,2))</f>
        <v>-27.22</v>
      </c>
      <c r="E228" s="4">
        <f t="shared" ca="1" si="7"/>
        <v>207.98500000000001</v>
      </c>
      <c r="F228" s="3">
        <v>11616.629999999941</v>
      </c>
      <c r="G228" s="3">
        <v>0</v>
      </c>
      <c r="H228" s="3">
        <f t="shared" si="6"/>
        <v>11616.629999999941</v>
      </c>
      <c r="I228" s="3">
        <v>0</v>
      </c>
      <c r="J228" s="3"/>
      <c r="K228" s="3"/>
      <c r="L228" s="3"/>
    </row>
    <row r="229" spans="1:12">
      <c r="A229" s="3">
        <v>42619</v>
      </c>
      <c r="B229" s="3">
        <v>202.83</v>
      </c>
      <c r="C229" s="4" cm="1">
        <f t="array" aca="1" ref="C229" ca="1">INDIRECT(ADDRESS(ROW()-C$3,2))-INDIRECT(ADDRESS(ROW()-C$2,2))</f>
        <v>-9.1799999999999784</v>
      </c>
      <c r="D229" s="4" cm="1">
        <f t="array" aca="1" ref="D229" ca="1">INDIRECT(ADDRESS(ROW()-D$3,2))-INDIRECT(ADDRESS(ROW()-D$2,2))</f>
        <v>-20.099999999999994</v>
      </c>
      <c r="E229" s="4">
        <f t="shared" ca="1" si="7"/>
        <v>204.56</v>
      </c>
      <c r="F229" s="3">
        <v>11616.629999999941</v>
      </c>
      <c r="G229" s="3">
        <v>0</v>
      </c>
      <c r="H229" s="3">
        <f t="shared" si="6"/>
        <v>11616.629999999941</v>
      </c>
      <c r="I229" s="3">
        <v>0</v>
      </c>
      <c r="J229" s="3"/>
      <c r="K229" s="3"/>
      <c r="L229" s="3"/>
    </row>
    <row r="230" spans="1:12">
      <c r="A230" s="3">
        <v>42620</v>
      </c>
      <c r="B230" s="3">
        <v>201.71</v>
      </c>
      <c r="C230" s="4" cm="1">
        <f t="array" aca="1" ref="C230" ca="1">INDIRECT(ADDRESS(ROW()-C$3,2))-INDIRECT(ADDRESS(ROW()-C$2,2))</f>
        <v>0.93999999999999773</v>
      </c>
      <c r="D230" s="4" cm="1">
        <f t="array" aca="1" ref="D230" ca="1">INDIRECT(ADDRESS(ROW()-D$3,2))-INDIRECT(ADDRESS(ROW()-D$2,2))</f>
        <v>-23.129999999999995</v>
      </c>
      <c r="E230" s="4">
        <f t="shared" ca="1" si="7"/>
        <v>207.42000000000002</v>
      </c>
      <c r="F230" s="3">
        <v>119.1599999999535</v>
      </c>
      <c r="G230" s="3">
        <v>11497.470000000001</v>
      </c>
      <c r="H230" s="3">
        <f t="shared" si="6"/>
        <v>11616.629999999956</v>
      </c>
      <c r="I230" s="3">
        <v>57</v>
      </c>
      <c r="J230" s="3"/>
      <c r="K230" s="3"/>
      <c r="L230" s="3"/>
    </row>
    <row r="231" spans="1:12">
      <c r="A231" s="3">
        <v>42621</v>
      </c>
      <c r="B231" s="3">
        <v>197.36</v>
      </c>
      <c r="C231" s="4" cm="1">
        <f t="array" aca="1" ref="C231" ca="1">INDIRECT(ADDRESS(ROW()-C$3,2))-INDIRECT(ADDRESS(ROW()-C$2,2))</f>
        <v>-0.41999999999998749</v>
      </c>
      <c r="D231" s="4" cm="1">
        <f t="array" aca="1" ref="D231" ca="1">INDIRECT(ADDRESS(ROW()-D$3,2))-INDIRECT(ADDRESS(ROW()-D$2,2))</f>
        <v>-25.259999999999991</v>
      </c>
      <c r="E231" s="4">
        <f t="shared" ca="1" si="7"/>
        <v>201.24</v>
      </c>
      <c r="F231" s="3">
        <v>11368.679999999955</v>
      </c>
      <c r="G231" s="3">
        <v>0</v>
      </c>
      <c r="H231" s="3">
        <f t="shared" si="6"/>
        <v>11368.679999999955</v>
      </c>
      <c r="I231" s="3">
        <v>0</v>
      </c>
      <c r="J231" s="3"/>
      <c r="K231" s="3"/>
      <c r="L231" s="3"/>
    </row>
    <row r="232" spans="1:12">
      <c r="A232" s="3">
        <v>42622</v>
      </c>
      <c r="B232" s="3">
        <v>194.47</v>
      </c>
      <c r="C232" s="4" cm="1">
        <f t="array" aca="1" ref="C232" ca="1">INDIRECT(ADDRESS(ROW()-C$3,2))-INDIRECT(ADDRESS(ROW()-C$2,2))</f>
        <v>-8.3600000000000136</v>
      </c>
      <c r="D232" s="4" cm="1">
        <f t="array" aca="1" ref="D232" ca="1">INDIRECT(ADDRESS(ROW()-D$3,2))-INDIRECT(ADDRESS(ROW()-D$2,2))</f>
        <v>-26.490000000000009</v>
      </c>
      <c r="E232" s="4">
        <f t="shared" ca="1" si="7"/>
        <v>197.57</v>
      </c>
      <c r="F232" s="3">
        <v>11368.679999999955</v>
      </c>
      <c r="G232" s="3">
        <v>0</v>
      </c>
      <c r="H232" s="3">
        <f t="shared" si="6"/>
        <v>11368.679999999955</v>
      </c>
      <c r="I232" s="3">
        <v>0</v>
      </c>
      <c r="J232" s="3"/>
      <c r="K232" s="3"/>
      <c r="L232" s="3"/>
    </row>
    <row r="233" spans="1:12">
      <c r="A233" s="3">
        <v>42625</v>
      </c>
      <c r="B233" s="3">
        <v>198.3</v>
      </c>
      <c r="C233" s="4" cm="1">
        <f t="array" aca="1" ref="C233" ca="1">INDIRECT(ADDRESS(ROW()-C$3,2))-INDIRECT(ADDRESS(ROW()-C$2,2))</f>
        <v>-3.4099999999999966</v>
      </c>
      <c r="D233" s="4" cm="1">
        <f t="array" aca="1" ref="D233" ca="1">INDIRECT(ADDRESS(ROW()-D$3,2))-INDIRECT(ADDRESS(ROW()-D$2,2))</f>
        <v>-21.689999999999998</v>
      </c>
      <c r="E233" s="4">
        <f t="shared" ca="1" si="7"/>
        <v>198.65</v>
      </c>
      <c r="F233" s="3">
        <v>11368.679999999955</v>
      </c>
      <c r="G233" s="3">
        <v>0</v>
      </c>
      <c r="H233" s="3">
        <f t="shared" si="6"/>
        <v>11368.679999999955</v>
      </c>
      <c r="I233" s="3">
        <v>0</v>
      </c>
      <c r="J233" s="3"/>
      <c r="K233" s="3"/>
      <c r="L233" s="3"/>
    </row>
    <row r="234" spans="1:12">
      <c r="A234" s="3">
        <v>42626</v>
      </c>
      <c r="B234" s="3">
        <v>196.05</v>
      </c>
      <c r="C234" s="4" cm="1">
        <f t="array" aca="1" ref="C234" ca="1">INDIRECT(ADDRESS(ROW()-C$3,2))-INDIRECT(ADDRESS(ROW()-C$2,2))</f>
        <v>-1.3100000000000023</v>
      </c>
      <c r="D234" s="4" cm="1">
        <f t="array" aca="1" ref="D234" ca="1">INDIRECT(ADDRESS(ROW()-D$3,2))-INDIRECT(ADDRESS(ROW()-D$2,2))</f>
        <v>-19.149999999999977</v>
      </c>
      <c r="E234" s="4">
        <f t="shared" ca="1" si="7"/>
        <v>200.005</v>
      </c>
      <c r="F234" s="3">
        <v>11368.679999999955</v>
      </c>
      <c r="G234" s="3">
        <v>0</v>
      </c>
      <c r="H234" s="3">
        <f t="shared" si="6"/>
        <v>11368.679999999955</v>
      </c>
      <c r="I234" s="3">
        <v>0</v>
      </c>
      <c r="J234" s="3"/>
      <c r="K234" s="3"/>
      <c r="L234" s="3"/>
    </row>
    <row r="235" spans="1:12">
      <c r="A235" s="3">
        <v>42627</v>
      </c>
      <c r="B235" s="3">
        <v>196.41</v>
      </c>
      <c r="C235" s="4" cm="1">
        <f t="array" aca="1" ref="C235" ca="1">INDIRECT(ADDRESS(ROW()-C$3,2))-INDIRECT(ADDRESS(ROW()-C$2,2))</f>
        <v>1.9399999999999977</v>
      </c>
      <c r="D235" s="4" cm="1">
        <f t="array" aca="1" ref="D235" ca="1">INDIRECT(ADDRESS(ROW()-D$3,2))-INDIRECT(ADDRESS(ROW()-D$2,2))</f>
        <v>-14.930000000000007</v>
      </c>
      <c r="E235" s="4">
        <f t="shared" ca="1" si="7"/>
        <v>196.70500000000001</v>
      </c>
      <c r="F235" s="3">
        <v>173.30999999996138</v>
      </c>
      <c r="G235" s="3">
        <v>11195.369999999999</v>
      </c>
      <c r="H235" s="3">
        <f t="shared" si="6"/>
        <v>11368.67999999996</v>
      </c>
      <c r="I235" s="3">
        <v>57</v>
      </c>
      <c r="J235" s="3"/>
      <c r="K235" s="3"/>
      <c r="L235" s="3"/>
    </row>
    <row r="236" spans="1:12">
      <c r="A236" s="3">
        <v>42628</v>
      </c>
      <c r="B236" s="3">
        <v>200.42</v>
      </c>
      <c r="C236" s="4" cm="1">
        <f t="array" aca="1" ref="C236" ca="1">INDIRECT(ADDRESS(ROW()-C$3,2))-INDIRECT(ADDRESS(ROW()-C$2,2))</f>
        <v>2.1199999999999761</v>
      </c>
      <c r="D236" s="4" cm="1">
        <f t="array" aca="1" ref="D236" ca="1">INDIRECT(ADDRESS(ROW()-D$3,2))-INDIRECT(ADDRESS(ROW()-D$2,2))</f>
        <v>-11.590000000000003</v>
      </c>
      <c r="E236" s="4">
        <f t="shared" ca="1" si="7"/>
        <v>195.44</v>
      </c>
      <c r="F236" s="3">
        <v>173.30999999996138</v>
      </c>
      <c r="G236" s="3">
        <v>11423.939999999999</v>
      </c>
      <c r="H236" s="3">
        <f t="shared" si="6"/>
        <v>11597.24999999996</v>
      </c>
      <c r="I236" s="3">
        <v>57</v>
      </c>
      <c r="J236" s="3"/>
      <c r="K236" s="3"/>
      <c r="L236" s="3"/>
    </row>
    <row r="237" spans="1:12">
      <c r="A237" s="3">
        <v>42629</v>
      </c>
      <c r="B237" s="3">
        <v>205.4</v>
      </c>
      <c r="C237" s="4" cm="1">
        <f t="array" aca="1" ref="C237" ca="1">INDIRECT(ADDRESS(ROW()-C$3,2))-INDIRECT(ADDRESS(ROW()-C$2,2))</f>
        <v>9.3499999999999943</v>
      </c>
      <c r="D237" s="4" cm="1">
        <f t="array" aca="1" ref="D237" ca="1">INDIRECT(ADDRESS(ROW()-D$3,2))-INDIRECT(ADDRESS(ROW()-D$2,2))</f>
        <v>4.6299999999999955</v>
      </c>
      <c r="E237" s="4">
        <f t="shared" ca="1" si="7"/>
        <v>199.36</v>
      </c>
      <c r="F237" s="3">
        <v>173.30999999996138</v>
      </c>
      <c r="G237" s="3">
        <v>11707.800000000001</v>
      </c>
      <c r="H237" s="3">
        <f t="shared" si="6"/>
        <v>11881.109999999962</v>
      </c>
      <c r="I237" s="3">
        <v>57</v>
      </c>
      <c r="J237" s="3"/>
      <c r="K237" s="3"/>
      <c r="L237" s="3"/>
    </row>
    <row r="238" spans="1:12">
      <c r="A238" s="3">
        <v>42632</v>
      </c>
      <c r="B238" s="3">
        <v>206.34</v>
      </c>
      <c r="C238" s="4" cm="1">
        <f t="array" aca="1" ref="C238" ca="1">INDIRECT(ADDRESS(ROW()-C$3,2))-INDIRECT(ADDRESS(ROW()-C$2,2))</f>
        <v>9.9300000000000068</v>
      </c>
      <c r="D238" s="4" cm="1">
        <f t="array" aca="1" ref="D238" ca="1">INDIRECT(ADDRESS(ROW()-D$3,2))-INDIRECT(ADDRESS(ROW()-D$2,2))</f>
        <v>8.5600000000000023</v>
      </c>
      <c r="E238" s="4">
        <f t="shared" ca="1" si="7"/>
        <v>200.72500000000002</v>
      </c>
      <c r="F238" s="3">
        <v>173.30999999996138</v>
      </c>
      <c r="G238" s="3">
        <v>11761.380000000001</v>
      </c>
      <c r="H238" s="3">
        <f t="shared" si="6"/>
        <v>11934.689999999962</v>
      </c>
      <c r="I238" s="3">
        <v>57</v>
      </c>
      <c r="J238" s="3"/>
      <c r="K238" s="3"/>
      <c r="L238" s="3"/>
    </row>
    <row r="239" spans="1:12">
      <c r="A239" s="3">
        <v>42633</v>
      </c>
      <c r="B239" s="3">
        <v>204.64</v>
      </c>
      <c r="C239" s="4" cm="1">
        <f t="array" aca="1" ref="C239" ca="1">INDIRECT(ADDRESS(ROW()-C$3,2))-INDIRECT(ADDRESS(ROW()-C$2,2))</f>
        <v>4.2199999999999989</v>
      </c>
      <c r="D239" s="4" cm="1">
        <f t="array" aca="1" ref="D239" ca="1">INDIRECT(ADDRESS(ROW()-D$3,2))-INDIRECT(ADDRESS(ROW()-D$2,2))</f>
        <v>1.8099999999999739</v>
      </c>
      <c r="E239" s="4">
        <f t="shared" ca="1" si="7"/>
        <v>201.375</v>
      </c>
      <c r="F239" s="3">
        <v>173.30999999996138</v>
      </c>
      <c r="G239" s="3">
        <v>11664.48</v>
      </c>
      <c r="H239" s="3">
        <f t="shared" si="6"/>
        <v>11837.789999999961</v>
      </c>
      <c r="I239" s="3">
        <v>57</v>
      </c>
      <c r="J239" s="3"/>
      <c r="K239" s="3"/>
      <c r="L239" s="3"/>
    </row>
    <row r="240" spans="1:12">
      <c r="A240" s="3">
        <v>42634</v>
      </c>
      <c r="B240" s="3">
        <v>205.22</v>
      </c>
      <c r="C240" s="4" cm="1">
        <f t="array" aca="1" ref="C240" ca="1">INDIRECT(ADDRESS(ROW()-C$3,2))-INDIRECT(ADDRESS(ROW()-C$2,2))</f>
        <v>-0.18000000000000682</v>
      </c>
      <c r="D240" s="4" cm="1">
        <f t="array" aca="1" ref="D240" ca="1">INDIRECT(ADDRESS(ROW()-D$3,2))-INDIRECT(ADDRESS(ROW()-D$2,2))</f>
        <v>3.5099999999999909</v>
      </c>
      <c r="E240" s="4">
        <f t="shared" ca="1" si="7"/>
        <v>202.52999999999997</v>
      </c>
      <c r="F240" s="3">
        <v>11870.84999999996</v>
      </c>
      <c r="G240" s="3">
        <v>0</v>
      </c>
      <c r="H240" s="3">
        <f t="shared" si="6"/>
        <v>11870.84999999996</v>
      </c>
      <c r="I240" s="3">
        <v>0</v>
      </c>
      <c r="J240" s="3"/>
      <c r="K240" s="3"/>
      <c r="L240" s="3"/>
    </row>
    <row r="241" spans="1:12">
      <c r="A241" s="3">
        <v>42635</v>
      </c>
      <c r="B241" s="3">
        <v>206.43</v>
      </c>
      <c r="C241" s="4" cm="1">
        <f t="array" aca="1" ref="C241" ca="1">INDIRECT(ADDRESS(ROW()-C$3,2))-INDIRECT(ADDRESS(ROW()-C$2,2))</f>
        <v>9.0000000000003411E-2</v>
      </c>
      <c r="D241" s="4" cm="1">
        <f t="array" aca="1" ref="D241" ca="1">INDIRECT(ADDRESS(ROW()-D$3,2))-INDIRECT(ADDRESS(ROW()-D$2,2))</f>
        <v>9.0699999999999932</v>
      </c>
      <c r="E241" s="4">
        <f t="shared" ca="1" si="7"/>
        <v>205.31</v>
      </c>
      <c r="F241" s="3">
        <v>104.33999999995069</v>
      </c>
      <c r="G241" s="3">
        <v>11766.51</v>
      </c>
      <c r="H241" s="3">
        <f t="shared" si="6"/>
        <v>11870.849999999951</v>
      </c>
      <c r="I241" s="3">
        <v>57</v>
      </c>
      <c r="J241" s="3"/>
      <c r="K241" s="3"/>
      <c r="L241" s="3"/>
    </row>
    <row r="242" spans="1:12">
      <c r="A242" s="3">
        <v>42636</v>
      </c>
      <c r="B242" s="3">
        <v>207.45</v>
      </c>
      <c r="C242" s="4" cm="1">
        <f t="array" aca="1" ref="C242" ca="1">INDIRECT(ADDRESS(ROW()-C$3,2))-INDIRECT(ADDRESS(ROW()-C$2,2))</f>
        <v>2.8100000000000023</v>
      </c>
      <c r="D242" s="4" cm="1">
        <f t="array" aca="1" ref="D242" ca="1">INDIRECT(ADDRESS(ROW()-D$3,2))-INDIRECT(ADDRESS(ROW()-D$2,2))</f>
        <v>12.97999999999999</v>
      </c>
      <c r="E242" s="4">
        <f t="shared" ca="1" si="7"/>
        <v>206.38499999999999</v>
      </c>
      <c r="F242" s="3">
        <v>104.33999999995069</v>
      </c>
      <c r="G242" s="3">
        <v>11824.65</v>
      </c>
      <c r="H242" s="3">
        <f t="shared" si="6"/>
        <v>11928.989999999951</v>
      </c>
      <c r="I242" s="3">
        <v>57</v>
      </c>
      <c r="J242" s="3"/>
      <c r="K242" s="3"/>
      <c r="L242" s="3"/>
    </row>
    <row r="243" spans="1:12">
      <c r="A243" s="3">
        <v>42639</v>
      </c>
      <c r="B243" s="3">
        <v>208.99</v>
      </c>
      <c r="C243" s="4" cm="1">
        <f t="array" aca="1" ref="C243" ca="1">INDIRECT(ADDRESS(ROW()-C$3,2))-INDIRECT(ADDRESS(ROW()-C$2,2))</f>
        <v>3.7700000000000102</v>
      </c>
      <c r="D243" s="4" cm="1">
        <f t="array" aca="1" ref="D243" ca="1">INDIRECT(ADDRESS(ROW()-D$3,2))-INDIRECT(ADDRESS(ROW()-D$2,2))</f>
        <v>10.689999999999998</v>
      </c>
      <c r="E243" s="4">
        <f t="shared" ca="1" si="7"/>
        <v>206.04499999999999</v>
      </c>
      <c r="F243" s="3">
        <v>104.33999999995069</v>
      </c>
      <c r="G243" s="3">
        <v>11912.43</v>
      </c>
      <c r="H243" s="3">
        <f t="shared" si="6"/>
        <v>12016.769999999951</v>
      </c>
      <c r="I243" s="3">
        <v>57</v>
      </c>
      <c r="J243" s="3"/>
      <c r="K243" s="3"/>
      <c r="L243" s="3"/>
    </row>
    <row r="244" spans="1:12">
      <c r="A244" s="3">
        <v>42640</v>
      </c>
      <c r="B244" s="3">
        <v>205.81</v>
      </c>
      <c r="C244" s="4" cm="1">
        <f t="array" aca="1" ref="C244" ca="1">INDIRECT(ADDRESS(ROW()-C$3,2))-INDIRECT(ADDRESS(ROW()-C$2,2))</f>
        <v>-0.62000000000000455</v>
      </c>
      <c r="D244" s="4" cm="1">
        <f t="array" aca="1" ref="D244" ca="1">INDIRECT(ADDRESS(ROW()-D$3,2))-INDIRECT(ADDRESS(ROW()-D$2,2))</f>
        <v>9.7599999999999909</v>
      </c>
      <c r="E244" s="4">
        <f t="shared" ca="1" si="7"/>
        <v>207.10500000000002</v>
      </c>
      <c r="F244" s="3">
        <v>11835.509999999951</v>
      </c>
      <c r="G244" s="3">
        <v>0</v>
      </c>
      <c r="H244" s="3">
        <f t="shared" si="6"/>
        <v>11835.509999999951</v>
      </c>
      <c r="I244" s="3">
        <v>0</v>
      </c>
      <c r="J244" s="3"/>
      <c r="K244" s="3"/>
      <c r="L244" s="3"/>
    </row>
    <row r="245" spans="1:12">
      <c r="A245" s="3">
        <v>42641</v>
      </c>
      <c r="B245" s="3">
        <v>206.27</v>
      </c>
      <c r="C245" s="4" cm="1">
        <f t="array" aca="1" ref="C245" ca="1">INDIRECT(ADDRESS(ROW()-C$3,2))-INDIRECT(ADDRESS(ROW()-C$2,2))</f>
        <v>-1.1799999999999784</v>
      </c>
      <c r="D245" s="4" cm="1">
        <f t="array" aca="1" ref="D245" ca="1">INDIRECT(ADDRESS(ROW()-D$3,2))-INDIRECT(ADDRESS(ROW()-D$2,2))</f>
        <v>9.8600000000000136</v>
      </c>
      <c r="E245" s="4">
        <f t="shared" ca="1" si="7"/>
        <v>206.12</v>
      </c>
      <c r="F245" s="3">
        <v>11835.509999999951</v>
      </c>
      <c r="G245" s="3">
        <v>0</v>
      </c>
      <c r="H245" s="3">
        <f t="shared" si="6"/>
        <v>11835.509999999951</v>
      </c>
      <c r="I245" s="3">
        <v>0</v>
      </c>
      <c r="J245" s="3"/>
      <c r="K245" s="3"/>
      <c r="L245" s="3"/>
    </row>
    <row r="246" spans="1:12">
      <c r="A246" s="3">
        <v>42642</v>
      </c>
      <c r="B246" s="3">
        <v>200.7</v>
      </c>
      <c r="C246" s="4" cm="1">
        <f t="array" aca="1" ref="C246" ca="1">INDIRECT(ADDRESS(ROW()-C$3,2))-INDIRECT(ADDRESS(ROW()-C$2,2))</f>
        <v>-8.2900000000000205</v>
      </c>
      <c r="D246" s="4" cm="1">
        <f t="array" aca="1" ref="D246" ca="1">INDIRECT(ADDRESS(ROW()-D$3,2))-INDIRECT(ADDRESS(ROW()-D$2,2))</f>
        <v>0.28000000000000114</v>
      </c>
      <c r="E246" s="4">
        <f t="shared" ca="1" si="7"/>
        <v>206.86</v>
      </c>
      <c r="F246" s="3">
        <v>11835.509999999951</v>
      </c>
      <c r="G246" s="3">
        <v>0</v>
      </c>
      <c r="H246" s="3">
        <f t="shared" si="6"/>
        <v>11835.509999999951</v>
      </c>
      <c r="I246" s="3">
        <v>0</v>
      </c>
      <c r="J246" s="3"/>
      <c r="K246" s="3"/>
      <c r="L246" s="3"/>
    </row>
    <row r="247" spans="1:12">
      <c r="A247" s="3">
        <v>42643</v>
      </c>
      <c r="B247" s="3">
        <v>204.03</v>
      </c>
      <c r="C247" s="4" cm="1">
        <f t="array" aca="1" ref="C247" ca="1">INDIRECT(ADDRESS(ROW()-C$3,2))-INDIRECT(ADDRESS(ROW()-C$2,2))</f>
        <v>-1.7800000000000011</v>
      </c>
      <c r="D247" s="4" cm="1">
        <f t="array" aca="1" ref="D247" ca="1">INDIRECT(ADDRESS(ROW()-D$3,2))-INDIRECT(ADDRESS(ROW()-D$2,2))</f>
        <v>-1.3700000000000045</v>
      </c>
      <c r="E247" s="4">
        <f t="shared" ca="1" si="7"/>
        <v>204.845</v>
      </c>
      <c r="F247" s="3">
        <v>11835.509999999951</v>
      </c>
      <c r="G247" s="3">
        <v>0</v>
      </c>
      <c r="H247" s="3">
        <f t="shared" si="6"/>
        <v>11835.509999999951</v>
      </c>
      <c r="I247" s="3">
        <v>0</v>
      </c>
      <c r="J247" s="3"/>
      <c r="K247" s="3"/>
      <c r="L247" s="3"/>
    </row>
    <row r="248" spans="1:12">
      <c r="A248" s="3">
        <v>42646</v>
      </c>
      <c r="B248" s="3">
        <v>213.7</v>
      </c>
      <c r="C248" s="4" cm="1">
        <f t="array" aca="1" ref="C248" ca="1">INDIRECT(ADDRESS(ROW()-C$3,2))-INDIRECT(ADDRESS(ROW()-C$2,2))</f>
        <v>7.4299999999999784</v>
      </c>
      <c r="D248" s="4" cm="1">
        <f t="array" aca="1" ref="D248" ca="1">INDIRECT(ADDRESS(ROW()-D$3,2))-INDIRECT(ADDRESS(ROW()-D$2,2))</f>
        <v>7.3599999999999852</v>
      </c>
      <c r="E248" s="4">
        <f t="shared" ca="1" si="7"/>
        <v>204.92000000000002</v>
      </c>
      <c r="F248" s="3">
        <v>82.009999999943545</v>
      </c>
      <c r="G248" s="3">
        <v>11753.5</v>
      </c>
      <c r="H248" s="3">
        <f t="shared" si="6"/>
        <v>11835.509999999944</v>
      </c>
      <c r="I248" s="3">
        <v>55</v>
      </c>
      <c r="J248" s="3"/>
      <c r="K248" s="3"/>
      <c r="L248" s="3"/>
    </row>
    <row r="249" spans="1:12">
      <c r="A249" s="3">
        <v>42647</v>
      </c>
      <c r="B249" s="3">
        <v>211.41</v>
      </c>
      <c r="C249" s="4" cm="1">
        <f t="array" aca="1" ref="C249" ca="1">INDIRECT(ADDRESS(ROW()-C$3,2))-INDIRECT(ADDRESS(ROW()-C$2,2))</f>
        <v>10.710000000000008</v>
      </c>
      <c r="D249" s="4" cm="1">
        <f t="array" aca="1" ref="D249" ca="1">INDIRECT(ADDRESS(ROW()-D$3,2))-INDIRECT(ADDRESS(ROW()-D$2,2))</f>
        <v>6.7700000000000102</v>
      </c>
      <c r="E249" s="4">
        <f t="shared" ca="1" si="7"/>
        <v>209.98500000000001</v>
      </c>
      <c r="F249" s="3">
        <v>82.009999999943545</v>
      </c>
      <c r="G249" s="3">
        <v>11627.55</v>
      </c>
      <c r="H249" s="3">
        <f t="shared" si="6"/>
        <v>11709.559999999943</v>
      </c>
      <c r="I249" s="3">
        <v>55</v>
      </c>
      <c r="J249" s="3"/>
      <c r="K249" s="3"/>
      <c r="L249" s="3"/>
    </row>
    <row r="250" spans="1:12">
      <c r="A250" s="3">
        <v>42648</v>
      </c>
      <c r="B250" s="3">
        <v>208.46</v>
      </c>
      <c r="C250" s="4" cm="1">
        <f t="array" aca="1" ref="C250" ca="1">INDIRECT(ADDRESS(ROW()-C$3,2))-INDIRECT(ADDRESS(ROW()-C$2,2))</f>
        <v>4.4300000000000068</v>
      </c>
      <c r="D250" s="4" cm="1">
        <f t="array" aca="1" ref="D250" ca="1">INDIRECT(ADDRESS(ROW()-D$3,2))-INDIRECT(ADDRESS(ROW()-D$2,2))</f>
        <v>3.2400000000000091</v>
      </c>
      <c r="E250" s="4">
        <f t="shared" ca="1" si="7"/>
        <v>206.05500000000001</v>
      </c>
      <c r="F250" s="3">
        <v>82.009999999943545</v>
      </c>
      <c r="G250" s="3">
        <v>11465.300000000001</v>
      </c>
      <c r="H250" s="3">
        <f t="shared" si="6"/>
        <v>11547.309999999945</v>
      </c>
      <c r="I250" s="3">
        <v>55</v>
      </c>
      <c r="J250" s="3"/>
      <c r="K250" s="3"/>
      <c r="L250" s="3"/>
    </row>
    <row r="251" spans="1:12">
      <c r="A251" s="3">
        <v>42649</v>
      </c>
      <c r="B251" s="3">
        <v>201</v>
      </c>
      <c r="C251" s="4" cm="1">
        <f t="array" aca="1" ref="C251" ca="1">INDIRECT(ADDRESS(ROW()-C$3,2))-INDIRECT(ADDRESS(ROW()-C$2,2))</f>
        <v>-12.699999999999989</v>
      </c>
      <c r="D251" s="4" cm="1">
        <f t="array" aca="1" ref="D251" ca="1">INDIRECT(ADDRESS(ROW()-D$3,2))-INDIRECT(ADDRESS(ROW()-D$2,2))</f>
        <v>-5.4300000000000068</v>
      </c>
      <c r="E251" s="4">
        <f t="shared" ca="1" si="7"/>
        <v>206.245</v>
      </c>
      <c r="F251" s="3">
        <v>11137.009999999944</v>
      </c>
      <c r="G251" s="3">
        <v>0</v>
      </c>
      <c r="H251" s="3">
        <f t="shared" si="6"/>
        <v>11137.009999999944</v>
      </c>
      <c r="I251" s="3">
        <v>0</v>
      </c>
      <c r="J251" s="3"/>
      <c r="K251" s="3"/>
      <c r="L251" s="3"/>
    </row>
    <row r="252" spans="1:12">
      <c r="A252" s="3">
        <v>42650</v>
      </c>
      <c r="B252" s="3">
        <v>196.61</v>
      </c>
      <c r="C252" s="4" cm="1">
        <f t="array" aca="1" ref="C252" ca="1">INDIRECT(ADDRESS(ROW()-C$3,2))-INDIRECT(ADDRESS(ROW()-C$2,2))</f>
        <v>-14.799999999999983</v>
      </c>
      <c r="D252" s="4" cm="1">
        <f t="array" aca="1" ref="D252" ca="1">INDIRECT(ADDRESS(ROW()-D$3,2))-INDIRECT(ADDRESS(ROW()-D$2,2))</f>
        <v>-10.839999999999975</v>
      </c>
      <c r="E252" s="4">
        <f t="shared" ca="1" si="7"/>
        <v>207.35</v>
      </c>
      <c r="F252" s="3">
        <v>11137.009999999944</v>
      </c>
      <c r="G252" s="3">
        <v>0</v>
      </c>
      <c r="H252" s="3">
        <f t="shared" si="6"/>
        <v>11137.009999999944</v>
      </c>
      <c r="I252" s="3">
        <v>0</v>
      </c>
      <c r="J252" s="3"/>
      <c r="K252" s="3"/>
      <c r="L252" s="3"/>
    </row>
    <row r="253" spans="1:12">
      <c r="A253" s="3">
        <v>42653</v>
      </c>
      <c r="B253" s="3">
        <v>200.95</v>
      </c>
      <c r="C253" s="4" cm="1">
        <f t="array" aca="1" ref="C253" ca="1">INDIRECT(ADDRESS(ROW()-C$3,2))-INDIRECT(ADDRESS(ROW()-C$2,2))</f>
        <v>-7.5100000000000193</v>
      </c>
      <c r="D253" s="4" cm="1">
        <f t="array" aca="1" ref="D253" ca="1">INDIRECT(ADDRESS(ROW()-D$3,2))-INDIRECT(ADDRESS(ROW()-D$2,2))</f>
        <v>-8.0400000000000205</v>
      </c>
      <c r="E253" s="4">
        <f t="shared" ca="1" si="7"/>
        <v>204.01</v>
      </c>
      <c r="F253" s="3">
        <v>11137.009999999944</v>
      </c>
      <c r="G253" s="3">
        <v>0</v>
      </c>
      <c r="H253" s="3">
        <f t="shared" si="6"/>
        <v>11137.009999999944</v>
      </c>
      <c r="I253" s="3">
        <v>0</v>
      </c>
      <c r="J253" s="3"/>
      <c r="K253" s="3"/>
      <c r="L253" s="3"/>
    </row>
    <row r="254" spans="1:12">
      <c r="A254" s="3">
        <v>42654</v>
      </c>
      <c r="B254" s="3">
        <v>200.1</v>
      </c>
      <c r="C254" s="4" cm="1">
        <f t="array" aca="1" ref="C254" ca="1">INDIRECT(ADDRESS(ROW()-C$3,2))-INDIRECT(ADDRESS(ROW()-C$2,2))</f>
        <v>-0.90000000000000568</v>
      </c>
      <c r="D254" s="4" cm="1">
        <f t="array" aca="1" ref="D254" ca="1">INDIRECT(ADDRESS(ROW()-D$3,2))-INDIRECT(ADDRESS(ROW()-D$2,2))</f>
        <v>-5.710000000000008</v>
      </c>
      <c r="E254" s="4">
        <f t="shared" ca="1" si="7"/>
        <v>204.70499999999998</v>
      </c>
      <c r="F254" s="3">
        <v>11137.009999999944</v>
      </c>
      <c r="G254" s="3">
        <v>0</v>
      </c>
      <c r="H254" s="3">
        <f t="shared" si="6"/>
        <v>11137.009999999944</v>
      </c>
      <c r="I254" s="3">
        <v>0</v>
      </c>
      <c r="J254" s="3"/>
      <c r="K254" s="3"/>
      <c r="L254" s="3"/>
    </row>
    <row r="255" spans="1:12">
      <c r="A255" s="3">
        <v>42655</v>
      </c>
      <c r="B255" s="3">
        <v>201.51</v>
      </c>
      <c r="C255" s="4" cm="1">
        <f t="array" aca="1" ref="C255" ca="1">INDIRECT(ADDRESS(ROW()-C$3,2))-INDIRECT(ADDRESS(ROW()-C$2,2))</f>
        <v>4.8999999999999773</v>
      </c>
      <c r="D255" s="4" cm="1">
        <f t="array" aca="1" ref="D255" ca="1">INDIRECT(ADDRESS(ROW()-D$3,2))-INDIRECT(ADDRESS(ROW()-D$2,2))</f>
        <v>-4.7600000000000193</v>
      </c>
      <c r="E255" s="4">
        <f t="shared" ca="1" si="7"/>
        <v>200.55</v>
      </c>
      <c r="F255" s="3">
        <v>53.959999999934098</v>
      </c>
      <c r="G255" s="3">
        <v>11083.05</v>
      </c>
      <c r="H255" s="3">
        <f t="shared" si="6"/>
        <v>11137.009999999933</v>
      </c>
      <c r="I255" s="3">
        <v>55</v>
      </c>
      <c r="J255" s="3"/>
      <c r="K255" s="3"/>
      <c r="L255" s="3"/>
    </row>
    <row r="256" spans="1:12">
      <c r="A256" s="3">
        <v>42656</v>
      </c>
      <c r="B256" s="3">
        <v>200.24</v>
      </c>
      <c r="C256" s="4" cm="1">
        <f t="array" aca="1" ref="C256" ca="1">INDIRECT(ADDRESS(ROW()-C$3,2))-INDIRECT(ADDRESS(ROW()-C$2,2))</f>
        <v>-0.70999999999997954</v>
      </c>
      <c r="D256" s="4" cm="1">
        <f t="array" aca="1" ref="D256" ca="1">INDIRECT(ADDRESS(ROW()-D$3,2))-INDIRECT(ADDRESS(ROW()-D$2,2))</f>
        <v>-0.45999999999997954</v>
      </c>
      <c r="E256" s="4">
        <f t="shared" ca="1" si="7"/>
        <v>199.06</v>
      </c>
      <c r="F256" s="3">
        <v>11067.159999999934</v>
      </c>
      <c r="G256" s="3">
        <v>0</v>
      </c>
      <c r="H256" s="3">
        <f t="shared" si="6"/>
        <v>11067.159999999934</v>
      </c>
      <c r="I256" s="3">
        <v>0</v>
      </c>
      <c r="J256" s="3"/>
      <c r="K256" s="3"/>
      <c r="L256" s="3"/>
    </row>
    <row r="257" spans="1:12">
      <c r="A257" s="3">
        <v>42657</v>
      </c>
      <c r="B257" s="3">
        <v>196.51</v>
      </c>
      <c r="C257" s="4" cm="1">
        <f t="array" aca="1" ref="C257" ca="1">INDIRECT(ADDRESS(ROW()-C$3,2))-INDIRECT(ADDRESS(ROW()-C$2,2))</f>
        <v>-3.5900000000000034</v>
      </c>
      <c r="D257" s="4" cm="1">
        <f t="array" aca="1" ref="D257" ca="1">INDIRECT(ADDRESS(ROW()-D$3,2))-INDIRECT(ADDRESS(ROW()-D$2,2))</f>
        <v>-7.5200000000000102</v>
      </c>
      <c r="E257" s="4">
        <f t="shared" ca="1" si="7"/>
        <v>200.595</v>
      </c>
      <c r="F257" s="3">
        <v>11067.159999999934</v>
      </c>
      <c r="G257" s="3">
        <v>0</v>
      </c>
      <c r="H257" s="3">
        <f t="shared" si="6"/>
        <v>11067.159999999934</v>
      </c>
      <c r="I257" s="3">
        <v>0</v>
      </c>
      <c r="J257" s="3"/>
      <c r="K257" s="3"/>
      <c r="L257" s="3"/>
    </row>
    <row r="258" spans="1:12">
      <c r="A258" s="3">
        <v>42660</v>
      </c>
      <c r="B258" s="3">
        <v>193.96</v>
      </c>
      <c r="C258" s="4" cm="1">
        <f t="array" aca="1" ref="C258" ca="1">INDIRECT(ADDRESS(ROW()-C$3,2))-INDIRECT(ADDRESS(ROW()-C$2,2))</f>
        <v>-7.5499999999999829</v>
      </c>
      <c r="D258" s="4" cm="1">
        <f t="array" aca="1" ref="D258" ca="1">INDIRECT(ADDRESS(ROW()-D$3,2))-INDIRECT(ADDRESS(ROW()-D$2,2))</f>
        <v>-19.739999999999981</v>
      </c>
      <c r="E258" s="4">
        <f t="shared" ca="1" si="7"/>
        <v>198.30500000000001</v>
      </c>
      <c r="F258" s="3">
        <v>11067.159999999934</v>
      </c>
      <c r="G258" s="3">
        <v>0</v>
      </c>
      <c r="H258" s="3">
        <f t="shared" si="6"/>
        <v>11067.159999999934</v>
      </c>
      <c r="I258" s="3">
        <v>0</v>
      </c>
      <c r="J258" s="3"/>
      <c r="K258" s="3"/>
      <c r="L258" s="3"/>
    </row>
    <row r="259" spans="1:12">
      <c r="A259" s="3">
        <v>42661</v>
      </c>
      <c r="B259" s="3">
        <v>199.1</v>
      </c>
      <c r="C259" s="4" cm="1">
        <f t="array" aca="1" ref="C259" ca="1">INDIRECT(ADDRESS(ROW()-C$3,2))-INDIRECT(ADDRESS(ROW()-C$2,2))</f>
        <v>-1.1400000000000148</v>
      </c>
      <c r="D259" s="4" cm="1">
        <f t="array" aca="1" ref="D259" ca="1">INDIRECT(ADDRESS(ROW()-D$3,2))-INDIRECT(ADDRESS(ROW()-D$2,2))</f>
        <v>-12.310000000000002</v>
      </c>
      <c r="E259" s="4">
        <f t="shared" ca="1" si="7"/>
        <v>197.73500000000001</v>
      </c>
      <c r="F259" s="3">
        <v>11067.159999999934</v>
      </c>
      <c r="G259" s="3">
        <v>0</v>
      </c>
      <c r="H259" s="3">
        <f t="shared" si="6"/>
        <v>11067.159999999934</v>
      </c>
      <c r="I259" s="3">
        <v>0</v>
      </c>
      <c r="J259" s="3"/>
      <c r="K259" s="3"/>
      <c r="L259" s="3"/>
    </row>
    <row r="260" spans="1:12">
      <c r="A260" s="3">
        <v>42662</v>
      </c>
      <c r="B260" s="3">
        <v>203.56</v>
      </c>
      <c r="C260" s="4" cm="1">
        <f t="array" aca="1" ref="C260" ca="1">INDIRECT(ADDRESS(ROW()-C$3,2))-INDIRECT(ADDRESS(ROW()-C$2,2))</f>
        <v>7.0500000000000114</v>
      </c>
      <c r="D260" s="4" cm="1">
        <f t="array" aca="1" ref="D260" ca="1">INDIRECT(ADDRESS(ROW()-D$3,2))-INDIRECT(ADDRESS(ROW()-D$2,2))</f>
        <v>-4.9000000000000057</v>
      </c>
      <c r="E260" s="4">
        <f t="shared" ca="1" si="7"/>
        <v>199.67000000000002</v>
      </c>
      <c r="F260" s="3">
        <v>74.919999999934419</v>
      </c>
      <c r="G260" s="3">
        <v>10992.24</v>
      </c>
      <c r="H260" s="3">
        <f t="shared" si="6"/>
        <v>11067.159999999934</v>
      </c>
      <c r="I260" s="3">
        <v>54</v>
      </c>
      <c r="J260" s="3"/>
      <c r="K260" s="3"/>
      <c r="L260" s="3"/>
    </row>
    <row r="261" spans="1:12">
      <c r="A261" s="3">
        <v>42663</v>
      </c>
      <c r="B261" s="3">
        <v>199.1</v>
      </c>
      <c r="C261" s="4" cm="1">
        <f t="array" aca="1" ref="C261" ca="1">INDIRECT(ADDRESS(ROW()-C$3,2))-INDIRECT(ADDRESS(ROW()-C$2,2))</f>
        <v>5.1399999999999864</v>
      </c>
      <c r="D261" s="4" cm="1">
        <f t="array" aca="1" ref="D261" ca="1">INDIRECT(ADDRESS(ROW()-D$3,2))-INDIRECT(ADDRESS(ROW()-D$2,2))</f>
        <v>-1.9000000000000057</v>
      </c>
      <c r="E261" s="4">
        <f t="shared" ca="1" si="7"/>
        <v>200.035</v>
      </c>
      <c r="F261" s="3">
        <v>74.919999999934419</v>
      </c>
      <c r="G261" s="3">
        <v>10751.4</v>
      </c>
      <c r="H261" s="3">
        <f t="shared" si="6"/>
        <v>10826.319999999934</v>
      </c>
      <c r="I261" s="3">
        <v>54</v>
      </c>
      <c r="J261" s="3"/>
      <c r="K261" s="3"/>
      <c r="L261" s="3"/>
    </row>
    <row r="262" spans="1:12">
      <c r="A262" s="3">
        <v>42664</v>
      </c>
      <c r="B262" s="3">
        <v>200.09</v>
      </c>
      <c r="C262" s="4" cm="1">
        <f t="array" aca="1" ref="C262" ca="1">INDIRECT(ADDRESS(ROW()-C$3,2))-INDIRECT(ADDRESS(ROW()-C$2,2))</f>
        <v>0.99000000000000909</v>
      </c>
      <c r="D262" s="4" cm="1">
        <f t="array" aca="1" ref="D262" ca="1">INDIRECT(ADDRESS(ROW()-D$3,2))-INDIRECT(ADDRESS(ROW()-D$2,2))</f>
        <v>3.4799999999999898</v>
      </c>
      <c r="E262" s="4">
        <f t="shared" ca="1" si="7"/>
        <v>196.53</v>
      </c>
      <c r="F262" s="3">
        <v>74.919999999934419</v>
      </c>
      <c r="G262" s="3">
        <v>10804.86</v>
      </c>
      <c r="H262" s="3">
        <f t="shared" si="6"/>
        <v>10879.779999999935</v>
      </c>
      <c r="I262" s="3">
        <v>54</v>
      </c>
      <c r="J262" s="3"/>
      <c r="K262" s="3"/>
      <c r="L262" s="3"/>
    </row>
    <row r="263" spans="1:12">
      <c r="A263" s="3">
        <v>42667</v>
      </c>
      <c r="B263" s="3">
        <v>202.76</v>
      </c>
      <c r="C263" s="4" cm="1">
        <f t="array" aca="1" ref="C263" ca="1">INDIRECT(ADDRESS(ROW()-C$3,2))-INDIRECT(ADDRESS(ROW()-C$2,2))</f>
        <v>-0.80000000000001137</v>
      </c>
      <c r="D263" s="4" cm="1">
        <f t="array" aca="1" ref="D263" ca="1">INDIRECT(ADDRESS(ROW()-D$3,2))-INDIRECT(ADDRESS(ROW()-D$2,2))</f>
        <v>1.8100000000000023</v>
      </c>
      <c r="E263" s="4">
        <f t="shared" ca="1" si="7"/>
        <v>199.595</v>
      </c>
      <c r="F263" s="3">
        <v>11023.959999999934</v>
      </c>
      <c r="G263" s="3">
        <v>0</v>
      </c>
      <c r="H263" s="3">
        <f t="shared" si="6"/>
        <v>11023.959999999934</v>
      </c>
      <c r="I263" s="3">
        <v>0</v>
      </c>
      <c r="J263" s="3"/>
      <c r="K263" s="3"/>
      <c r="L263" s="3"/>
    </row>
    <row r="264" spans="1:12">
      <c r="A264" s="3">
        <v>42668</v>
      </c>
      <c r="B264" s="3">
        <v>202.34</v>
      </c>
      <c r="C264" s="4" cm="1">
        <f t="array" aca="1" ref="C264" ca="1">INDIRECT(ADDRESS(ROW()-C$3,2))-INDIRECT(ADDRESS(ROW()-C$2,2))</f>
        <v>3.2400000000000091</v>
      </c>
      <c r="D264" s="4" cm="1">
        <f t="array" aca="1" ref="D264" ca="1">INDIRECT(ADDRESS(ROW()-D$3,2))-INDIRECT(ADDRESS(ROW()-D$2,2))</f>
        <v>2.2400000000000091</v>
      </c>
      <c r="E264" s="4">
        <f t="shared" ca="1" si="7"/>
        <v>203.16</v>
      </c>
      <c r="F264" s="3">
        <v>97.599999999927519</v>
      </c>
      <c r="G264" s="3">
        <v>10926.36</v>
      </c>
      <c r="H264" s="3">
        <f t="shared" si="6"/>
        <v>11023.959999999928</v>
      </c>
      <c r="I264" s="3">
        <v>54</v>
      </c>
      <c r="J264" s="3"/>
      <c r="K264" s="3"/>
      <c r="L264" s="3"/>
    </row>
    <row r="265" spans="1:12">
      <c r="A265" s="3">
        <v>42669</v>
      </c>
      <c r="B265" s="3">
        <v>202.24</v>
      </c>
      <c r="C265" s="4" cm="1">
        <f t="array" aca="1" ref="C265" ca="1">INDIRECT(ADDRESS(ROW()-C$3,2))-INDIRECT(ADDRESS(ROW()-C$2,2))</f>
        <v>2.1500000000000057</v>
      </c>
      <c r="D265" s="4" cm="1">
        <f t="array" aca="1" ref="D265" ca="1">INDIRECT(ADDRESS(ROW()-D$3,2))-INDIRECT(ADDRESS(ROW()-D$2,2))</f>
        <v>0.73000000000001819</v>
      </c>
      <c r="E265" s="4">
        <f t="shared" ca="1" si="7"/>
        <v>200.72</v>
      </c>
      <c r="F265" s="3">
        <v>97.599999999927519</v>
      </c>
      <c r="G265" s="3">
        <v>10920.960000000001</v>
      </c>
      <c r="H265" s="3">
        <f t="shared" si="6"/>
        <v>11018.559999999929</v>
      </c>
      <c r="I265" s="3">
        <v>54</v>
      </c>
      <c r="J265" s="3"/>
      <c r="K265" s="3"/>
      <c r="L265" s="3"/>
    </row>
    <row r="266" spans="1:12">
      <c r="A266" s="3">
        <v>42670</v>
      </c>
      <c r="B266" s="3">
        <v>204.01</v>
      </c>
      <c r="C266" s="4" cm="1">
        <f t="array" aca="1" ref="C266" ca="1">INDIRECT(ADDRESS(ROW()-C$3,2))-INDIRECT(ADDRESS(ROW()-C$2,2))</f>
        <v>1.25</v>
      </c>
      <c r="D266" s="4" cm="1">
        <f t="array" aca="1" ref="D266" ca="1">INDIRECT(ADDRESS(ROW()-D$3,2))-INDIRECT(ADDRESS(ROW()-D$2,2))</f>
        <v>3.7699999999999818</v>
      </c>
      <c r="E266" s="4">
        <f t="shared" ca="1" si="7"/>
        <v>201.16500000000002</v>
      </c>
      <c r="F266" s="3">
        <v>97.599999999927519</v>
      </c>
      <c r="G266" s="3">
        <v>11016.539999999999</v>
      </c>
      <c r="H266" s="3">
        <f t="shared" si="6"/>
        <v>11114.139999999927</v>
      </c>
      <c r="I266" s="3">
        <v>54</v>
      </c>
      <c r="J266" s="3"/>
      <c r="K266" s="3"/>
      <c r="L266" s="3"/>
    </row>
    <row r="267" spans="1:12">
      <c r="A267" s="3">
        <v>42671</v>
      </c>
      <c r="B267" s="3">
        <v>199.97</v>
      </c>
      <c r="C267" s="4" cm="1">
        <f t="array" aca="1" ref="C267" ca="1">INDIRECT(ADDRESS(ROW()-C$3,2))-INDIRECT(ADDRESS(ROW()-C$2,2))</f>
        <v>-2.3700000000000045</v>
      </c>
      <c r="D267" s="4" cm="1">
        <f t="array" aca="1" ref="D267" ca="1">INDIRECT(ADDRESS(ROW()-D$3,2))-INDIRECT(ADDRESS(ROW()-D$2,2))</f>
        <v>3.460000000000008</v>
      </c>
      <c r="E267" s="4">
        <f t="shared" ca="1" si="7"/>
        <v>203.38499999999999</v>
      </c>
      <c r="F267" s="3">
        <v>10895.979999999927</v>
      </c>
      <c r="G267" s="3">
        <v>0</v>
      </c>
      <c r="H267" s="3">
        <f t="shared" si="6"/>
        <v>10895.979999999927</v>
      </c>
      <c r="I267" s="3">
        <v>0</v>
      </c>
      <c r="J267" s="3"/>
      <c r="K267" s="3"/>
      <c r="L267" s="3"/>
    </row>
    <row r="268" spans="1:12">
      <c r="A268" s="3">
        <v>42674</v>
      </c>
      <c r="B268" s="3">
        <v>197.73</v>
      </c>
      <c r="C268" s="4" cm="1">
        <f t="array" aca="1" ref="C268" ca="1">INDIRECT(ADDRESS(ROW()-C$3,2))-INDIRECT(ADDRESS(ROW()-C$2,2))</f>
        <v>-4.5100000000000193</v>
      </c>
      <c r="D268" s="4" cm="1">
        <f t="array" aca="1" ref="D268" ca="1">INDIRECT(ADDRESS(ROW()-D$3,2))-INDIRECT(ADDRESS(ROW()-D$2,2))</f>
        <v>3.7699999999999818</v>
      </c>
      <c r="E268" s="4">
        <f t="shared" ca="1" si="7"/>
        <v>201.155</v>
      </c>
      <c r="F268" s="3">
        <v>10895.979999999927</v>
      </c>
      <c r="G268" s="3">
        <v>0</v>
      </c>
      <c r="H268" s="3">
        <f t="shared" si="6"/>
        <v>10895.979999999927</v>
      </c>
      <c r="I268" s="3">
        <v>0</v>
      </c>
      <c r="J268" s="3"/>
      <c r="K268" s="3"/>
      <c r="L268" s="3"/>
    </row>
    <row r="269" spans="1:12">
      <c r="A269" s="3">
        <v>42675</v>
      </c>
      <c r="B269" s="3">
        <v>190.79</v>
      </c>
      <c r="C269" s="4" cm="1">
        <f t="array" aca="1" ref="C269" ca="1">INDIRECT(ADDRESS(ROW()-C$3,2))-INDIRECT(ADDRESS(ROW()-C$2,2))</f>
        <v>-13.219999999999999</v>
      </c>
      <c r="D269" s="4" cm="1">
        <f t="array" aca="1" ref="D269" ca="1">INDIRECT(ADDRESS(ROW()-D$3,2))-INDIRECT(ADDRESS(ROW()-D$2,2))</f>
        <v>-8.3100000000000023</v>
      </c>
      <c r="E269" s="4">
        <f t="shared" ca="1" si="7"/>
        <v>199.98500000000001</v>
      </c>
      <c r="F269" s="3">
        <v>10895.979999999927</v>
      </c>
      <c r="G269" s="3">
        <v>0</v>
      </c>
      <c r="H269" s="3">
        <f t="shared" si="6"/>
        <v>10895.979999999927</v>
      </c>
      <c r="I269" s="3">
        <v>0</v>
      </c>
      <c r="J269" s="3"/>
      <c r="K269" s="3"/>
      <c r="L269" s="3"/>
    </row>
    <row r="270" spans="1:12">
      <c r="A270" s="3">
        <v>42676</v>
      </c>
      <c r="B270" s="3">
        <v>188.02</v>
      </c>
      <c r="C270" s="4" cm="1">
        <f t="array" aca="1" ref="C270" ca="1">INDIRECT(ADDRESS(ROW()-C$3,2))-INDIRECT(ADDRESS(ROW()-C$2,2))</f>
        <v>-11.949999999999989</v>
      </c>
      <c r="D270" s="4" cm="1">
        <f t="array" aca="1" ref="D270" ca="1">INDIRECT(ADDRESS(ROW()-D$3,2))-INDIRECT(ADDRESS(ROW()-D$2,2))</f>
        <v>-15.539999999999992</v>
      </c>
      <c r="E270" s="4">
        <f t="shared" ca="1" si="7"/>
        <v>197.39999999999998</v>
      </c>
      <c r="F270" s="3">
        <v>10895.979999999927</v>
      </c>
      <c r="G270" s="3">
        <v>0</v>
      </c>
      <c r="H270" s="3">
        <f t="shared" si="6"/>
        <v>10895.979999999927</v>
      </c>
      <c r="I270" s="3">
        <v>0</v>
      </c>
      <c r="J270" s="3"/>
      <c r="K270" s="3"/>
      <c r="L270" s="3"/>
    </row>
    <row r="271" spans="1:12">
      <c r="A271" s="3">
        <v>42677</v>
      </c>
      <c r="B271" s="3">
        <v>187.42</v>
      </c>
      <c r="C271" s="4" cm="1">
        <f t="array" aca="1" ref="C271" ca="1">INDIRECT(ADDRESS(ROW()-C$3,2))-INDIRECT(ADDRESS(ROW()-C$2,2))</f>
        <v>-10.310000000000002</v>
      </c>
      <c r="D271" s="4" cm="1">
        <f t="array" aca="1" ref="D271" ca="1">INDIRECT(ADDRESS(ROW()-D$3,2))-INDIRECT(ADDRESS(ROW()-D$2,2))</f>
        <v>-11.680000000000007</v>
      </c>
      <c r="E271" s="4">
        <f t="shared" ca="1" si="7"/>
        <v>193.995</v>
      </c>
      <c r="F271" s="3">
        <v>10895.979999999927</v>
      </c>
      <c r="G271" s="3">
        <v>0</v>
      </c>
      <c r="H271" s="3">
        <f t="shared" si="6"/>
        <v>10895.979999999927</v>
      </c>
      <c r="I271" s="3">
        <v>0</v>
      </c>
      <c r="J271" s="3"/>
      <c r="K271" s="3"/>
      <c r="L271" s="3"/>
    </row>
    <row r="272" spans="1:12">
      <c r="A272" s="3">
        <v>42678</v>
      </c>
      <c r="B272" s="3">
        <v>190.56</v>
      </c>
      <c r="C272" s="4" cm="1">
        <f t="array" aca="1" ref="C272" ca="1">INDIRECT(ADDRESS(ROW()-C$3,2))-INDIRECT(ADDRESS(ROW()-C$2,2))</f>
        <v>-0.22999999999998977</v>
      </c>
      <c r="D272" s="4" cm="1">
        <f t="array" aca="1" ref="D272" ca="1">INDIRECT(ADDRESS(ROW()-D$3,2))-INDIRECT(ADDRESS(ROW()-D$2,2))</f>
        <v>-9.5300000000000011</v>
      </c>
      <c r="E272" s="4">
        <f t="shared" ca="1" si="7"/>
        <v>192.57499999999999</v>
      </c>
      <c r="F272" s="3">
        <v>10895.979999999927</v>
      </c>
      <c r="G272" s="3">
        <v>0</v>
      </c>
      <c r="H272" s="3">
        <f t="shared" si="6"/>
        <v>10895.979999999927</v>
      </c>
      <c r="I272" s="3">
        <v>0</v>
      </c>
      <c r="J272" s="3"/>
      <c r="K272" s="3"/>
      <c r="L272" s="3"/>
    </row>
    <row r="273" spans="1:12">
      <c r="A273" s="3">
        <v>42681</v>
      </c>
      <c r="B273" s="3">
        <v>193.21</v>
      </c>
      <c r="C273" s="4" cm="1">
        <f t="array" aca="1" ref="C273" ca="1">INDIRECT(ADDRESS(ROW()-C$3,2))-INDIRECT(ADDRESS(ROW()-C$2,2))</f>
        <v>5.1899999999999977</v>
      </c>
      <c r="D273" s="4" cm="1">
        <f t="array" aca="1" ref="D273" ca="1">INDIRECT(ADDRESS(ROW()-D$3,2))-INDIRECT(ADDRESS(ROW()-D$2,2))</f>
        <v>-9.5499999999999829</v>
      </c>
      <c r="E273" s="4">
        <f t="shared" ca="1" si="7"/>
        <v>190.67500000000001</v>
      </c>
      <c r="F273" s="3">
        <v>76.219999999936618</v>
      </c>
      <c r="G273" s="3">
        <v>10819.76</v>
      </c>
      <c r="H273" s="3">
        <f t="shared" si="6"/>
        <v>10895.979999999938</v>
      </c>
      <c r="I273" s="3">
        <v>56</v>
      </c>
      <c r="J273" s="3"/>
      <c r="K273" s="3"/>
      <c r="L273" s="3"/>
    </row>
    <row r="274" spans="1:12">
      <c r="A274" s="3">
        <v>42682</v>
      </c>
      <c r="B274" s="3">
        <v>194.94</v>
      </c>
      <c r="C274" s="4" cm="1">
        <f t="array" aca="1" ref="C274" ca="1">INDIRECT(ADDRESS(ROW()-C$3,2))-INDIRECT(ADDRESS(ROW()-C$2,2))</f>
        <v>7.5200000000000102</v>
      </c>
      <c r="D274" s="4" cm="1">
        <f t="array" aca="1" ref="D274" ca="1">INDIRECT(ADDRESS(ROW()-D$3,2))-INDIRECT(ADDRESS(ROW()-D$2,2))</f>
        <v>-7.4000000000000057</v>
      </c>
      <c r="E274" s="4">
        <f t="shared" ca="1" si="7"/>
        <v>190.61500000000001</v>
      </c>
      <c r="F274" s="3">
        <v>76.219999999936618</v>
      </c>
      <c r="G274" s="3">
        <v>10916.64</v>
      </c>
      <c r="H274" s="3">
        <f t="shared" si="6"/>
        <v>10992.859999999937</v>
      </c>
      <c r="I274" s="3">
        <v>56</v>
      </c>
      <c r="J274" s="3"/>
      <c r="K274" s="3"/>
      <c r="L274" s="3"/>
    </row>
    <row r="275" spans="1:12">
      <c r="A275" s="3">
        <v>42683</v>
      </c>
      <c r="B275" s="3">
        <v>190.06</v>
      </c>
      <c r="C275" s="4" cm="1">
        <f t="array" aca="1" ref="C275" ca="1">INDIRECT(ADDRESS(ROW()-C$3,2))-INDIRECT(ADDRESS(ROW()-C$2,2))</f>
        <v>-0.5</v>
      </c>
      <c r="D275" s="4" cm="1">
        <f t="array" aca="1" ref="D275" ca="1">INDIRECT(ADDRESS(ROW()-D$3,2))-INDIRECT(ADDRESS(ROW()-D$2,2))</f>
        <v>-12.180000000000007</v>
      </c>
      <c r="E275" s="4">
        <f t="shared" ca="1" si="7"/>
        <v>191.18</v>
      </c>
      <c r="F275" s="3">
        <v>10719.579999999938</v>
      </c>
      <c r="G275" s="3">
        <v>0</v>
      </c>
      <c r="H275" s="3">
        <f t="shared" si="6"/>
        <v>10719.579999999938</v>
      </c>
      <c r="I275" s="3">
        <v>0</v>
      </c>
      <c r="J275" s="3"/>
      <c r="K275" s="3"/>
      <c r="L275" s="3"/>
    </row>
    <row r="276" spans="1:12">
      <c r="A276" s="3">
        <v>42684</v>
      </c>
      <c r="B276" s="3">
        <v>185.35</v>
      </c>
      <c r="C276" s="4" cm="1">
        <f t="array" aca="1" ref="C276" ca="1">INDIRECT(ADDRESS(ROW()-C$3,2))-INDIRECT(ADDRESS(ROW()-C$2,2))</f>
        <v>-7.8600000000000136</v>
      </c>
      <c r="D276" s="4" cm="1">
        <f t="array" aca="1" ref="D276" ca="1">INDIRECT(ADDRESS(ROW()-D$3,2))-INDIRECT(ADDRESS(ROW()-D$2,2))</f>
        <v>-18.659999999999997</v>
      </c>
      <c r="E276" s="4">
        <f t="shared" ca="1" si="7"/>
        <v>190.31</v>
      </c>
      <c r="F276" s="3">
        <v>10719.579999999938</v>
      </c>
      <c r="G276" s="3">
        <v>0</v>
      </c>
      <c r="H276" s="3">
        <f t="shared" si="6"/>
        <v>10719.579999999938</v>
      </c>
      <c r="I276" s="3">
        <v>0</v>
      </c>
      <c r="J276" s="3"/>
      <c r="K276" s="3"/>
      <c r="L276" s="3"/>
    </row>
    <row r="277" spans="1:12">
      <c r="A277" s="3">
        <v>42685</v>
      </c>
      <c r="B277" s="3">
        <v>188.56</v>
      </c>
      <c r="C277" s="4" cm="1">
        <f t="array" aca="1" ref="C277" ca="1">INDIRECT(ADDRESS(ROW()-C$3,2))-INDIRECT(ADDRESS(ROW()-C$2,2))</f>
        <v>-6.3799999999999955</v>
      </c>
      <c r="D277" s="4" cm="1">
        <f t="array" aca="1" ref="D277" ca="1">INDIRECT(ADDRESS(ROW()-D$3,2))-INDIRECT(ADDRESS(ROW()-D$2,2))</f>
        <v>-11.409999999999997</v>
      </c>
      <c r="E277" s="4">
        <f t="shared" ca="1" si="7"/>
        <v>189.28</v>
      </c>
      <c r="F277" s="3">
        <v>10719.579999999938</v>
      </c>
      <c r="G277" s="3">
        <v>0</v>
      </c>
      <c r="H277" s="3">
        <f t="shared" si="6"/>
        <v>10719.579999999938</v>
      </c>
      <c r="I277" s="3">
        <v>0</v>
      </c>
      <c r="J277" s="3"/>
      <c r="K277" s="3"/>
      <c r="L277" s="3"/>
    </row>
    <row r="278" spans="1:12">
      <c r="A278" s="3">
        <v>42688</v>
      </c>
      <c r="B278" s="3">
        <v>181.45</v>
      </c>
      <c r="C278" s="4" cm="1">
        <f t="array" aca="1" ref="C278" ca="1">INDIRECT(ADDRESS(ROW()-C$3,2))-INDIRECT(ADDRESS(ROW()-C$2,2))</f>
        <v>-8.6100000000000136</v>
      </c>
      <c r="D278" s="4" cm="1">
        <f t="array" aca="1" ref="D278" ca="1">INDIRECT(ADDRESS(ROW()-D$3,2))-INDIRECT(ADDRESS(ROW()-D$2,2))</f>
        <v>-16.28</v>
      </c>
      <c r="E278" s="4">
        <f t="shared" ca="1" si="7"/>
        <v>191.75</v>
      </c>
      <c r="F278" s="3">
        <v>10719.579999999938</v>
      </c>
      <c r="G278" s="3">
        <v>0</v>
      </c>
      <c r="H278" s="3">
        <f t="shared" si="6"/>
        <v>10719.579999999938</v>
      </c>
      <c r="I278" s="3">
        <v>0</v>
      </c>
      <c r="J278" s="3"/>
      <c r="K278" s="3"/>
      <c r="L278" s="3"/>
    </row>
    <row r="279" spans="1:12">
      <c r="A279" s="3">
        <v>42689</v>
      </c>
      <c r="B279" s="3">
        <v>183.77</v>
      </c>
      <c r="C279" s="4" cm="1">
        <f t="array" aca="1" ref="C279" ca="1">INDIRECT(ADDRESS(ROW()-C$3,2))-INDIRECT(ADDRESS(ROW()-C$2,2))</f>
        <v>-1.5799999999999841</v>
      </c>
      <c r="D279" s="4" cm="1">
        <f t="array" aca="1" ref="D279" ca="1">INDIRECT(ADDRESS(ROW()-D$3,2))-INDIRECT(ADDRESS(ROW()-D$2,2))</f>
        <v>-7.0199999999999818</v>
      </c>
      <c r="E279" s="4">
        <f t="shared" ca="1" si="7"/>
        <v>185.755</v>
      </c>
      <c r="F279" s="3">
        <v>10719.579999999938</v>
      </c>
      <c r="G279" s="3">
        <v>0</v>
      </c>
      <c r="H279" s="3">
        <f t="shared" ref="H279:H342" si="8">G279+F279</f>
        <v>10719.579999999938</v>
      </c>
      <c r="I279" s="3">
        <v>0</v>
      </c>
      <c r="J279" s="3"/>
      <c r="K279" s="3"/>
      <c r="L279" s="3"/>
    </row>
    <row r="280" spans="1:12">
      <c r="A280" s="3">
        <v>42690</v>
      </c>
      <c r="B280" s="3">
        <v>183.93</v>
      </c>
      <c r="C280" s="4" cm="1">
        <f t="array" aca="1" ref="C280" ca="1">INDIRECT(ADDRESS(ROW()-C$3,2))-INDIRECT(ADDRESS(ROW()-C$2,2))</f>
        <v>-4.6299999999999955</v>
      </c>
      <c r="D280" s="4" cm="1">
        <f t="array" aca="1" ref="D280" ca="1">INDIRECT(ADDRESS(ROW()-D$3,2))-INDIRECT(ADDRESS(ROW()-D$2,2))</f>
        <v>-4.0900000000000034</v>
      </c>
      <c r="E280" s="4">
        <f t="shared" ref="E280:E343" ca="1" si="9">AVERAGE(INDIRECT(ADDRESS(ROW()-E$3,2)),INDIRECT(ADDRESS(ROW()-E$2,2)))</f>
        <v>184.56</v>
      </c>
      <c r="F280" s="3">
        <v>10719.579999999938</v>
      </c>
      <c r="G280" s="3">
        <v>0</v>
      </c>
      <c r="H280" s="3">
        <f t="shared" si="8"/>
        <v>10719.579999999938</v>
      </c>
      <c r="I280" s="3">
        <v>0</v>
      </c>
      <c r="J280" s="3"/>
      <c r="K280" s="3"/>
      <c r="L280" s="3"/>
    </row>
    <row r="281" spans="1:12">
      <c r="A281" s="3">
        <v>42691</v>
      </c>
      <c r="B281" s="3">
        <v>188.66</v>
      </c>
      <c r="C281" s="4" cm="1">
        <f t="array" aca="1" ref="C281" ca="1">INDIRECT(ADDRESS(ROW()-C$3,2))-INDIRECT(ADDRESS(ROW()-C$2,2))</f>
        <v>7.210000000000008</v>
      </c>
      <c r="D281" s="4" cm="1">
        <f t="array" aca="1" ref="D281" ca="1">INDIRECT(ADDRESS(ROW()-D$3,2))-INDIRECT(ADDRESS(ROW()-D$2,2))</f>
        <v>1.2400000000000091</v>
      </c>
      <c r="E281" s="4">
        <f t="shared" ca="1" si="9"/>
        <v>186.245</v>
      </c>
      <c r="F281" s="3">
        <v>154.61999999994427</v>
      </c>
      <c r="G281" s="3">
        <v>10564.96</v>
      </c>
      <c r="H281" s="3">
        <f t="shared" si="8"/>
        <v>10719.579999999944</v>
      </c>
      <c r="I281" s="3">
        <v>56</v>
      </c>
      <c r="J281" s="3"/>
      <c r="K281" s="3"/>
      <c r="L281" s="3"/>
    </row>
    <row r="282" spans="1:12">
      <c r="A282" s="3">
        <v>42692</v>
      </c>
      <c r="B282" s="3">
        <v>185.02</v>
      </c>
      <c r="C282" s="4" cm="1">
        <f t="array" aca="1" ref="C282" ca="1">INDIRECT(ADDRESS(ROW()-C$3,2))-INDIRECT(ADDRESS(ROW()-C$2,2))</f>
        <v>1.25</v>
      </c>
      <c r="D282" s="4" cm="1">
        <f t="array" aca="1" ref="D282" ca="1">INDIRECT(ADDRESS(ROW()-D$3,2))-INDIRECT(ADDRESS(ROW()-D$2,2))</f>
        <v>-5.539999999999992</v>
      </c>
      <c r="E282" s="4">
        <f t="shared" ca="1" si="9"/>
        <v>185.05500000000001</v>
      </c>
      <c r="F282" s="3">
        <v>154.61999999994427</v>
      </c>
      <c r="G282" s="3">
        <v>10361.120000000001</v>
      </c>
      <c r="H282" s="3">
        <f t="shared" si="8"/>
        <v>10515.739999999945</v>
      </c>
      <c r="I282" s="3">
        <v>56</v>
      </c>
      <c r="J282" s="3"/>
      <c r="K282" s="3"/>
      <c r="L282" s="3"/>
    </row>
    <row r="283" spans="1:12">
      <c r="A283" s="3">
        <v>42695</v>
      </c>
      <c r="B283" s="3">
        <v>184.52</v>
      </c>
      <c r="C283" s="4" cm="1">
        <f t="array" aca="1" ref="C283" ca="1">INDIRECT(ADDRESS(ROW()-C$3,2))-INDIRECT(ADDRESS(ROW()-C$2,2))</f>
        <v>0.59000000000000341</v>
      </c>
      <c r="D283" s="4" cm="1">
        <f t="array" aca="1" ref="D283" ca="1">INDIRECT(ADDRESS(ROW()-D$3,2))-INDIRECT(ADDRESS(ROW()-D$2,2))</f>
        <v>-8.6899999999999977</v>
      </c>
      <c r="E283" s="4">
        <f t="shared" ca="1" si="9"/>
        <v>184.39500000000001</v>
      </c>
      <c r="F283" s="3">
        <v>154.61999999994427</v>
      </c>
      <c r="G283" s="3">
        <v>10333.120000000001</v>
      </c>
      <c r="H283" s="3">
        <f t="shared" si="8"/>
        <v>10487.739999999945</v>
      </c>
      <c r="I283" s="3">
        <v>56</v>
      </c>
      <c r="J283" s="3"/>
      <c r="K283" s="3"/>
      <c r="L283" s="3"/>
    </row>
    <row r="284" spans="1:12">
      <c r="A284" s="3">
        <v>42696</v>
      </c>
      <c r="B284" s="3">
        <v>191.17</v>
      </c>
      <c r="C284" s="4" cm="1">
        <f t="array" aca="1" ref="C284" ca="1">INDIRECT(ADDRESS(ROW()-C$3,2))-INDIRECT(ADDRESS(ROW()-C$2,2))</f>
        <v>2.5099999999999909</v>
      </c>
      <c r="D284" s="4" cm="1">
        <f t="array" aca="1" ref="D284" ca="1">INDIRECT(ADDRESS(ROW()-D$3,2))-INDIRECT(ADDRESS(ROW()-D$2,2))</f>
        <v>-3.7700000000000102</v>
      </c>
      <c r="E284" s="4">
        <f t="shared" ca="1" si="9"/>
        <v>184.22500000000002</v>
      </c>
      <c r="F284" s="3">
        <v>154.61999999994427</v>
      </c>
      <c r="G284" s="3">
        <v>10705.519999999999</v>
      </c>
      <c r="H284" s="3">
        <f t="shared" si="8"/>
        <v>10860.139999999943</v>
      </c>
      <c r="I284" s="3">
        <v>56</v>
      </c>
      <c r="J284" s="3"/>
      <c r="K284" s="3"/>
      <c r="L284" s="3"/>
    </row>
    <row r="285" spans="1:12">
      <c r="A285" s="3">
        <v>42697</v>
      </c>
      <c r="B285" s="3">
        <v>193.14</v>
      </c>
      <c r="C285" s="4" cm="1">
        <f t="array" aca="1" ref="C285" ca="1">INDIRECT(ADDRESS(ROW()-C$3,2))-INDIRECT(ADDRESS(ROW()-C$2,2))</f>
        <v>8.1199999999999761</v>
      </c>
      <c r="D285" s="4" cm="1">
        <f t="array" aca="1" ref="D285" ca="1">INDIRECT(ADDRESS(ROW()-D$3,2))-INDIRECT(ADDRESS(ROW()-D$2,2))</f>
        <v>3.0799999999999841</v>
      </c>
      <c r="E285" s="4">
        <f t="shared" ca="1" si="9"/>
        <v>189.91499999999999</v>
      </c>
      <c r="F285" s="3">
        <v>154.61999999994427</v>
      </c>
      <c r="G285" s="3">
        <v>10815.84</v>
      </c>
      <c r="H285" s="3">
        <f t="shared" si="8"/>
        <v>10970.459999999945</v>
      </c>
      <c r="I285" s="3">
        <v>56</v>
      </c>
      <c r="J285" s="3"/>
      <c r="K285" s="3"/>
      <c r="L285" s="3"/>
    </row>
    <row r="286" spans="1:12">
      <c r="A286" s="3">
        <v>42699</v>
      </c>
      <c r="B286" s="3">
        <v>196.65</v>
      </c>
      <c r="C286" s="4" cm="1">
        <f t="array" aca="1" ref="C286" ca="1">INDIRECT(ADDRESS(ROW()-C$3,2))-INDIRECT(ADDRESS(ROW()-C$2,2))</f>
        <v>12.129999999999995</v>
      </c>
      <c r="D286" s="4" cm="1">
        <f t="array" aca="1" ref="D286" ca="1">INDIRECT(ADDRESS(ROW()-D$3,2))-INDIRECT(ADDRESS(ROW()-D$2,2))</f>
        <v>11.300000000000011</v>
      </c>
      <c r="E286" s="4">
        <f t="shared" ca="1" si="9"/>
        <v>189.07999999999998</v>
      </c>
      <c r="F286" s="3">
        <v>154.61999999994427</v>
      </c>
      <c r="G286" s="3">
        <v>11012.4</v>
      </c>
      <c r="H286" s="3">
        <f t="shared" si="8"/>
        <v>11167.019999999944</v>
      </c>
      <c r="I286" s="3">
        <v>56</v>
      </c>
      <c r="J286" s="3"/>
      <c r="K286" s="3"/>
      <c r="L286" s="3"/>
    </row>
    <row r="287" spans="1:12">
      <c r="A287" s="3">
        <v>42702</v>
      </c>
      <c r="B287" s="3">
        <v>196.12</v>
      </c>
      <c r="C287" s="4" cm="1">
        <f t="array" aca="1" ref="C287" ca="1">INDIRECT(ADDRESS(ROW()-C$3,2))-INDIRECT(ADDRESS(ROW()-C$2,2))</f>
        <v>4.9500000000000171</v>
      </c>
      <c r="D287" s="4" cm="1">
        <f t="array" aca="1" ref="D287" ca="1">INDIRECT(ADDRESS(ROW()-D$3,2))-INDIRECT(ADDRESS(ROW()-D$2,2))</f>
        <v>7.5600000000000023</v>
      </c>
      <c r="E287" s="4">
        <f t="shared" ca="1" si="9"/>
        <v>190.58500000000001</v>
      </c>
      <c r="F287" s="3">
        <v>154.61999999994427</v>
      </c>
      <c r="G287" s="3">
        <v>10982.720000000001</v>
      </c>
      <c r="H287" s="3">
        <f t="shared" si="8"/>
        <v>11137.339999999946</v>
      </c>
      <c r="I287" s="3">
        <v>56</v>
      </c>
      <c r="J287" s="3"/>
      <c r="K287" s="3"/>
      <c r="L287" s="3"/>
    </row>
    <row r="288" spans="1:12">
      <c r="A288" s="3">
        <v>42703</v>
      </c>
      <c r="B288" s="3">
        <v>189.57</v>
      </c>
      <c r="C288" s="4" cm="1">
        <f t="array" aca="1" ref="C288" ca="1">INDIRECT(ADDRESS(ROW()-C$3,2))-INDIRECT(ADDRESS(ROW()-C$2,2))</f>
        <v>-3.5699999999999932</v>
      </c>
      <c r="D288" s="4" cm="1">
        <f t="array" aca="1" ref="D288" ca="1">INDIRECT(ADDRESS(ROW()-D$3,2))-INDIRECT(ADDRESS(ROW()-D$2,2))</f>
        <v>8.1200000000000045</v>
      </c>
      <c r="E288" s="4">
        <f t="shared" ca="1" si="9"/>
        <v>193.64499999999998</v>
      </c>
      <c r="F288" s="3">
        <v>10770.539999999944</v>
      </c>
      <c r="G288" s="3">
        <v>0</v>
      </c>
      <c r="H288" s="3">
        <f t="shared" si="8"/>
        <v>10770.539999999944</v>
      </c>
      <c r="I288" s="3">
        <v>0</v>
      </c>
      <c r="J288" s="3"/>
      <c r="K288" s="3"/>
      <c r="L288" s="3"/>
    </row>
    <row r="289" spans="1:12">
      <c r="A289" s="3">
        <v>42704</v>
      </c>
      <c r="B289" s="3">
        <v>189.4</v>
      </c>
      <c r="C289" s="4" cm="1">
        <f t="array" aca="1" ref="C289" ca="1">INDIRECT(ADDRESS(ROW()-C$3,2))-INDIRECT(ADDRESS(ROW()-C$2,2))</f>
        <v>-7.25</v>
      </c>
      <c r="D289" s="4" cm="1">
        <f t="array" aca="1" ref="D289" ca="1">INDIRECT(ADDRESS(ROW()-D$3,2))-INDIRECT(ADDRESS(ROW()-D$2,2))</f>
        <v>5.6299999999999955</v>
      </c>
      <c r="E289" s="4">
        <f t="shared" ca="1" si="9"/>
        <v>191.35499999999999</v>
      </c>
      <c r="F289" s="3">
        <v>10770.539999999944</v>
      </c>
      <c r="G289" s="3">
        <v>0</v>
      </c>
      <c r="H289" s="3">
        <f t="shared" si="8"/>
        <v>10770.539999999944</v>
      </c>
      <c r="I289" s="3">
        <v>0</v>
      </c>
      <c r="J289" s="3"/>
      <c r="K289" s="3"/>
      <c r="L289" s="3"/>
    </row>
    <row r="290" spans="1:12">
      <c r="A290" s="3">
        <v>42705</v>
      </c>
      <c r="B290" s="3">
        <v>181.88</v>
      </c>
      <c r="C290" s="4" cm="1">
        <f t="array" aca="1" ref="C290" ca="1">INDIRECT(ADDRESS(ROW()-C$3,2))-INDIRECT(ADDRESS(ROW()-C$2,2))</f>
        <v>-14.240000000000009</v>
      </c>
      <c r="D290" s="4" cm="1">
        <f t="array" aca="1" ref="D290" ca="1">INDIRECT(ADDRESS(ROW()-D$3,2))-INDIRECT(ADDRESS(ROW()-D$2,2))</f>
        <v>-2.0500000000000114</v>
      </c>
      <c r="E290" s="4">
        <f t="shared" ca="1" si="9"/>
        <v>193.02500000000001</v>
      </c>
      <c r="F290" s="3">
        <v>10770.539999999944</v>
      </c>
      <c r="G290" s="3">
        <v>0</v>
      </c>
      <c r="H290" s="3">
        <f t="shared" si="8"/>
        <v>10770.539999999944</v>
      </c>
      <c r="I290" s="3">
        <v>0</v>
      </c>
      <c r="J290" s="3"/>
      <c r="K290" s="3"/>
      <c r="L290" s="3"/>
    </row>
    <row r="291" spans="1:12">
      <c r="A291" s="3">
        <v>42706</v>
      </c>
      <c r="B291" s="3">
        <v>181.47</v>
      </c>
      <c r="C291" s="4" cm="1">
        <f t="array" aca="1" ref="C291" ca="1">INDIRECT(ADDRESS(ROW()-C$3,2))-INDIRECT(ADDRESS(ROW()-C$2,2))</f>
        <v>-8.0999999999999943</v>
      </c>
      <c r="D291" s="4" cm="1">
        <f t="array" aca="1" ref="D291" ca="1">INDIRECT(ADDRESS(ROW()-D$3,2))-INDIRECT(ADDRESS(ROW()-D$2,2))</f>
        <v>-7.1899999999999977</v>
      </c>
      <c r="E291" s="4">
        <f t="shared" ca="1" si="9"/>
        <v>189</v>
      </c>
      <c r="F291" s="3">
        <v>10770.539999999944</v>
      </c>
      <c r="G291" s="3">
        <v>0</v>
      </c>
      <c r="H291" s="3">
        <f t="shared" si="8"/>
        <v>10770.539999999944</v>
      </c>
      <c r="I291" s="3">
        <v>0</v>
      </c>
      <c r="J291" s="3"/>
      <c r="K291" s="3"/>
      <c r="L291" s="3"/>
    </row>
    <row r="292" spans="1:12">
      <c r="A292" s="3">
        <v>42709</v>
      </c>
      <c r="B292" s="3">
        <v>186.8</v>
      </c>
      <c r="C292" s="4" cm="1">
        <f t="array" aca="1" ref="C292" ca="1">INDIRECT(ADDRESS(ROW()-C$3,2))-INDIRECT(ADDRESS(ROW()-C$2,2))</f>
        <v>-2.5999999999999943</v>
      </c>
      <c r="D292" s="4" cm="1">
        <f t="array" aca="1" ref="D292" ca="1">INDIRECT(ADDRESS(ROW()-D$3,2))-INDIRECT(ADDRESS(ROW()-D$2,2))</f>
        <v>1.7800000000000011</v>
      </c>
      <c r="E292" s="4">
        <f t="shared" ca="1" si="9"/>
        <v>185.51999999999998</v>
      </c>
      <c r="F292" s="3">
        <v>10770.539999999944</v>
      </c>
      <c r="G292" s="3">
        <v>0</v>
      </c>
      <c r="H292" s="3">
        <f t="shared" si="8"/>
        <v>10770.539999999944</v>
      </c>
      <c r="I292" s="3">
        <v>0</v>
      </c>
      <c r="J292" s="3"/>
      <c r="K292" s="3"/>
      <c r="L292" s="3"/>
    </row>
    <row r="293" spans="1:12">
      <c r="A293" s="3">
        <v>42710</v>
      </c>
      <c r="B293" s="3">
        <v>185.85</v>
      </c>
      <c r="C293" s="4" cm="1">
        <f t="array" aca="1" ref="C293" ca="1">INDIRECT(ADDRESS(ROW()-C$3,2))-INDIRECT(ADDRESS(ROW()-C$2,2))</f>
        <v>3.9699999999999989</v>
      </c>
      <c r="D293" s="4" cm="1">
        <f t="array" aca="1" ref="D293" ca="1">INDIRECT(ADDRESS(ROW()-D$3,2))-INDIRECT(ADDRESS(ROW()-D$2,2))</f>
        <v>1.3299999999999841</v>
      </c>
      <c r="E293" s="4">
        <f t="shared" ca="1" si="9"/>
        <v>188.10000000000002</v>
      </c>
      <c r="F293" s="3">
        <v>177.08999999993321</v>
      </c>
      <c r="G293" s="3">
        <v>10593.449999999999</v>
      </c>
      <c r="H293" s="3">
        <f t="shared" si="8"/>
        <v>10770.539999999932</v>
      </c>
      <c r="I293" s="3">
        <v>57</v>
      </c>
      <c r="J293" s="3"/>
      <c r="K293" s="3"/>
      <c r="L293" s="3"/>
    </row>
    <row r="294" spans="1:12">
      <c r="A294" s="3">
        <v>42711</v>
      </c>
      <c r="B294" s="3">
        <v>193.15</v>
      </c>
      <c r="C294" s="4" cm="1">
        <f t="array" aca="1" ref="C294" ca="1">INDIRECT(ADDRESS(ROW()-C$3,2))-INDIRECT(ADDRESS(ROW()-C$2,2))</f>
        <v>11.680000000000007</v>
      </c>
      <c r="D294" s="4" cm="1">
        <f t="array" aca="1" ref="D294" ca="1">INDIRECT(ADDRESS(ROW()-D$3,2))-INDIRECT(ADDRESS(ROW()-D$2,2))</f>
        <v>1.9800000000000182</v>
      </c>
      <c r="E294" s="4">
        <f t="shared" ca="1" si="9"/>
        <v>183.86500000000001</v>
      </c>
      <c r="F294" s="3">
        <v>177.08999999993321</v>
      </c>
      <c r="G294" s="3">
        <v>11009.550000000001</v>
      </c>
      <c r="H294" s="3">
        <f t="shared" si="8"/>
        <v>11186.639999999934</v>
      </c>
      <c r="I294" s="3">
        <v>57</v>
      </c>
      <c r="J294" s="3"/>
      <c r="K294" s="3"/>
      <c r="L294" s="3"/>
    </row>
    <row r="295" spans="1:12">
      <c r="A295" s="3">
        <v>42712</v>
      </c>
      <c r="B295" s="3">
        <v>192.29</v>
      </c>
      <c r="C295" s="4" cm="1">
        <f t="array" aca="1" ref="C295" ca="1">INDIRECT(ADDRESS(ROW()-C$3,2))-INDIRECT(ADDRESS(ROW()-C$2,2))</f>
        <v>5.4899999999999807</v>
      </c>
      <c r="D295" s="4" cm="1">
        <f t="array" aca="1" ref="D295" ca="1">INDIRECT(ADDRESS(ROW()-D$3,2))-INDIRECT(ADDRESS(ROW()-D$2,2))</f>
        <v>-0.84999999999999432</v>
      </c>
      <c r="E295" s="4">
        <f t="shared" ca="1" si="9"/>
        <v>187.31</v>
      </c>
      <c r="F295" s="3">
        <v>177.08999999993321</v>
      </c>
      <c r="G295" s="3">
        <v>10960.529999999999</v>
      </c>
      <c r="H295" s="3">
        <f t="shared" si="8"/>
        <v>11137.619999999932</v>
      </c>
      <c r="I295" s="3">
        <v>57</v>
      </c>
      <c r="J295" s="3"/>
      <c r="K295" s="3"/>
      <c r="L295" s="3"/>
    </row>
    <row r="296" spans="1:12">
      <c r="A296" s="3">
        <v>42713</v>
      </c>
      <c r="B296" s="3">
        <v>192.18</v>
      </c>
      <c r="C296" s="4" cm="1">
        <f t="array" aca="1" ref="C296" ca="1">INDIRECT(ADDRESS(ROW()-C$3,2))-INDIRECT(ADDRESS(ROW()-C$2,2))</f>
        <v>6.3300000000000125</v>
      </c>
      <c r="D296" s="4" cm="1">
        <f t="array" aca="1" ref="D296" ca="1">INDIRECT(ADDRESS(ROW()-D$3,2))-INDIRECT(ADDRESS(ROW()-D$2,2))</f>
        <v>-4.4699999999999989</v>
      </c>
      <c r="E296" s="4">
        <f t="shared" ca="1" si="9"/>
        <v>189.54500000000002</v>
      </c>
      <c r="F296" s="3">
        <v>177.08999999993321</v>
      </c>
      <c r="G296" s="3">
        <v>10954.26</v>
      </c>
      <c r="H296" s="3">
        <f t="shared" si="8"/>
        <v>11131.349999999933</v>
      </c>
      <c r="I296" s="3">
        <v>57</v>
      </c>
      <c r="J296" s="3"/>
      <c r="K296" s="3"/>
      <c r="L296" s="3"/>
    </row>
    <row r="297" spans="1:12">
      <c r="A297" s="3">
        <v>42716</v>
      </c>
      <c r="B297" s="3">
        <v>192.43</v>
      </c>
      <c r="C297" s="4" cm="1">
        <f t="array" aca="1" ref="C297" ca="1">INDIRECT(ADDRESS(ROW()-C$3,2))-INDIRECT(ADDRESS(ROW()-C$2,2))</f>
        <v>-0.71999999999999886</v>
      </c>
      <c r="D297" s="4" cm="1">
        <f t="array" aca="1" ref="D297" ca="1">INDIRECT(ADDRESS(ROW()-D$3,2))-INDIRECT(ADDRESS(ROW()-D$2,2))</f>
        <v>-3.6899999999999977</v>
      </c>
      <c r="E297" s="4">
        <f t="shared" ca="1" si="9"/>
        <v>189.01499999999999</v>
      </c>
      <c r="F297" s="3">
        <v>11145.599999999933</v>
      </c>
      <c r="G297" s="3">
        <v>0</v>
      </c>
      <c r="H297" s="3">
        <f t="shared" si="8"/>
        <v>11145.599999999933</v>
      </c>
      <c r="I297" s="3">
        <v>0</v>
      </c>
      <c r="J297" s="3"/>
      <c r="K297" s="3"/>
      <c r="L297" s="3"/>
    </row>
    <row r="298" spans="1:12">
      <c r="A298" s="3">
        <v>42717</v>
      </c>
      <c r="B298" s="3">
        <v>198.15</v>
      </c>
      <c r="C298" s="4" cm="1">
        <f t="array" aca="1" ref="C298" ca="1">INDIRECT(ADDRESS(ROW()-C$3,2))-INDIRECT(ADDRESS(ROW()-C$2,2))</f>
        <v>5.8600000000000136</v>
      </c>
      <c r="D298" s="4" cm="1">
        <f t="array" aca="1" ref="D298" ca="1">INDIRECT(ADDRESS(ROW()-D$3,2))-INDIRECT(ADDRESS(ROW()-D$2,2))</f>
        <v>8.5800000000000125</v>
      </c>
      <c r="E298" s="4">
        <f t="shared" ca="1" si="9"/>
        <v>192.79000000000002</v>
      </c>
      <c r="F298" s="3">
        <v>49.199999999944396</v>
      </c>
      <c r="G298" s="3">
        <v>11096.4</v>
      </c>
      <c r="H298" s="3">
        <f t="shared" si="8"/>
        <v>11145.599999999944</v>
      </c>
      <c r="I298" s="3">
        <v>56</v>
      </c>
      <c r="J298" s="3"/>
      <c r="K298" s="3"/>
      <c r="L298" s="3"/>
    </row>
    <row r="299" spans="1:12">
      <c r="A299" s="3">
        <v>42718</v>
      </c>
      <c r="B299" s="3">
        <v>198.69</v>
      </c>
      <c r="C299" s="4" cm="1">
        <f t="array" aca="1" ref="C299" ca="1">INDIRECT(ADDRESS(ROW()-C$3,2))-INDIRECT(ADDRESS(ROW()-C$2,2))</f>
        <v>6.5099999999999909</v>
      </c>
      <c r="D299" s="4" cm="1">
        <f t="array" aca="1" ref="D299" ca="1">INDIRECT(ADDRESS(ROW()-D$3,2))-INDIRECT(ADDRESS(ROW()-D$2,2))</f>
        <v>9.289999999999992</v>
      </c>
      <c r="E299" s="4">
        <f t="shared" ca="1" si="9"/>
        <v>195.22</v>
      </c>
      <c r="F299" s="3">
        <v>49.199999999944396</v>
      </c>
      <c r="G299" s="3">
        <v>11126.64</v>
      </c>
      <c r="H299" s="3">
        <f t="shared" si="8"/>
        <v>11175.839999999944</v>
      </c>
      <c r="I299" s="3">
        <v>56</v>
      </c>
      <c r="J299" s="3"/>
      <c r="K299" s="3"/>
      <c r="L299" s="3"/>
    </row>
    <row r="300" spans="1:12">
      <c r="A300" s="3">
        <v>42719</v>
      </c>
      <c r="B300" s="3">
        <v>197.58</v>
      </c>
      <c r="C300" s="4" cm="1">
        <f t="array" aca="1" ref="C300" ca="1">INDIRECT(ADDRESS(ROW()-C$3,2))-INDIRECT(ADDRESS(ROW()-C$2,2))</f>
        <v>5.1500000000000057</v>
      </c>
      <c r="D300" s="4" cm="1">
        <f t="array" aca="1" ref="D300" ca="1">INDIRECT(ADDRESS(ROW()-D$3,2))-INDIRECT(ADDRESS(ROW()-D$2,2))</f>
        <v>15.700000000000017</v>
      </c>
      <c r="E300" s="4">
        <f t="shared" ca="1" si="9"/>
        <v>195.435</v>
      </c>
      <c r="F300" s="3">
        <v>49.199999999944396</v>
      </c>
      <c r="G300" s="3">
        <v>11064.480000000001</v>
      </c>
      <c r="H300" s="3">
        <f t="shared" si="8"/>
        <v>11113.679999999946</v>
      </c>
      <c r="I300" s="3">
        <v>56</v>
      </c>
      <c r="J300" s="3"/>
      <c r="K300" s="3"/>
      <c r="L300" s="3"/>
    </row>
    <row r="301" spans="1:12">
      <c r="A301" s="3">
        <v>42720</v>
      </c>
      <c r="B301" s="3">
        <v>202.49</v>
      </c>
      <c r="C301" s="4" cm="1">
        <f t="array" aca="1" ref="C301" ca="1">INDIRECT(ADDRESS(ROW()-C$3,2))-INDIRECT(ADDRESS(ROW()-C$2,2))</f>
        <v>4.3400000000000034</v>
      </c>
      <c r="D301" s="4" cm="1">
        <f t="array" aca="1" ref="D301" ca="1">INDIRECT(ADDRESS(ROW()-D$3,2))-INDIRECT(ADDRESS(ROW()-D$2,2))</f>
        <v>21.02000000000001</v>
      </c>
      <c r="E301" s="4">
        <f t="shared" ca="1" si="9"/>
        <v>195.005</v>
      </c>
      <c r="F301" s="3">
        <v>49.199999999944396</v>
      </c>
      <c r="G301" s="3">
        <v>11339.44</v>
      </c>
      <c r="H301" s="3">
        <f t="shared" si="8"/>
        <v>11388.639999999945</v>
      </c>
      <c r="I301" s="3">
        <v>56</v>
      </c>
      <c r="J301" s="3"/>
      <c r="K301" s="3"/>
      <c r="L301" s="3"/>
    </row>
    <row r="302" spans="1:12">
      <c r="A302" s="3">
        <v>42723</v>
      </c>
      <c r="B302" s="3">
        <v>202.73</v>
      </c>
      <c r="C302" s="4" cm="1">
        <f t="array" aca="1" ref="C302" ca="1">INDIRECT(ADDRESS(ROW()-C$3,2))-INDIRECT(ADDRESS(ROW()-C$2,2))</f>
        <v>4.039999999999992</v>
      </c>
      <c r="D302" s="4" cm="1">
        <f t="array" aca="1" ref="D302" ca="1">INDIRECT(ADDRESS(ROW()-D$3,2))-INDIRECT(ADDRESS(ROW()-D$2,2))</f>
        <v>15.929999999999978</v>
      </c>
      <c r="E302" s="4">
        <f t="shared" ca="1" si="9"/>
        <v>200.32</v>
      </c>
      <c r="F302" s="3">
        <v>49.199999999944396</v>
      </c>
      <c r="G302" s="3">
        <v>11352.88</v>
      </c>
      <c r="H302" s="3">
        <f t="shared" si="8"/>
        <v>11402.079999999944</v>
      </c>
      <c r="I302" s="3">
        <v>56</v>
      </c>
      <c r="J302" s="3"/>
      <c r="K302" s="3"/>
      <c r="L302" s="3"/>
    </row>
    <row r="303" spans="1:12">
      <c r="A303" s="3">
        <v>42724</v>
      </c>
      <c r="B303" s="3">
        <v>208.79</v>
      </c>
      <c r="C303" s="4" cm="1">
        <f t="array" aca="1" ref="C303" ca="1">INDIRECT(ADDRESS(ROW()-C$3,2))-INDIRECT(ADDRESS(ROW()-C$2,2))</f>
        <v>11.20999999999998</v>
      </c>
      <c r="D303" s="4" cm="1">
        <f t="array" aca="1" ref="D303" ca="1">INDIRECT(ADDRESS(ROW()-D$3,2))-INDIRECT(ADDRESS(ROW()-D$2,2))</f>
        <v>22.939999999999998</v>
      </c>
      <c r="E303" s="4">
        <f t="shared" ca="1" si="9"/>
        <v>200.70999999999998</v>
      </c>
      <c r="F303" s="3">
        <v>49.199999999944396</v>
      </c>
      <c r="G303" s="3">
        <v>11692.24</v>
      </c>
      <c r="H303" s="3">
        <f t="shared" si="8"/>
        <v>11741.439999999944</v>
      </c>
      <c r="I303" s="3">
        <v>56</v>
      </c>
      <c r="J303" s="3"/>
      <c r="K303" s="3"/>
      <c r="L303" s="3"/>
    </row>
    <row r="304" spans="1:12">
      <c r="A304" s="3">
        <v>42725</v>
      </c>
      <c r="B304" s="3">
        <v>207.7</v>
      </c>
      <c r="C304" s="4" cm="1">
        <f t="array" aca="1" ref="C304" ca="1">INDIRECT(ADDRESS(ROW()-C$3,2))-INDIRECT(ADDRESS(ROW()-C$2,2))</f>
        <v>5.2099999999999795</v>
      </c>
      <c r="D304" s="4" cm="1">
        <f t="array" aca="1" ref="D304" ca="1">INDIRECT(ADDRESS(ROW()-D$3,2))-INDIRECT(ADDRESS(ROW()-D$2,2))</f>
        <v>14.549999999999983</v>
      </c>
      <c r="E304" s="4">
        <f t="shared" ca="1" si="9"/>
        <v>203.185</v>
      </c>
      <c r="F304" s="3">
        <v>49.199999999944396</v>
      </c>
      <c r="G304" s="3">
        <v>11631.199999999999</v>
      </c>
      <c r="H304" s="3">
        <f t="shared" si="8"/>
        <v>11680.399999999943</v>
      </c>
      <c r="I304" s="3">
        <v>56</v>
      </c>
      <c r="J304" s="3"/>
      <c r="K304" s="3"/>
      <c r="L304" s="3"/>
    </row>
    <row r="305" spans="1:12">
      <c r="A305" s="3">
        <v>42726</v>
      </c>
      <c r="B305" s="3">
        <v>208.45</v>
      </c>
      <c r="C305" s="4" cm="1">
        <f t="array" aca="1" ref="C305" ca="1">INDIRECT(ADDRESS(ROW()-C$3,2))-INDIRECT(ADDRESS(ROW()-C$2,2))</f>
        <v>5.7199999999999989</v>
      </c>
      <c r="D305" s="4" cm="1">
        <f t="array" aca="1" ref="D305" ca="1">INDIRECT(ADDRESS(ROW()-D$3,2))-INDIRECT(ADDRESS(ROW()-D$2,2))</f>
        <v>16.159999999999997</v>
      </c>
      <c r="E305" s="4">
        <f t="shared" ca="1" si="9"/>
        <v>205.095</v>
      </c>
      <c r="F305" s="3">
        <v>49.199999999944396</v>
      </c>
      <c r="G305" s="3">
        <v>11673.199999999999</v>
      </c>
      <c r="H305" s="3">
        <f t="shared" si="8"/>
        <v>11722.399999999943</v>
      </c>
      <c r="I305" s="3">
        <v>56</v>
      </c>
      <c r="J305" s="3"/>
      <c r="K305" s="3"/>
      <c r="L305" s="3"/>
    </row>
    <row r="306" spans="1:12">
      <c r="A306" s="3">
        <v>42727</v>
      </c>
      <c r="B306" s="3">
        <v>213.34</v>
      </c>
      <c r="C306" s="4" cm="1">
        <f t="array" aca="1" ref="C306" ca="1">INDIRECT(ADDRESS(ROW()-C$3,2))-INDIRECT(ADDRESS(ROW()-C$2,2))</f>
        <v>4.5500000000000114</v>
      </c>
      <c r="D306" s="4" cm="1">
        <f t="array" aca="1" ref="D306" ca="1">INDIRECT(ADDRESS(ROW()-D$3,2))-INDIRECT(ADDRESS(ROW()-D$2,2))</f>
        <v>21.159999999999997</v>
      </c>
      <c r="E306" s="4">
        <f t="shared" ca="1" si="9"/>
        <v>205.58999999999997</v>
      </c>
      <c r="F306" s="3">
        <v>49.199999999944396</v>
      </c>
      <c r="G306" s="3">
        <v>11947.04</v>
      </c>
      <c r="H306" s="3">
        <f t="shared" si="8"/>
        <v>11996.239999999945</v>
      </c>
      <c r="I306" s="3">
        <v>56</v>
      </c>
      <c r="J306" s="3"/>
      <c r="K306" s="3"/>
      <c r="L306" s="3"/>
    </row>
    <row r="307" spans="1:12">
      <c r="A307" s="3">
        <v>42731</v>
      </c>
      <c r="B307" s="3">
        <v>219.53</v>
      </c>
      <c r="C307" s="4" cm="1">
        <f t="array" aca="1" ref="C307" ca="1">INDIRECT(ADDRESS(ROW()-C$3,2))-INDIRECT(ADDRESS(ROW()-C$2,2))</f>
        <v>11.830000000000013</v>
      </c>
      <c r="D307" s="4" cm="1">
        <f t="array" aca="1" ref="D307" ca="1">INDIRECT(ADDRESS(ROW()-D$3,2))-INDIRECT(ADDRESS(ROW()-D$2,2))</f>
        <v>27.099999999999994</v>
      </c>
      <c r="E307" s="4">
        <f t="shared" ca="1" si="9"/>
        <v>211.065</v>
      </c>
      <c r="F307" s="3">
        <v>49.199999999944396</v>
      </c>
      <c r="G307" s="3">
        <v>12293.68</v>
      </c>
      <c r="H307" s="3">
        <f t="shared" si="8"/>
        <v>12342.879999999945</v>
      </c>
      <c r="I307" s="3">
        <v>56</v>
      </c>
      <c r="J307" s="3"/>
      <c r="K307" s="3"/>
      <c r="L307" s="3"/>
    </row>
    <row r="308" spans="1:12">
      <c r="A308" s="3">
        <v>42732</v>
      </c>
      <c r="B308" s="3">
        <v>219.74</v>
      </c>
      <c r="C308" s="4" cm="1">
        <f t="array" aca="1" ref="C308" ca="1">INDIRECT(ADDRESS(ROW()-C$3,2))-INDIRECT(ADDRESS(ROW()-C$2,2))</f>
        <v>11.29000000000002</v>
      </c>
      <c r="D308" s="4" cm="1">
        <f t="array" aca="1" ref="D308" ca="1">INDIRECT(ADDRESS(ROW()-D$3,2))-INDIRECT(ADDRESS(ROW()-D$2,2))</f>
        <v>21.590000000000003</v>
      </c>
      <c r="E308" s="4">
        <f t="shared" ca="1" si="9"/>
        <v>213.61500000000001</v>
      </c>
      <c r="F308" s="3">
        <v>49.199999999944396</v>
      </c>
      <c r="G308" s="3">
        <v>12305.44</v>
      </c>
      <c r="H308" s="3">
        <f t="shared" si="8"/>
        <v>12354.639999999945</v>
      </c>
      <c r="I308" s="3">
        <v>56</v>
      </c>
      <c r="J308" s="3"/>
      <c r="K308" s="3"/>
      <c r="L308" s="3"/>
    </row>
    <row r="309" spans="1:12">
      <c r="A309" s="3">
        <v>42733</v>
      </c>
      <c r="B309" s="3">
        <v>214.68</v>
      </c>
      <c r="C309" s="4" cm="1">
        <f t="array" aca="1" ref="C309" ca="1">INDIRECT(ADDRESS(ROW()-C$3,2))-INDIRECT(ADDRESS(ROW()-C$2,2))</f>
        <v>1.3400000000000034</v>
      </c>
      <c r="D309" s="4" cm="1">
        <f t="array" aca="1" ref="D309" ca="1">INDIRECT(ADDRESS(ROW()-D$3,2))-INDIRECT(ADDRESS(ROW()-D$2,2))</f>
        <v>15.990000000000009</v>
      </c>
      <c r="E309" s="4">
        <f t="shared" ca="1" si="9"/>
        <v>214.095</v>
      </c>
      <c r="F309" s="3">
        <v>49.199999999944396</v>
      </c>
      <c r="G309" s="3">
        <v>12022.08</v>
      </c>
      <c r="H309" s="3">
        <f t="shared" si="8"/>
        <v>12071.279999999944</v>
      </c>
      <c r="I309" s="3">
        <v>56</v>
      </c>
      <c r="J309" s="3"/>
      <c r="K309" s="3"/>
      <c r="L309" s="3"/>
    </row>
    <row r="310" spans="1:12">
      <c r="A310" s="3">
        <v>42734</v>
      </c>
      <c r="B310" s="3">
        <v>213.69</v>
      </c>
      <c r="C310" s="4" cm="1">
        <f t="array" aca="1" ref="C310" ca="1">INDIRECT(ADDRESS(ROW()-C$3,2))-INDIRECT(ADDRESS(ROW()-C$2,2))</f>
        <v>-5.8400000000000034</v>
      </c>
      <c r="D310" s="4" cm="1">
        <f t="array" aca="1" ref="D310" ca="1">INDIRECT(ADDRESS(ROW()-D$3,2))-INDIRECT(ADDRESS(ROW()-D$2,2))</f>
        <v>16.109999999999985</v>
      </c>
      <c r="E310" s="4">
        <f t="shared" ca="1" si="9"/>
        <v>214.01</v>
      </c>
      <c r="F310" s="3">
        <v>12015.839999999944</v>
      </c>
      <c r="G310" s="3">
        <v>0</v>
      </c>
      <c r="H310" s="3">
        <f t="shared" si="8"/>
        <v>12015.839999999944</v>
      </c>
      <c r="I310" s="3">
        <v>0</v>
      </c>
      <c r="J310" s="3"/>
      <c r="K310" s="3"/>
      <c r="L310" s="3"/>
    </row>
    <row r="311" spans="1:12">
      <c r="A311" s="3">
        <v>42738</v>
      </c>
      <c r="B311" s="3">
        <v>216.99</v>
      </c>
      <c r="C311" s="4" cm="1">
        <f t="array" aca="1" ref="C311" ca="1">INDIRECT(ADDRESS(ROW()-C$3,2))-INDIRECT(ADDRESS(ROW()-C$2,2))</f>
        <v>-2.75</v>
      </c>
      <c r="D311" s="4" cm="1">
        <f t="array" aca="1" ref="D311" ca="1">INDIRECT(ADDRESS(ROW()-D$3,2))-INDIRECT(ADDRESS(ROW()-D$2,2))</f>
        <v>14.5</v>
      </c>
      <c r="E311" s="4">
        <f t="shared" ca="1" si="9"/>
        <v>216.61</v>
      </c>
      <c r="F311" s="3">
        <v>12015.839999999944</v>
      </c>
      <c r="G311" s="3">
        <v>0</v>
      </c>
      <c r="H311" s="3">
        <f t="shared" si="8"/>
        <v>12015.839999999944</v>
      </c>
      <c r="I311" s="3">
        <v>0</v>
      </c>
      <c r="J311" s="3"/>
      <c r="K311" s="3"/>
      <c r="L311" s="3"/>
    </row>
    <row r="312" spans="1:12">
      <c r="A312" s="3">
        <v>42739</v>
      </c>
      <c r="B312" s="3">
        <v>226.99</v>
      </c>
      <c r="C312" s="4" cm="1">
        <f t="array" aca="1" ref="C312" ca="1">INDIRECT(ADDRESS(ROW()-C$3,2))-INDIRECT(ADDRESS(ROW()-C$2,2))</f>
        <v>12.310000000000002</v>
      </c>
      <c r="D312" s="4" cm="1">
        <f t="array" aca="1" ref="D312" ca="1">INDIRECT(ADDRESS(ROW()-D$3,2))-INDIRECT(ADDRESS(ROW()-D$2,2))</f>
        <v>24.260000000000019</v>
      </c>
      <c r="E312" s="4">
        <f t="shared" ca="1" si="9"/>
        <v>218.36500000000001</v>
      </c>
      <c r="F312" s="3">
        <v>212.35999999995306</v>
      </c>
      <c r="G312" s="3">
        <v>11803.48</v>
      </c>
      <c r="H312" s="3">
        <f t="shared" si="8"/>
        <v>12015.839999999953</v>
      </c>
      <c r="I312" s="3">
        <v>52</v>
      </c>
      <c r="J312" s="3"/>
      <c r="K312" s="3"/>
      <c r="L312" s="3"/>
    </row>
    <row r="313" spans="1:12">
      <c r="A313" s="3">
        <v>42740</v>
      </c>
      <c r="B313" s="3">
        <v>226.75</v>
      </c>
      <c r="C313" s="4" cm="1">
        <f t="array" aca="1" ref="C313" ca="1">INDIRECT(ADDRESS(ROW()-C$3,2))-INDIRECT(ADDRESS(ROW()-C$2,2))</f>
        <v>13.060000000000002</v>
      </c>
      <c r="D313" s="4" cm="1">
        <f t="array" aca="1" ref="D313" ca="1">INDIRECT(ADDRESS(ROW()-D$3,2))-INDIRECT(ADDRESS(ROW()-D$2,2))</f>
        <v>17.960000000000008</v>
      </c>
      <c r="E313" s="4">
        <f t="shared" ca="1" si="9"/>
        <v>220.83500000000001</v>
      </c>
      <c r="F313" s="3">
        <v>212.35999999995306</v>
      </c>
      <c r="G313" s="3">
        <v>11791</v>
      </c>
      <c r="H313" s="3">
        <f t="shared" si="8"/>
        <v>12003.359999999953</v>
      </c>
      <c r="I313" s="3">
        <v>52</v>
      </c>
      <c r="J313" s="3"/>
      <c r="K313" s="3"/>
      <c r="L313" s="3"/>
    </row>
    <row r="314" spans="1:12">
      <c r="A314" s="3">
        <v>42741</v>
      </c>
      <c r="B314" s="3">
        <v>229.01</v>
      </c>
      <c r="C314" s="4" cm="1">
        <f t="array" aca="1" ref="C314" ca="1">INDIRECT(ADDRESS(ROW()-C$3,2))-INDIRECT(ADDRESS(ROW()-C$2,2))</f>
        <v>12.019999999999982</v>
      </c>
      <c r="D314" s="4" cm="1">
        <f t="array" aca="1" ref="D314" ca="1">INDIRECT(ADDRESS(ROW()-D$3,2))-INDIRECT(ADDRESS(ROW()-D$2,2))</f>
        <v>21.310000000000002</v>
      </c>
      <c r="E314" s="4">
        <f t="shared" ca="1" si="9"/>
        <v>220.22</v>
      </c>
      <c r="F314" s="3">
        <v>212.35999999995306</v>
      </c>
      <c r="G314" s="3">
        <v>11908.52</v>
      </c>
      <c r="H314" s="3">
        <f t="shared" si="8"/>
        <v>12120.879999999954</v>
      </c>
      <c r="I314" s="3">
        <v>52</v>
      </c>
      <c r="J314" s="3"/>
      <c r="K314" s="3"/>
      <c r="L314" s="3"/>
    </row>
    <row r="315" spans="1:12">
      <c r="A315" s="3">
        <v>42744</v>
      </c>
      <c r="B315" s="3">
        <v>231.28</v>
      </c>
      <c r="C315" s="4" cm="1">
        <f t="array" aca="1" ref="C315" ca="1">INDIRECT(ADDRESS(ROW()-C$3,2))-INDIRECT(ADDRESS(ROW()-C$2,2))</f>
        <v>4.289999999999992</v>
      </c>
      <c r="D315" s="4" cm="1">
        <f t="array" aca="1" ref="D315" ca="1">INDIRECT(ADDRESS(ROW()-D$3,2))-INDIRECT(ADDRESS(ROW()-D$2,2))</f>
        <v>22.830000000000013</v>
      </c>
      <c r="E315" s="4">
        <f t="shared" ca="1" si="9"/>
        <v>223</v>
      </c>
      <c r="F315" s="3">
        <v>212.35999999995306</v>
      </c>
      <c r="G315" s="3">
        <v>12026.56</v>
      </c>
      <c r="H315" s="3">
        <f t="shared" si="8"/>
        <v>12238.919999999953</v>
      </c>
      <c r="I315" s="3">
        <v>52</v>
      </c>
      <c r="J315" s="3"/>
      <c r="K315" s="3"/>
      <c r="L315" s="3"/>
    </row>
    <row r="316" spans="1:12">
      <c r="A316" s="3">
        <v>42745</v>
      </c>
      <c r="B316" s="3">
        <v>229.87</v>
      </c>
      <c r="C316" s="4" cm="1">
        <f t="array" aca="1" ref="C316" ca="1">INDIRECT(ADDRESS(ROW()-C$3,2))-INDIRECT(ADDRESS(ROW()-C$2,2))</f>
        <v>3.1200000000000045</v>
      </c>
      <c r="D316" s="4" cm="1">
        <f t="array" aca="1" ref="D316" ca="1">INDIRECT(ADDRESS(ROW()-D$3,2))-INDIRECT(ADDRESS(ROW()-D$2,2))</f>
        <v>16.53</v>
      </c>
      <c r="E316" s="4">
        <f t="shared" ca="1" si="9"/>
        <v>229.13499999999999</v>
      </c>
      <c r="F316" s="3">
        <v>212.35999999995306</v>
      </c>
      <c r="G316" s="3">
        <v>11953.24</v>
      </c>
      <c r="H316" s="3">
        <f t="shared" si="8"/>
        <v>12165.599999999953</v>
      </c>
      <c r="I316" s="3">
        <v>52</v>
      </c>
      <c r="J316" s="3"/>
      <c r="K316" s="3"/>
      <c r="L316" s="3"/>
    </row>
    <row r="317" spans="1:12">
      <c r="A317" s="3">
        <v>42746</v>
      </c>
      <c r="B317" s="3">
        <v>229.73</v>
      </c>
      <c r="C317" s="4" cm="1">
        <f t="array" aca="1" ref="C317" ca="1">INDIRECT(ADDRESS(ROW()-C$3,2))-INDIRECT(ADDRESS(ROW()-C$2,2))</f>
        <v>0.71999999999999886</v>
      </c>
      <c r="D317" s="4" cm="1">
        <f t="array" aca="1" ref="D317" ca="1">INDIRECT(ADDRESS(ROW()-D$3,2))-INDIRECT(ADDRESS(ROW()-D$2,2))</f>
        <v>10.199999999999989</v>
      </c>
      <c r="E317" s="4">
        <f t="shared" ca="1" si="9"/>
        <v>228.31</v>
      </c>
      <c r="F317" s="3">
        <v>212.35999999995306</v>
      </c>
      <c r="G317" s="3">
        <v>11945.96</v>
      </c>
      <c r="H317" s="3">
        <f t="shared" si="8"/>
        <v>12158.319999999952</v>
      </c>
      <c r="I317" s="3">
        <v>52</v>
      </c>
      <c r="J317" s="3"/>
      <c r="K317" s="3"/>
      <c r="L317" s="3"/>
    </row>
    <row r="318" spans="1:12">
      <c r="A318" s="3">
        <v>42747</v>
      </c>
      <c r="B318" s="3">
        <v>229.59</v>
      </c>
      <c r="C318" s="4" cm="1">
        <f t="array" aca="1" ref="C318" ca="1">INDIRECT(ADDRESS(ROW()-C$3,2))-INDIRECT(ADDRESS(ROW()-C$2,2))</f>
        <v>-1.6899999999999977</v>
      </c>
      <c r="D318" s="4" cm="1">
        <f t="array" aca="1" ref="D318" ca="1">INDIRECT(ADDRESS(ROW()-D$3,2))-INDIRECT(ADDRESS(ROW()-D$2,2))</f>
        <v>9.8499999999999943</v>
      </c>
      <c r="E318" s="4">
        <f t="shared" ca="1" si="9"/>
        <v>229.37</v>
      </c>
      <c r="F318" s="3">
        <v>12151.039999999954</v>
      </c>
      <c r="G318" s="3">
        <v>0</v>
      </c>
      <c r="H318" s="3">
        <f t="shared" si="8"/>
        <v>12151.039999999954</v>
      </c>
      <c r="I318" s="3">
        <v>0</v>
      </c>
      <c r="J318" s="3"/>
      <c r="K318" s="3"/>
      <c r="L318" s="3"/>
    </row>
    <row r="319" spans="1:12">
      <c r="A319" s="3">
        <v>42748</v>
      </c>
      <c r="B319" s="3">
        <v>237.75</v>
      </c>
      <c r="C319" s="4" cm="1">
        <f t="array" aca="1" ref="C319" ca="1">INDIRECT(ADDRESS(ROW()-C$3,2))-INDIRECT(ADDRESS(ROW()-C$2,2))</f>
        <v>7.8799999999999955</v>
      </c>
      <c r="D319" s="4" cm="1">
        <f t="array" aca="1" ref="D319" ca="1">INDIRECT(ADDRESS(ROW()-D$3,2))-INDIRECT(ADDRESS(ROW()-D$2,2))</f>
        <v>23.069999999999993</v>
      </c>
      <c r="E319" s="4">
        <f t="shared" ca="1" si="9"/>
        <v>230.435</v>
      </c>
      <c r="F319" s="3">
        <v>25.789999999953579</v>
      </c>
      <c r="G319" s="3">
        <v>12125.25</v>
      </c>
      <c r="H319" s="3">
        <f t="shared" si="8"/>
        <v>12151.039999999954</v>
      </c>
      <c r="I319" s="3">
        <v>51</v>
      </c>
      <c r="J319" s="3"/>
      <c r="K319" s="3"/>
      <c r="L319" s="3"/>
    </row>
    <row r="320" spans="1:12">
      <c r="A320" s="3">
        <v>42752</v>
      </c>
      <c r="B320" s="3">
        <v>235.58</v>
      </c>
      <c r="C320" s="4" cm="1">
        <f t="array" aca="1" ref="C320" ca="1">INDIRECT(ADDRESS(ROW()-C$3,2))-INDIRECT(ADDRESS(ROW()-C$2,2))</f>
        <v>5.8500000000000227</v>
      </c>
      <c r="D320" s="4" cm="1">
        <f t="array" aca="1" ref="D320" ca="1">INDIRECT(ADDRESS(ROW()-D$3,2))-INDIRECT(ADDRESS(ROW()-D$2,2))</f>
        <v>21.890000000000015</v>
      </c>
      <c r="E320" s="4">
        <f t="shared" ca="1" si="9"/>
        <v>233.81</v>
      </c>
      <c r="F320" s="3">
        <v>25.789999999953579</v>
      </c>
      <c r="G320" s="3">
        <v>12014.58</v>
      </c>
      <c r="H320" s="3">
        <f t="shared" si="8"/>
        <v>12040.369999999954</v>
      </c>
      <c r="I320" s="3">
        <v>51</v>
      </c>
      <c r="J320" s="3"/>
      <c r="K320" s="3"/>
      <c r="L320" s="3"/>
    </row>
    <row r="321" spans="1:12">
      <c r="A321" s="3">
        <v>42753</v>
      </c>
      <c r="B321" s="3">
        <v>238.36</v>
      </c>
      <c r="C321" s="4" cm="1">
        <f t="array" aca="1" ref="C321" ca="1">INDIRECT(ADDRESS(ROW()-C$3,2))-INDIRECT(ADDRESS(ROW()-C$2,2))</f>
        <v>8.7700000000000102</v>
      </c>
      <c r="D321" s="4" cm="1">
        <f t="array" aca="1" ref="D321" ca="1">INDIRECT(ADDRESS(ROW()-D$3,2))-INDIRECT(ADDRESS(ROW()-D$2,2))</f>
        <v>21.370000000000005</v>
      </c>
      <c r="E321" s="4">
        <f t="shared" ca="1" si="9"/>
        <v>232.655</v>
      </c>
      <c r="F321" s="3">
        <v>25.789999999953579</v>
      </c>
      <c r="G321" s="3">
        <v>12156.36</v>
      </c>
      <c r="H321" s="3">
        <f t="shared" si="8"/>
        <v>12182.149999999954</v>
      </c>
      <c r="I321" s="3">
        <v>51</v>
      </c>
      <c r="J321" s="3"/>
      <c r="K321" s="3"/>
      <c r="L321" s="3"/>
    </row>
    <row r="322" spans="1:12">
      <c r="A322" s="3">
        <v>42754</v>
      </c>
      <c r="B322" s="3">
        <v>243.76</v>
      </c>
      <c r="C322" s="4" cm="1">
        <f t="array" aca="1" ref="C322" ca="1">INDIRECT(ADDRESS(ROW()-C$3,2))-INDIRECT(ADDRESS(ROW()-C$2,2))</f>
        <v>6.0099999999999909</v>
      </c>
      <c r="D322" s="4" cm="1">
        <f t="array" aca="1" ref="D322" ca="1">INDIRECT(ADDRESS(ROW()-D$3,2))-INDIRECT(ADDRESS(ROW()-D$2,2))</f>
        <v>16.769999999999982</v>
      </c>
      <c r="E322" s="4">
        <f t="shared" ca="1" si="9"/>
        <v>233.97500000000002</v>
      </c>
      <c r="F322" s="3">
        <v>25.789999999953579</v>
      </c>
      <c r="G322" s="3">
        <v>12431.76</v>
      </c>
      <c r="H322" s="3">
        <f t="shared" si="8"/>
        <v>12457.549999999954</v>
      </c>
      <c r="I322" s="3">
        <v>51</v>
      </c>
      <c r="J322" s="3"/>
      <c r="K322" s="3"/>
      <c r="L322" s="3"/>
    </row>
    <row r="323" spans="1:12">
      <c r="A323" s="3">
        <v>42755</v>
      </c>
      <c r="B323" s="3">
        <v>244.73</v>
      </c>
      <c r="C323" s="4" cm="1">
        <f t="array" aca="1" ref="C323" ca="1">INDIRECT(ADDRESS(ROW()-C$3,2))-INDIRECT(ADDRESS(ROW()-C$2,2))</f>
        <v>9.1499999999999773</v>
      </c>
      <c r="D323" s="4" cm="1">
        <f t="array" aca="1" ref="D323" ca="1">INDIRECT(ADDRESS(ROW()-D$3,2))-INDIRECT(ADDRESS(ROW()-D$2,2))</f>
        <v>17.97999999999999</v>
      </c>
      <c r="E323" s="4">
        <f t="shared" ca="1" si="9"/>
        <v>240.755</v>
      </c>
      <c r="F323" s="3">
        <v>25.789999999953579</v>
      </c>
      <c r="G323" s="3">
        <v>12481.23</v>
      </c>
      <c r="H323" s="3">
        <f t="shared" si="8"/>
        <v>12507.019999999953</v>
      </c>
      <c r="I323" s="3">
        <v>51</v>
      </c>
      <c r="J323" s="3"/>
      <c r="K323" s="3"/>
      <c r="L323" s="3"/>
    </row>
    <row r="324" spans="1:12">
      <c r="A324" s="3">
        <v>42758</v>
      </c>
      <c r="B324" s="3">
        <v>248.92</v>
      </c>
      <c r="C324" s="4" cm="1">
        <f t="array" aca="1" ref="C324" ca="1">INDIRECT(ADDRESS(ROW()-C$3,2))-INDIRECT(ADDRESS(ROW()-C$2,2))</f>
        <v>10.559999999999974</v>
      </c>
      <c r="D324" s="4" cm="1">
        <f t="array" aca="1" ref="D324" ca="1">INDIRECT(ADDRESS(ROW()-D$3,2))-INDIRECT(ADDRESS(ROW()-D$2,2))</f>
        <v>19.909999999999997</v>
      </c>
      <c r="E324" s="4">
        <f t="shared" ca="1" si="9"/>
        <v>240.155</v>
      </c>
      <c r="F324" s="3">
        <v>25.789999999953579</v>
      </c>
      <c r="G324" s="3">
        <v>12694.92</v>
      </c>
      <c r="H324" s="3">
        <f t="shared" si="8"/>
        <v>12720.709999999954</v>
      </c>
      <c r="I324" s="3">
        <v>51</v>
      </c>
      <c r="J324" s="3"/>
      <c r="K324" s="3"/>
      <c r="L324" s="3"/>
    </row>
    <row r="325" spans="1:12">
      <c r="A325" s="3">
        <v>42759</v>
      </c>
      <c r="B325" s="3">
        <v>254.61</v>
      </c>
      <c r="C325" s="4" cm="1">
        <f t="array" aca="1" ref="C325" ca="1">INDIRECT(ADDRESS(ROW()-C$3,2))-INDIRECT(ADDRESS(ROW()-C$2,2))</f>
        <v>10.850000000000023</v>
      </c>
      <c r="D325" s="4" cm="1">
        <f t="array" aca="1" ref="D325" ca="1">INDIRECT(ADDRESS(ROW()-D$3,2))-INDIRECT(ADDRESS(ROW()-D$2,2))</f>
        <v>23.330000000000013</v>
      </c>
      <c r="E325" s="4">
        <f t="shared" ca="1" si="9"/>
        <v>243.64</v>
      </c>
      <c r="F325" s="3">
        <v>25.789999999953579</v>
      </c>
      <c r="G325" s="3">
        <v>12985.11</v>
      </c>
      <c r="H325" s="3">
        <f t="shared" si="8"/>
        <v>13010.899999999954</v>
      </c>
      <c r="I325" s="3">
        <v>51</v>
      </c>
      <c r="J325" s="3"/>
      <c r="K325" s="3"/>
      <c r="L325" s="3"/>
    </row>
    <row r="326" spans="1:12">
      <c r="A326" s="3">
        <v>42760</v>
      </c>
      <c r="B326" s="3">
        <v>254.47</v>
      </c>
      <c r="C326" s="4" cm="1">
        <f t="array" aca="1" ref="C326" ca="1">INDIRECT(ADDRESS(ROW()-C$3,2))-INDIRECT(ADDRESS(ROW()-C$2,2))</f>
        <v>9.7400000000000091</v>
      </c>
      <c r="D326" s="4" cm="1">
        <f t="array" aca="1" ref="D326" ca="1">INDIRECT(ADDRESS(ROW()-D$3,2))-INDIRECT(ADDRESS(ROW()-D$2,2))</f>
        <v>24.599999999999994</v>
      </c>
      <c r="E326" s="4">
        <f t="shared" ca="1" si="9"/>
        <v>249.185</v>
      </c>
      <c r="F326" s="3">
        <v>25.789999999953579</v>
      </c>
      <c r="G326" s="3">
        <v>12977.97</v>
      </c>
      <c r="H326" s="3">
        <f t="shared" si="8"/>
        <v>13003.759999999953</v>
      </c>
      <c r="I326" s="3">
        <v>51</v>
      </c>
      <c r="J326" s="3"/>
      <c r="K326" s="3"/>
      <c r="L326" s="3"/>
    </row>
    <row r="327" spans="1:12">
      <c r="A327" s="3">
        <v>42761</v>
      </c>
      <c r="B327" s="3">
        <v>252.51</v>
      </c>
      <c r="C327" s="4" cm="1">
        <f t="array" aca="1" ref="C327" ca="1">INDIRECT(ADDRESS(ROW()-C$3,2))-INDIRECT(ADDRESS(ROW()-C$2,2))</f>
        <v>3.5900000000000034</v>
      </c>
      <c r="D327" s="4" cm="1">
        <f t="array" aca="1" ref="D327" ca="1">INDIRECT(ADDRESS(ROW()-D$3,2))-INDIRECT(ADDRESS(ROW()-D$2,2))</f>
        <v>22.78</v>
      </c>
      <c r="E327" s="4">
        <f t="shared" ca="1" si="9"/>
        <v>249.6</v>
      </c>
      <c r="F327" s="3">
        <v>25.789999999953579</v>
      </c>
      <c r="G327" s="3">
        <v>12878.01</v>
      </c>
      <c r="H327" s="3">
        <f t="shared" si="8"/>
        <v>12903.799999999954</v>
      </c>
      <c r="I327" s="3">
        <v>51</v>
      </c>
      <c r="J327" s="3"/>
      <c r="K327" s="3"/>
      <c r="L327" s="3"/>
    </row>
    <row r="328" spans="1:12">
      <c r="A328" s="3">
        <v>42762</v>
      </c>
      <c r="B328" s="3">
        <v>252.95</v>
      </c>
      <c r="C328" s="4" cm="1">
        <f t="array" aca="1" ref="C328" ca="1">INDIRECT(ADDRESS(ROW()-C$3,2))-INDIRECT(ADDRESS(ROW()-C$2,2))</f>
        <v>-1.660000000000025</v>
      </c>
      <c r="D328" s="4" cm="1">
        <f t="array" aca="1" ref="D328" ca="1">INDIRECT(ADDRESS(ROW()-D$3,2))-INDIRECT(ADDRESS(ROW()-D$2,2))</f>
        <v>23.359999999999985</v>
      </c>
      <c r="E328" s="4">
        <f t="shared" ca="1" si="9"/>
        <v>250.71499999999997</v>
      </c>
      <c r="F328" s="3">
        <v>12926.239999999952</v>
      </c>
      <c r="G328" s="3">
        <v>0</v>
      </c>
      <c r="H328" s="3">
        <f t="shared" si="8"/>
        <v>12926.239999999952</v>
      </c>
      <c r="I328" s="3">
        <v>0</v>
      </c>
      <c r="J328" s="3"/>
      <c r="K328" s="3"/>
      <c r="L328" s="3"/>
    </row>
    <row r="329" spans="1:12">
      <c r="A329" s="3">
        <v>42765</v>
      </c>
      <c r="B329" s="3">
        <v>250.63</v>
      </c>
      <c r="C329" s="4" cm="1">
        <f t="array" aca="1" ref="C329" ca="1">INDIRECT(ADDRESS(ROW()-C$3,2))-INDIRECT(ADDRESS(ROW()-C$2,2))</f>
        <v>-3.8400000000000034</v>
      </c>
      <c r="D329" s="4" cm="1">
        <f t="array" aca="1" ref="D329" ca="1">INDIRECT(ADDRESS(ROW()-D$3,2))-INDIRECT(ADDRESS(ROW()-D$2,2))</f>
        <v>12.879999999999995</v>
      </c>
      <c r="E329" s="4">
        <f t="shared" ca="1" si="9"/>
        <v>253.78</v>
      </c>
      <c r="F329" s="3">
        <v>12926.239999999952</v>
      </c>
      <c r="G329" s="3">
        <v>0</v>
      </c>
      <c r="H329" s="3">
        <f t="shared" si="8"/>
        <v>12926.239999999952</v>
      </c>
      <c r="I329" s="3">
        <v>0</v>
      </c>
      <c r="J329" s="3"/>
      <c r="K329" s="3"/>
      <c r="L329" s="3"/>
    </row>
    <row r="330" spans="1:12">
      <c r="A330" s="3">
        <v>42766</v>
      </c>
      <c r="B330" s="3">
        <v>251.93</v>
      </c>
      <c r="C330" s="4" cm="1">
        <f t="array" aca="1" ref="C330" ca="1">INDIRECT(ADDRESS(ROW()-C$3,2))-INDIRECT(ADDRESS(ROW()-C$2,2))</f>
        <v>-0.57999999999998408</v>
      </c>
      <c r="D330" s="4" cm="1">
        <f t="array" aca="1" ref="D330" ca="1">INDIRECT(ADDRESS(ROW()-D$3,2))-INDIRECT(ADDRESS(ROW()-D$2,2))</f>
        <v>16.349999999999994</v>
      </c>
      <c r="E330" s="4">
        <f t="shared" ca="1" si="9"/>
        <v>252.55</v>
      </c>
      <c r="F330" s="3">
        <v>12926.239999999952</v>
      </c>
      <c r="G330" s="3">
        <v>0</v>
      </c>
      <c r="H330" s="3">
        <f t="shared" si="8"/>
        <v>12926.239999999952</v>
      </c>
      <c r="I330" s="3">
        <v>0</v>
      </c>
      <c r="J330" s="3"/>
      <c r="K330" s="3"/>
      <c r="L330" s="3"/>
    </row>
    <row r="331" spans="1:12">
      <c r="A331" s="3">
        <v>42767</v>
      </c>
      <c r="B331" s="3">
        <v>249.24</v>
      </c>
      <c r="C331" s="4" cm="1">
        <f t="array" aca="1" ref="C331" ca="1">INDIRECT(ADDRESS(ROW()-C$3,2))-INDIRECT(ADDRESS(ROW()-C$2,2))</f>
        <v>-3.7099999999999795</v>
      </c>
      <c r="D331" s="4" cm="1">
        <f t="array" aca="1" ref="D331" ca="1">INDIRECT(ADDRESS(ROW()-D$3,2))-INDIRECT(ADDRESS(ROW()-D$2,2))</f>
        <v>10.879999999999995</v>
      </c>
      <c r="E331" s="4">
        <f t="shared" ca="1" si="9"/>
        <v>252.22</v>
      </c>
      <c r="F331" s="3">
        <v>12926.239999999952</v>
      </c>
      <c r="G331" s="3">
        <v>0</v>
      </c>
      <c r="H331" s="3">
        <f t="shared" si="8"/>
        <v>12926.239999999952</v>
      </c>
      <c r="I331" s="3">
        <v>0</v>
      </c>
      <c r="J331" s="3"/>
      <c r="K331" s="3"/>
      <c r="L331" s="3"/>
    </row>
    <row r="332" spans="1:12">
      <c r="A332" s="3">
        <v>42768</v>
      </c>
      <c r="B332" s="3">
        <v>251.55</v>
      </c>
      <c r="C332" s="4" cm="1">
        <f t="array" aca="1" ref="C332" ca="1">INDIRECT(ADDRESS(ROW()-C$3,2))-INDIRECT(ADDRESS(ROW()-C$2,2))</f>
        <v>0.92000000000001592</v>
      </c>
      <c r="D332" s="4" cm="1">
        <f t="array" aca="1" ref="D332" ca="1">INDIRECT(ADDRESS(ROW()-D$3,2))-INDIRECT(ADDRESS(ROW()-D$2,2))</f>
        <v>7.7900000000000205</v>
      </c>
      <c r="E332" s="4">
        <f t="shared" ca="1" si="9"/>
        <v>251.095</v>
      </c>
      <c r="F332" s="3">
        <v>97.189999999961287</v>
      </c>
      <c r="G332" s="3">
        <v>12829.050000000001</v>
      </c>
      <c r="H332" s="3">
        <f t="shared" si="8"/>
        <v>12926.239999999962</v>
      </c>
      <c r="I332" s="3">
        <v>51</v>
      </c>
      <c r="J332" s="3"/>
      <c r="K332" s="3"/>
      <c r="L332" s="3"/>
    </row>
    <row r="333" spans="1:12">
      <c r="A333" s="3">
        <v>42769</v>
      </c>
      <c r="B333" s="3">
        <v>251.33</v>
      </c>
      <c r="C333" s="4" cm="1">
        <f t="array" aca="1" ref="C333" ca="1">INDIRECT(ADDRESS(ROW()-C$3,2))-INDIRECT(ADDRESS(ROW()-C$2,2))</f>
        <v>-0.59999999999999432</v>
      </c>
      <c r="D333" s="4" cm="1">
        <f t="array" aca="1" ref="D333" ca="1">INDIRECT(ADDRESS(ROW()-D$3,2))-INDIRECT(ADDRESS(ROW()-D$2,2))</f>
        <v>6.6000000000000227</v>
      </c>
      <c r="E333" s="4">
        <f t="shared" ca="1" si="9"/>
        <v>251.09</v>
      </c>
      <c r="F333" s="3">
        <v>12915.01999999996</v>
      </c>
      <c r="G333" s="3">
        <v>0</v>
      </c>
      <c r="H333" s="3">
        <f t="shared" si="8"/>
        <v>12915.01999999996</v>
      </c>
      <c r="I333" s="3">
        <v>0</v>
      </c>
      <c r="J333" s="3"/>
      <c r="K333" s="3"/>
      <c r="L333" s="3"/>
    </row>
    <row r="334" spans="1:12">
      <c r="A334" s="3">
        <v>42772</v>
      </c>
      <c r="B334" s="3">
        <v>257.77</v>
      </c>
      <c r="C334" s="4" cm="1">
        <f t="array" aca="1" ref="C334" ca="1">INDIRECT(ADDRESS(ROW()-C$3,2))-INDIRECT(ADDRESS(ROW()-C$2,2))</f>
        <v>8.5299999999999727</v>
      </c>
      <c r="D334" s="4" cm="1">
        <f t="array" aca="1" ref="D334" ca="1">INDIRECT(ADDRESS(ROW()-D$3,2))-INDIRECT(ADDRESS(ROW()-D$2,2))</f>
        <v>8.8499999999999943</v>
      </c>
      <c r="E334" s="4">
        <f t="shared" ca="1" si="9"/>
        <v>251.63</v>
      </c>
      <c r="F334" s="3">
        <v>26.519999999945867</v>
      </c>
      <c r="G334" s="3">
        <v>12888.5</v>
      </c>
      <c r="H334" s="3">
        <f t="shared" si="8"/>
        <v>12915.019999999946</v>
      </c>
      <c r="I334" s="3">
        <v>50</v>
      </c>
      <c r="J334" s="3"/>
      <c r="K334" s="3"/>
      <c r="L334" s="3"/>
    </row>
    <row r="335" spans="1:12">
      <c r="A335" s="3">
        <v>42773</v>
      </c>
      <c r="B335" s="3">
        <v>257.48</v>
      </c>
      <c r="C335" s="4" cm="1">
        <f t="array" aca="1" ref="C335" ca="1">INDIRECT(ADDRESS(ROW()-C$3,2))-INDIRECT(ADDRESS(ROW()-C$2,2))</f>
        <v>5.9300000000000068</v>
      </c>
      <c r="D335" s="4" cm="1">
        <f t="array" aca="1" ref="D335" ca="1">INDIRECT(ADDRESS(ROW()-D$3,2))-INDIRECT(ADDRESS(ROW()-D$2,2))</f>
        <v>2.8700000000000045</v>
      </c>
      <c r="E335" s="4">
        <f t="shared" ca="1" si="9"/>
        <v>253.505</v>
      </c>
      <c r="F335" s="3">
        <v>26.519999999945867</v>
      </c>
      <c r="G335" s="3">
        <v>12874</v>
      </c>
      <c r="H335" s="3">
        <f t="shared" si="8"/>
        <v>12900.519999999946</v>
      </c>
      <c r="I335" s="3">
        <v>50</v>
      </c>
      <c r="J335" s="3"/>
      <c r="K335" s="3"/>
      <c r="L335" s="3"/>
    </row>
    <row r="336" spans="1:12">
      <c r="A336" s="3">
        <v>42774</v>
      </c>
      <c r="B336" s="3">
        <v>262.08</v>
      </c>
      <c r="C336" s="4" cm="1">
        <f t="array" aca="1" ref="C336" ca="1">INDIRECT(ADDRESS(ROW()-C$3,2))-INDIRECT(ADDRESS(ROW()-C$2,2))</f>
        <v>10.749999999999972</v>
      </c>
      <c r="D336" s="4" cm="1">
        <f t="array" aca="1" ref="D336" ca="1">INDIRECT(ADDRESS(ROW()-D$3,2))-INDIRECT(ADDRESS(ROW()-D$2,2))</f>
        <v>7.6099999999999852</v>
      </c>
      <c r="E336" s="4">
        <f t="shared" ca="1" si="9"/>
        <v>254.51500000000001</v>
      </c>
      <c r="F336" s="3">
        <v>26.519999999945867</v>
      </c>
      <c r="G336" s="3">
        <v>13104</v>
      </c>
      <c r="H336" s="3">
        <f t="shared" si="8"/>
        <v>13130.519999999946</v>
      </c>
      <c r="I336" s="3">
        <v>50</v>
      </c>
      <c r="J336" s="3"/>
      <c r="K336" s="3"/>
      <c r="L336" s="3"/>
    </row>
    <row r="337" spans="1:12">
      <c r="A337" s="3">
        <v>42775</v>
      </c>
      <c r="B337" s="3">
        <v>269.2</v>
      </c>
      <c r="C337" s="4" cm="1">
        <f t="array" aca="1" ref="C337" ca="1">INDIRECT(ADDRESS(ROW()-C$3,2))-INDIRECT(ADDRESS(ROW()-C$2,2))</f>
        <v>11.430000000000007</v>
      </c>
      <c r="D337" s="4" cm="1">
        <f t="array" aca="1" ref="D337" ca="1">INDIRECT(ADDRESS(ROW()-D$3,2))-INDIRECT(ADDRESS(ROW()-D$2,2))</f>
        <v>16.689999999999998</v>
      </c>
      <c r="E337" s="4">
        <f t="shared" ca="1" si="9"/>
        <v>256.70499999999998</v>
      </c>
      <c r="F337" s="3">
        <v>26.519999999945867</v>
      </c>
      <c r="G337" s="3">
        <v>13460</v>
      </c>
      <c r="H337" s="3">
        <f t="shared" si="8"/>
        <v>13486.519999999946</v>
      </c>
      <c r="I337" s="3">
        <v>50</v>
      </c>
      <c r="J337" s="3"/>
      <c r="K337" s="3"/>
      <c r="L337" s="3"/>
    </row>
    <row r="338" spans="1:12">
      <c r="A338" s="3">
        <v>42776</v>
      </c>
      <c r="B338" s="3">
        <v>269.23</v>
      </c>
      <c r="C338" s="4" cm="1">
        <f t="array" aca="1" ref="C338" ca="1">INDIRECT(ADDRESS(ROW()-C$3,2))-INDIRECT(ADDRESS(ROW()-C$2,2))</f>
        <v>11.75</v>
      </c>
      <c r="D338" s="4" cm="1">
        <f t="array" aca="1" ref="D338" ca="1">INDIRECT(ADDRESS(ROW()-D$3,2))-INDIRECT(ADDRESS(ROW()-D$2,2))</f>
        <v>16.28000000000003</v>
      </c>
      <c r="E338" s="4">
        <f t="shared" ca="1" si="9"/>
        <v>263.48500000000001</v>
      </c>
      <c r="F338" s="3">
        <v>26.519999999945867</v>
      </c>
      <c r="G338" s="3">
        <v>13461.5</v>
      </c>
      <c r="H338" s="3">
        <f t="shared" si="8"/>
        <v>13488.019999999946</v>
      </c>
      <c r="I338" s="3">
        <v>50</v>
      </c>
      <c r="J338" s="3"/>
      <c r="K338" s="3"/>
      <c r="L338" s="3"/>
    </row>
    <row r="339" spans="1:12">
      <c r="A339" s="3">
        <v>42779</v>
      </c>
      <c r="B339" s="3">
        <v>280.60000000000002</v>
      </c>
      <c r="C339" s="4" cm="1">
        <f t="array" aca="1" ref="C339" ca="1">INDIRECT(ADDRESS(ROW()-C$3,2))-INDIRECT(ADDRESS(ROW()-C$2,2))</f>
        <v>18.520000000000039</v>
      </c>
      <c r="D339" s="4" cm="1">
        <f t="array" aca="1" ref="D339" ca="1">INDIRECT(ADDRESS(ROW()-D$3,2))-INDIRECT(ADDRESS(ROW()-D$2,2))</f>
        <v>29.970000000000027</v>
      </c>
      <c r="E339" s="4">
        <f t="shared" ca="1" si="9"/>
        <v>263.35500000000002</v>
      </c>
      <c r="F339" s="3">
        <v>26.519999999945867</v>
      </c>
      <c r="G339" s="3">
        <v>14030.000000000002</v>
      </c>
      <c r="H339" s="3">
        <f t="shared" si="8"/>
        <v>14056.519999999948</v>
      </c>
      <c r="I339" s="3">
        <v>50</v>
      </c>
      <c r="J339" s="3"/>
      <c r="K339" s="3"/>
      <c r="L339" s="3"/>
    </row>
    <row r="340" spans="1:12">
      <c r="A340" s="3">
        <v>42780</v>
      </c>
      <c r="B340" s="3">
        <v>280.98</v>
      </c>
      <c r="C340" s="4" cm="1">
        <f t="array" aca="1" ref="C340" ca="1">INDIRECT(ADDRESS(ROW()-C$3,2))-INDIRECT(ADDRESS(ROW()-C$2,2))</f>
        <v>11.78000000000003</v>
      </c>
      <c r="D340" s="4" cm="1">
        <f t="array" aca="1" ref="D340" ca="1">INDIRECT(ADDRESS(ROW()-D$3,2))-INDIRECT(ADDRESS(ROW()-D$2,2))</f>
        <v>29.050000000000011</v>
      </c>
      <c r="E340" s="4">
        <f t="shared" ca="1" si="9"/>
        <v>271.34000000000003</v>
      </c>
      <c r="F340" s="3">
        <v>26.519999999945867</v>
      </c>
      <c r="G340" s="3">
        <v>14049</v>
      </c>
      <c r="H340" s="3">
        <f t="shared" si="8"/>
        <v>14075.519999999946</v>
      </c>
      <c r="I340" s="3">
        <v>50</v>
      </c>
      <c r="J340" s="3"/>
      <c r="K340" s="3"/>
      <c r="L340" s="3"/>
    </row>
    <row r="341" spans="1:12">
      <c r="A341" s="3">
        <v>42781</v>
      </c>
      <c r="B341" s="3">
        <v>279.76</v>
      </c>
      <c r="C341" s="4" cm="1">
        <f t="array" aca="1" ref="C341" ca="1">INDIRECT(ADDRESS(ROW()-C$3,2))-INDIRECT(ADDRESS(ROW()-C$2,2))</f>
        <v>10.529999999999973</v>
      </c>
      <c r="D341" s="4" cm="1">
        <f t="array" aca="1" ref="D341" ca="1">INDIRECT(ADDRESS(ROW()-D$3,2))-INDIRECT(ADDRESS(ROW()-D$2,2))</f>
        <v>30.519999999999982</v>
      </c>
      <c r="E341" s="4">
        <f t="shared" ca="1" si="9"/>
        <v>275.09000000000003</v>
      </c>
      <c r="F341" s="3">
        <v>26.519999999945867</v>
      </c>
      <c r="G341" s="3">
        <v>13988</v>
      </c>
      <c r="H341" s="3">
        <f t="shared" si="8"/>
        <v>14014.519999999946</v>
      </c>
      <c r="I341" s="3">
        <v>50</v>
      </c>
      <c r="J341" s="3"/>
      <c r="K341" s="3"/>
      <c r="L341" s="3"/>
    </row>
    <row r="342" spans="1:12">
      <c r="A342" s="3">
        <v>42782</v>
      </c>
      <c r="B342" s="3">
        <v>268.95</v>
      </c>
      <c r="C342" s="4" cm="1">
        <f t="array" aca="1" ref="C342" ca="1">INDIRECT(ADDRESS(ROW()-C$3,2))-INDIRECT(ADDRESS(ROW()-C$2,2))</f>
        <v>-11.650000000000034</v>
      </c>
      <c r="D342" s="4" cm="1">
        <f t="array" aca="1" ref="D342" ca="1">INDIRECT(ADDRESS(ROW()-D$3,2))-INDIRECT(ADDRESS(ROW()-D$2,2))</f>
        <v>17.399999999999977</v>
      </c>
      <c r="E342" s="4">
        <f t="shared" ca="1" si="9"/>
        <v>274.495</v>
      </c>
      <c r="F342" s="3">
        <v>13474.019999999946</v>
      </c>
      <c r="G342" s="3">
        <v>0</v>
      </c>
      <c r="H342" s="3">
        <f t="shared" si="8"/>
        <v>13474.019999999946</v>
      </c>
      <c r="I342" s="3">
        <v>0</v>
      </c>
      <c r="J342" s="3"/>
      <c r="K342" s="3"/>
      <c r="L342" s="3"/>
    </row>
    <row r="343" spans="1:12">
      <c r="A343" s="3">
        <v>42783</v>
      </c>
      <c r="B343" s="3">
        <v>272.23</v>
      </c>
      <c r="C343" s="4" cm="1">
        <f t="array" aca="1" ref="C343" ca="1">INDIRECT(ADDRESS(ROW()-C$3,2))-INDIRECT(ADDRESS(ROW()-C$2,2))</f>
        <v>-8.75</v>
      </c>
      <c r="D343" s="4" cm="1">
        <f t="array" aca="1" ref="D343" ca="1">INDIRECT(ADDRESS(ROW()-D$3,2))-INDIRECT(ADDRESS(ROW()-D$2,2))</f>
        <v>20.900000000000006</v>
      </c>
      <c r="E343" s="4">
        <f t="shared" ca="1" si="9"/>
        <v>274.77499999999998</v>
      </c>
      <c r="F343" s="3">
        <v>13474.019999999946</v>
      </c>
      <c r="G343" s="3">
        <v>0</v>
      </c>
      <c r="H343" s="3">
        <f t="shared" ref="H343:H406" si="10">G343+F343</f>
        <v>13474.019999999946</v>
      </c>
      <c r="I343" s="3">
        <v>0</v>
      </c>
      <c r="J343" s="3"/>
      <c r="K343" s="3"/>
      <c r="L343" s="3"/>
    </row>
    <row r="344" spans="1:12">
      <c r="A344" s="3">
        <v>42787</v>
      </c>
      <c r="B344" s="3">
        <v>277.39</v>
      </c>
      <c r="C344" s="4" cm="1">
        <f t="array" aca="1" ref="C344" ca="1">INDIRECT(ADDRESS(ROW()-C$3,2))-INDIRECT(ADDRESS(ROW()-C$2,2))</f>
        <v>-2.3700000000000045</v>
      </c>
      <c r="D344" s="4" cm="1">
        <f t="array" aca="1" ref="D344" ca="1">INDIRECT(ADDRESS(ROW()-D$3,2))-INDIRECT(ADDRESS(ROW()-D$2,2))</f>
        <v>19.620000000000005</v>
      </c>
      <c r="E344" s="4">
        <f t="shared" ref="E344:E407" ca="1" si="11">AVERAGE(INDIRECT(ADDRESS(ROW()-E$3,2)),INDIRECT(ADDRESS(ROW()-E$2,2)))</f>
        <v>276.60500000000002</v>
      </c>
      <c r="F344" s="3">
        <v>13474.019999999946</v>
      </c>
      <c r="G344" s="3">
        <v>0</v>
      </c>
      <c r="H344" s="3">
        <f t="shared" si="10"/>
        <v>13474.019999999946</v>
      </c>
      <c r="I344" s="3">
        <v>0</v>
      </c>
      <c r="J344" s="3"/>
      <c r="K344" s="3"/>
      <c r="L344" s="3"/>
    </row>
    <row r="345" spans="1:12">
      <c r="A345" s="3">
        <v>42788</v>
      </c>
      <c r="B345" s="3">
        <v>273.51</v>
      </c>
      <c r="C345" s="4" cm="1">
        <f t="array" aca="1" ref="C345" ca="1">INDIRECT(ADDRESS(ROW()-C$3,2))-INDIRECT(ADDRESS(ROW()-C$2,2))</f>
        <v>4.5600000000000023</v>
      </c>
      <c r="D345" s="4" cm="1">
        <f t="array" aca="1" ref="D345" ca="1">INDIRECT(ADDRESS(ROW()-D$3,2))-INDIRECT(ADDRESS(ROW()-D$2,2))</f>
        <v>16.029999999999973</v>
      </c>
      <c r="E345" s="4">
        <f t="shared" ca="1" si="11"/>
        <v>278.57499999999999</v>
      </c>
      <c r="F345" s="3">
        <v>72.02999999993699</v>
      </c>
      <c r="G345" s="3">
        <v>13401.99</v>
      </c>
      <c r="H345" s="3">
        <f t="shared" si="10"/>
        <v>13474.019999999937</v>
      </c>
      <c r="I345" s="3">
        <v>49</v>
      </c>
      <c r="J345" s="3"/>
      <c r="K345" s="3"/>
      <c r="L345" s="3"/>
    </row>
    <row r="346" spans="1:12">
      <c r="A346" s="3">
        <v>42789</v>
      </c>
      <c r="B346" s="3">
        <v>255.99</v>
      </c>
      <c r="C346" s="4" cm="1">
        <f t="array" aca="1" ref="C346" ca="1">INDIRECT(ADDRESS(ROW()-C$3,2))-INDIRECT(ADDRESS(ROW()-C$2,2))</f>
        <v>-16.240000000000009</v>
      </c>
      <c r="D346" s="4" cm="1">
        <f t="array" aca="1" ref="D346" ca="1">INDIRECT(ADDRESS(ROW()-D$3,2))-INDIRECT(ADDRESS(ROW()-D$2,2))</f>
        <v>-6.089999999999975</v>
      </c>
      <c r="E346" s="4">
        <f t="shared" ca="1" si="11"/>
        <v>271.23</v>
      </c>
      <c r="F346" s="3">
        <v>12615.539999999937</v>
      </c>
      <c r="G346" s="3">
        <v>0</v>
      </c>
      <c r="H346" s="3">
        <f t="shared" si="10"/>
        <v>12615.539999999937</v>
      </c>
      <c r="I346" s="3">
        <v>0</v>
      </c>
      <c r="J346" s="3"/>
      <c r="K346" s="3"/>
      <c r="L346" s="3"/>
    </row>
    <row r="347" spans="1:12">
      <c r="A347" s="3">
        <v>42790</v>
      </c>
      <c r="B347" s="3">
        <v>257</v>
      </c>
      <c r="C347" s="4" cm="1">
        <f t="array" aca="1" ref="C347" ca="1">INDIRECT(ADDRESS(ROW()-C$3,2))-INDIRECT(ADDRESS(ROW()-C$2,2))</f>
        <v>-20.389999999999986</v>
      </c>
      <c r="D347" s="4" cm="1">
        <f t="array" aca="1" ref="D347" ca="1">INDIRECT(ADDRESS(ROW()-D$3,2))-INDIRECT(ADDRESS(ROW()-D$2,2))</f>
        <v>-12.199999999999989</v>
      </c>
      <c r="E347" s="4">
        <f t="shared" ca="1" si="11"/>
        <v>264.11</v>
      </c>
      <c r="F347" s="3">
        <v>12615.539999999937</v>
      </c>
      <c r="G347" s="3">
        <v>0</v>
      </c>
      <c r="H347" s="3">
        <f t="shared" si="10"/>
        <v>12615.539999999937</v>
      </c>
      <c r="I347" s="3">
        <v>0</v>
      </c>
      <c r="J347" s="3"/>
      <c r="K347" s="3"/>
      <c r="L347" s="3"/>
    </row>
    <row r="348" spans="1:12">
      <c r="A348" s="3">
        <v>42793</v>
      </c>
      <c r="B348" s="3">
        <v>246.23</v>
      </c>
      <c r="C348" s="4" cm="1">
        <f t="array" aca="1" ref="C348" ca="1">INDIRECT(ADDRESS(ROW()-C$3,2))-INDIRECT(ADDRESS(ROW()-C$2,2))</f>
        <v>-27.28</v>
      </c>
      <c r="D348" s="4" cm="1">
        <f t="array" aca="1" ref="D348" ca="1">INDIRECT(ADDRESS(ROW()-D$3,2))-INDIRECT(ADDRESS(ROW()-D$2,2))</f>
        <v>-23.000000000000028</v>
      </c>
      <c r="E348" s="4">
        <f t="shared" ca="1" si="11"/>
        <v>267.19499999999999</v>
      </c>
      <c r="F348" s="3">
        <v>12615.539999999937</v>
      </c>
      <c r="G348" s="3">
        <v>0</v>
      </c>
      <c r="H348" s="3">
        <f t="shared" si="10"/>
        <v>12615.539999999937</v>
      </c>
      <c r="I348" s="3">
        <v>0</v>
      </c>
      <c r="J348" s="3"/>
      <c r="K348" s="3"/>
      <c r="L348" s="3"/>
    </row>
    <row r="349" spans="1:12">
      <c r="A349" s="3">
        <v>42794</v>
      </c>
      <c r="B349" s="3">
        <v>249.99</v>
      </c>
      <c r="C349" s="4" cm="1">
        <f t="array" aca="1" ref="C349" ca="1">INDIRECT(ADDRESS(ROW()-C$3,2))-INDIRECT(ADDRESS(ROW()-C$2,2))</f>
        <v>-6</v>
      </c>
      <c r="D349" s="4" cm="1">
        <f t="array" aca="1" ref="D349" ca="1">INDIRECT(ADDRESS(ROW()-D$3,2))-INDIRECT(ADDRESS(ROW()-D$2,2))</f>
        <v>-30.610000000000014</v>
      </c>
      <c r="E349" s="4">
        <f t="shared" ca="1" si="11"/>
        <v>259.87</v>
      </c>
      <c r="F349" s="3">
        <v>12615.539999999937</v>
      </c>
      <c r="G349" s="3">
        <v>0</v>
      </c>
      <c r="H349" s="3">
        <f t="shared" si="10"/>
        <v>12615.539999999937</v>
      </c>
      <c r="I349" s="3">
        <v>0</v>
      </c>
      <c r="J349" s="3"/>
      <c r="K349" s="3"/>
      <c r="L349" s="3"/>
    </row>
    <row r="350" spans="1:12">
      <c r="A350" s="3">
        <v>42795</v>
      </c>
      <c r="B350" s="3">
        <v>250.02</v>
      </c>
      <c r="C350" s="4" cm="1">
        <f t="array" aca="1" ref="C350" ca="1">INDIRECT(ADDRESS(ROW()-C$3,2))-INDIRECT(ADDRESS(ROW()-C$2,2))</f>
        <v>-6.9799999999999898</v>
      </c>
      <c r="D350" s="4" cm="1">
        <f t="array" aca="1" ref="D350" ca="1">INDIRECT(ADDRESS(ROW()-D$3,2))-INDIRECT(ADDRESS(ROW()-D$2,2))</f>
        <v>-30.960000000000008</v>
      </c>
      <c r="E350" s="4">
        <f t="shared" ca="1" si="11"/>
        <v>252.99</v>
      </c>
      <c r="F350" s="3">
        <v>12615.539999999937</v>
      </c>
      <c r="G350" s="3">
        <v>0</v>
      </c>
      <c r="H350" s="3">
        <f t="shared" si="10"/>
        <v>12615.539999999937</v>
      </c>
      <c r="I350" s="3">
        <v>0</v>
      </c>
      <c r="J350" s="3"/>
      <c r="K350" s="3"/>
      <c r="L350" s="3"/>
    </row>
    <row r="351" spans="1:12">
      <c r="A351" s="3">
        <v>42796</v>
      </c>
      <c r="B351" s="3">
        <v>250.48</v>
      </c>
      <c r="C351" s="4" cm="1">
        <f t="array" aca="1" ref="C351" ca="1">INDIRECT(ADDRESS(ROW()-C$3,2))-INDIRECT(ADDRESS(ROW()-C$2,2))</f>
        <v>4.25</v>
      </c>
      <c r="D351" s="4" cm="1">
        <f t="array" aca="1" ref="D351" ca="1">INDIRECT(ADDRESS(ROW()-D$3,2))-INDIRECT(ADDRESS(ROW()-D$2,2))</f>
        <v>-29.28</v>
      </c>
      <c r="E351" s="4">
        <f t="shared" ca="1" si="11"/>
        <v>253.51</v>
      </c>
      <c r="F351" s="3">
        <v>91.539999999951789</v>
      </c>
      <c r="G351" s="3">
        <v>12524</v>
      </c>
      <c r="H351" s="3">
        <f t="shared" si="10"/>
        <v>12615.539999999952</v>
      </c>
      <c r="I351" s="3">
        <v>50</v>
      </c>
      <c r="J351" s="3"/>
      <c r="K351" s="3"/>
      <c r="L351" s="3"/>
    </row>
    <row r="352" spans="1:12">
      <c r="A352" s="3">
        <v>42797</v>
      </c>
      <c r="B352" s="3">
        <v>251.57</v>
      </c>
      <c r="C352" s="4" cm="1">
        <f t="array" aca="1" ref="C352" ca="1">INDIRECT(ADDRESS(ROW()-C$3,2))-INDIRECT(ADDRESS(ROW()-C$2,2))</f>
        <v>1.5799999999999841</v>
      </c>
      <c r="D352" s="4" cm="1">
        <f t="array" aca="1" ref="D352" ca="1">INDIRECT(ADDRESS(ROW()-D$3,2))-INDIRECT(ADDRESS(ROW()-D$2,2))</f>
        <v>-17.379999999999995</v>
      </c>
      <c r="E352" s="4">
        <f t="shared" ca="1" si="11"/>
        <v>248.35499999999999</v>
      </c>
      <c r="F352" s="3">
        <v>91.539999999951789</v>
      </c>
      <c r="G352" s="3">
        <v>12578.5</v>
      </c>
      <c r="H352" s="3">
        <f t="shared" si="10"/>
        <v>12670.039999999952</v>
      </c>
      <c r="I352" s="3">
        <v>50</v>
      </c>
      <c r="J352" s="3"/>
      <c r="K352" s="3"/>
      <c r="L352" s="3"/>
    </row>
    <row r="353" spans="1:12">
      <c r="A353" s="3">
        <v>42800</v>
      </c>
      <c r="B353" s="3">
        <v>251.21</v>
      </c>
      <c r="C353" s="4" cm="1">
        <f t="array" aca="1" ref="C353" ca="1">INDIRECT(ADDRESS(ROW()-C$3,2))-INDIRECT(ADDRESS(ROW()-C$2,2))</f>
        <v>1.1899999999999977</v>
      </c>
      <c r="D353" s="4" cm="1">
        <f t="array" aca="1" ref="D353" ca="1">INDIRECT(ADDRESS(ROW()-D$3,2))-INDIRECT(ADDRESS(ROW()-D$2,2))</f>
        <v>-21.02000000000001</v>
      </c>
      <c r="E353" s="4">
        <f t="shared" ca="1" si="11"/>
        <v>250.78</v>
      </c>
      <c r="F353" s="3">
        <v>91.539999999951789</v>
      </c>
      <c r="G353" s="3">
        <v>12560.5</v>
      </c>
      <c r="H353" s="3">
        <f t="shared" si="10"/>
        <v>12652.039999999952</v>
      </c>
      <c r="I353" s="3">
        <v>50</v>
      </c>
      <c r="J353" s="3"/>
      <c r="K353" s="3"/>
      <c r="L353" s="3"/>
    </row>
    <row r="354" spans="1:12">
      <c r="A354" s="3">
        <v>42801</v>
      </c>
      <c r="B354" s="3">
        <v>248.59</v>
      </c>
      <c r="C354" s="4" cm="1">
        <f t="array" aca="1" ref="C354" ca="1">INDIRECT(ADDRESS(ROW()-C$3,2))-INDIRECT(ADDRESS(ROW()-C$2,2))</f>
        <v>-1.8899999999999864</v>
      </c>
      <c r="D354" s="4" cm="1">
        <f t="array" aca="1" ref="D354" ca="1">INDIRECT(ADDRESS(ROW()-D$3,2))-INDIRECT(ADDRESS(ROW()-D$2,2))</f>
        <v>-28.799999999999983</v>
      </c>
      <c r="E354" s="4">
        <f t="shared" ca="1" si="11"/>
        <v>250.61500000000001</v>
      </c>
      <c r="F354" s="3">
        <v>12521.039999999952</v>
      </c>
      <c r="G354" s="3">
        <v>0</v>
      </c>
      <c r="H354" s="3">
        <f t="shared" si="10"/>
        <v>12521.039999999952</v>
      </c>
      <c r="I354" s="3">
        <v>0</v>
      </c>
      <c r="J354" s="3"/>
      <c r="K354" s="3"/>
      <c r="L354" s="3"/>
    </row>
    <row r="355" spans="1:12">
      <c r="A355" s="3">
        <v>42802</v>
      </c>
      <c r="B355" s="3">
        <v>246.87</v>
      </c>
      <c r="C355" s="4" cm="1">
        <f t="array" aca="1" ref="C355" ca="1">INDIRECT(ADDRESS(ROW()-C$3,2))-INDIRECT(ADDRESS(ROW()-C$2,2))</f>
        <v>-4.6999999999999886</v>
      </c>
      <c r="D355" s="4" cm="1">
        <f t="array" aca="1" ref="D355" ca="1">INDIRECT(ADDRESS(ROW()-D$3,2))-INDIRECT(ADDRESS(ROW()-D$2,2))</f>
        <v>-26.639999999999986</v>
      </c>
      <c r="E355" s="4">
        <f t="shared" ca="1" si="11"/>
        <v>249.535</v>
      </c>
      <c r="F355" s="3">
        <v>12521.039999999952</v>
      </c>
      <c r="G355" s="3">
        <v>0</v>
      </c>
      <c r="H355" s="3">
        <f t="shared" si="10"/>
        <v>12521.039999999952</v>
      </c>
      <c r="I355" s="3">
        <v>0</v>
      </c>
      <c r="J355" s="3"/>
      <c r="K355" s="3"/>
      <c r="L355" s="3"/>
    </row>
    <row r="356" spans="1:12">
      <c r="A356" s="3">
        <v>42803</v>
      </c>
      <c r="B356" s="3">
        <v>244.9</v>
      </c>
      <c r="C356" s="4" cm="1">
        <f t="array" aca="1" ref="C356" ca="1">INDIRECT(ADDRESS(ROW()-C$3,2))-INDIRECT(ADDRESS(ROW()-C$2,2))</f>
        <v>-6.3100000000000023</v>
      </c>
      <c r="D356" s="4" cm="1">
        <f t="array" aca="1" ref="D356" ca="1">INDIRECT(ADDRESS(ROW()-D$3,2))-INDIRECT(ADDRESS(ROW()-D$2,2))</f>
        <v>-11.090000000000003</v>
      </c>
      <c r="E356" s="4">
        <f t="shared" ca="1" si="11"/>
        <v>249.22</v>
      </c>
      <c r="F356" s="3">
        <v>12521.039999999952</v>
      </c>
      <c r="G356" s="3">
        <v>0</v>
      </c>
      <c r="H356" s="3">
        <f t="shared" si="10"/>
        <v>12521.039999999952</v>
      </c>
      <c r="I356" s="3">
        <v>0</v>
      </c>
      <c r="J356" s="3"/>
      <c r="K356" s="3"/>
      <c r="L356" s="3"/>
    </row>
    <row r="357" spans="1:12">
      <c r="A357" s="3">
        <v>42804</v>
      </c>
      <c r="B357" s="3">
        <v>243.69</v>
      </c>
      <c r="C357" s="4" cm="1">
        <f t="array" aca="1" ref="C357" ca="1">INDIRECT(ADDRESS(ROW()-C$3,2))-INDIRECT(ADDRESS(ROW()-C$2,2))</f>
        <v>-4.9000000000000057</v>
      </c>
      <c r="D357" s="4" cm="1">
        <f t="array" aca="1" ref="D357" ca="1">INDIRECT(ADDRESS(ROW()-D$3,2))-INDIRECT(ADDRESS(ROW()-D$2,2))</f>
        <v>-13.310000000000002</v>
      </c>
      <c r="E357" s="4">
        <f t="shared" ca="1" si="11"/>
        <v>248.05500000000001</v>
      </c>
      <c r="F357" s="3">
        <v>12521.039999999952</v>
      </c>
      <c r="G357" s="3">
        <v>0</v>
      </c>
      <c r="H357" s="3">
        <f t="shared" si="10"/>
        <v>12521.039999999952</v>
      </c>
      <c r="I357" s="3">
        <v>0</v>
      </c>
      <c r="J357" s="3"/>
      <c r="K357" s="3"/>
      <c r="L357" s="3"/>
    </row>
    <row r="358" spans="1:12">
      <c r="A358" s="3">
        <v>42807</v>
      </c>
      <c r="B358" s="3">
        <v>246.17</v>
      </c>
      <c r="C358" s="4" cm="1">
        <f t="array" aca="1" ref="C358" ca="1">INDIRECT(ADDRESS(ROW()-C$3,2))-INDIRECT(ADDRESS(ROW()-C$2,2))</f>
        <v>-0.70000000000001705</v>
      </c>
      <c r="D358" s="4" cm="1">
        <f t="array" aca="1" ref="D358" ca="1">INDIRECT(ADDRESS(ROW()-D$3,2))-INDIRECT(ADDRESS(ROW()-D$2,2))</f>
        <v>-6.0000000000002274E-2</v>
      </c>
      <c r="E358" s="4">
        <f t="shared" ca="1" si="11"/>
        <v>246.14</v>
      </c>
      <c r="F358" s="3">
        <v>12521.039999999952</v>
      </c>
      <c r="G358" s="3">
        <v>0</v>
      </c>
      <c r="H358" s="3">
        <f t="shared" si="10"/>
        <v>12521.039999999952</v>
      </c>
      <c r="I358" s="3">
        <v>0</v>
      </c>
      <c r="J358" s="3"/>
      <c r="K358" s="3"/>
      <c r="L358" s="3"/>
    </row>
    <row r="359" spans="1:12">
      <c r="A359" s="3">
        <v>42808</v>
      </c>
      <c r="B359" s="3">
        <v>258</v>
      </c>
      <c r="C359" s="4" cm="1">
        <f t="array" aca="1" ref="C359" ca="1">INDIRECT(ADDRESS(ROW()-C$3,2))-INDIRECT(ADDRESS(ROW()-C$2,2))</f>
        <v>13.099999999999994</v>
      </c>
      <c r="D359" s="4" cm="1">
        <f t="array" aca="1" ref="D359" ca="1">INDIRECT(ADDRESS(ROW()-D$3,2))-INDIRECT(ADDRESS(ROW()-D$2,2))</f>
        <v>8.0099999999999909</v>
      </c>
      <c r="E359" s="4">
        <f t="shared" ca="1" si="11"/>
        <v>246.51999999999998</v>
      </c>
      <c r="F359" s="3">
        <v>137.03999999995176</v>
      </c>
      <c r="G359" s="3">
        <v>12384</v>
      </c>
      <c r="H359" s="3">
        <f t="shared" si="10"/>
        <v>12521.039999999952</v>
      </c>
      <c r="I359" s="3">
        <v>48</v>
      </c>
      <c r="J359" s="3"/>
      <c r="K359" s="3"/>
      <c r="L359" s="3"/>
    </row>
    <row r="360" spans="1:12">
      <c r="A360" s="3">
        <v>42809</v>
      </c>
      <c r="B360" s="3">
        <v>255.73</v>
      </c>
      <c r="C360" s="4" cm="1">
        <f t="array" aca="1" ref="C360" ca="1">INDIRECT(ADDRESS(ROW()-C$3,2))-INDIRECT(ADDRESS(ROW()-C$2,2))</f>
        <v>12.039999999999992</v>
      </c>
      <c r="D360" s="4" cm="1">
        <f t="array" aca="1" ref="D360" ca="1">INDIRECT(ADDRESS(ROW()-D$3,2))-INDIRECT(ADDRESS(ROW()-D$2,2))</f>
        <v>5.7099999999999795</v>
      </c>
      <c r="E360" s="4">
        <f t="shared" ca="1" si="11"/>
        <v>251.45</v>
      </c>
      <c r="F360" s="3">
        <v>137.03999999995176</v>
      </c>
      <c r="G360" s="3">
        <v>12275.039999999999</v>
      </c>
      <c r="H360" s="3">
        <f t="shared" si="10"/>
        <v>12412.079999999951</v>
      </c>
      <c r="I360" s="3">
        <v>48</v>
      </c>
      <c r="J360" s="3"/>
      <c r="K360" s="3"/>
      <c r="L360" s="3"/>
    </row>
    <row r="361" spans="1:12">
      <c r="A361" s="3">
        <v>42810</v>
      </c>
      <c r="B361" s="3">
        <v>262.05</v>
      </c>
      <c r="C361" s="4" cm="1">
        <f t="array" aca="1" ref="C361" ca="1">INDIRECT(ADDRESS(ROW()-C$3,2))-INDIRECT(ADDRESS(ROW()-C$2,2))</f>
        <v>15.880000000000024</v>
      </c>
      <c r="D361" s="4" cm="1">
        <f t="array" aca="1" ref="D361" ca="1">INDIRECT(ADDRESS(ROW()-D$3,2))-INDIRECT(ADDRESS(ROW()-D$2,2))</f>
        <v>11.570000000000022</v>
      </c>
      <c r="E361" s="4">
        <f t="shared" ca="1" si="11"/>
        <v>249.70999999999998</v>
      </c>
      <c r="F361" s="3">
        <v>137.03999999995176</v>
      </c>
      <c r="G361" s="3">
        <v>12578.400000000001</v>
      </c>
      <c r="H361" s="3">
        <f t="shared" si="10"/>
        <v>12715.439999999953</v>
      </c>
      <c r="I361" s="3">
        <v>48</v>
      </c>
      <c r="J361" s="3"/>
      <c r="K361" s="3"/>
      <c r="L361" s="3"/>
    </row>
    <row r="362" spans="1:12">
      <c r="A362" s="3">
        <v>42811</v>
      </c>
      <c r="B362" s="3">
        <v>261.5</v>
      </c>
      <c r="C362" s="4" cm="1">
        <f t="array" aca="1" ref="C362" ca="1">INDIRECT(ADDRESS(ROW()-C$3,2))-INDIRECT(ADDRESS(ROW()-C$2,2))</f>
        <v>3.5</v>
      </c>
      <c r="D362" s="4" cm="1">
        <f t="array" aca="1" ref="D362" ca="1">INDIRECT(ADDRESS(ROW()-D$3,2))-INDIRECT(ADDRESS(ROW()-D$2,2))</f>
        <v>9.9300000000000068</v>
      </c>
      <c r="E362" s="4">
        <f t="shared" ca="1" si="11"/>
        <v>254.11</v>
      </c>
      <c r="F362" s="3">
        <v>137.03999999995176</v>
      </c>
      <c r="G362" s="3">
        <v>12552</v>
      </c>
      <c r="H362" s="3">
        <f t="shared" si="10"/>
        <v>12689.039999999952</v>
      </c>
      <c r="I362" s="3">
        <v>48</v>
      </c>
      <c r="J362" s="3"/>
      <c r="K362" s="3"/>
      <c r="L362" s="3"/>
    </row>
    <row r="363" spans="1:12">
      <c r="A363" s="3">
        <v>42814</v>
      </c>
      <c r="B363" s="3">
        <v>261.92</v>
      </c>
      <c r="C363" s="4" cm="1">
        <f t="array" aca="1" ref="C363" ca="1">INDIRECT(ADDRESS(ROW()-C$3,2))-INDIRECT(ADDRESS(ROW()-C$2,2))</f>
        <v>6.1900000000000261</v>
      </c>
      <c r="D363" s="4" cm="1">
        <f t="array" aca="1" ref="D363" ca="1">INDIRECT(ADDRESS(ROW()-D$3,2))-INDIRECT(ADDRESS(ROW()-D$2,2))</f>
        <v>10.710000000000008</v>
      </c>
      <c r="E363" s="4">
        <f t="shared" ca="1" si="11"/>
        <v>259.75</v>
      </c>
      <c r="F363" s="3">
        <v>137.03999999995176</v>
      </c>
      <c r="G363" s="3">
        <v>12572.16</v>
      </c>
      <c r="H363" s="3">
        <f t="shared" si="10"/>
        <v>12709.199999999952</v>
      </c>
      <c r="I363" s="3">
        <v>48</v>
      </c>
      <c r="J363" s="3"/>
      <c r="K363" s="3"/>
      <c r="L363" s="3"/>
    </row>
    <row r="364" spans="1:12">
      <c r="A364" s="3">
        <v>42815</v>
      </c>
      <c r="B364" s="3">
        <v>250.68</v>
      </c>
      <c r="C364" s="4" cm="1">
        <f t="array" aca="1" ref="C364" ca="1">INDIRECT(ADDRESS(ROW()-C$3,2))-INDIRECT(ADDRESS(ROW()-C$2,2))</f>
        <v>-11.370000000000005</v>
      </c>
      <c r="D364" s="4" cm="1">
        <f t="array" aca="1" ref="D364" ca="1">INDIRECT(ADDRESS(ROW()-D$3,2))-INDIRECT(ADDRESS(ROW()-D$2,2))</f>
        <v>2.0900000000000034</v>
      </c>
      <c r="E364" s="4">
        <f t="shared" ca="1" si="11"/>
        <v>258.82499999999999</v>
      </c>
      <c r="F364" s="3">
        <v>12169.679999999951</v>
      </c>
      <c r="G364" s="3">
        <v>0</v>
      </c>
      <c r="H364" s="3">
        <f t="shared" si="10"/>
        <v>12169.679999999951</v>
      </c>
      <c r="I364" s="3">
        <v>0</v>
      </c>
      <c r="J364" s="3"/>
      <c r="K364" s="3"/>
      <c r="L364" s="3"/>
    </row>
    <row r="365" spans="1:12">
      <c r="A365" s="3">
        <v>42816</v>
      </c>
      <c r="B365" s="3">
        <v>255.01</v>
      </c>
      <c r="C365" s="4" cm="1">
        <f t="array" aca="1" ref="C365" ca="1">INDIRECT(ADDRESS(ROW()-C$3,2))-INDIRECT(ADDRESS(ROW()-C$2,2))</f>
        <v>-6.4900000000000091</v>
      </c>
      <c r="D365" s="4" cm="1">
        <f t="array" aca="1" ref="D365" ca="1">INDIRECT(ADDRESS(ROW()-D$3,2))-INDIRECT(ADDRESS(ROW()-D$2,2))</f>
        <v>8.1399999999999864</v>
      </c>
      <c r="E365" s="4">
        <f t="shared" ca="1" si="11"/>
        <v>256.36500000000001</v>
      </c>
      <c r="F365" s="3">
        <v>12169.679999999951</v>
      </c>
      <c r="G365" s="3">
        <v>0</v>
      </c>
      <c r="H365" s="3">
        <f t="shared" si="10"/>
        <v>12169.679999999951</v>
      </c>
      <c r="I365" s="3">
        <v>0</v>
      </c>
      <c r="J365" s="3"/>
      <c r="K365" s="3"/>
      <c r="L365" s="3"/>
    </row>
    <row r="366" spans="1:12">
      <c r="A366" s="3">
        <v>42817</v>
      </c>
      <c r="B366" s="3">
        <v>254.78</v>
      </c>
      <c r="C366" s="4" cm="1">
        <f t="array" aca="1" ref="C366" ca="1">INDIRECT(ADDRESS(ROW()-C$3,2))-INDIRECT(ADDRESS(ROW()-C$2,2))</f>
        <v>-7.1400000000000148</v>
      </c>
      <c r="D366" s="4" cm="1">
        <f t="array" aca="1" ref="D366" ca="1">INDIRECT(ADDRESS(ROW()-D$3,2))-INDIRECT(ADDRESS(ROW()-D$2,2))</f>
        <v>9.8799999999999955</v>
      </c>
      <c r="E366" s="4">
        <f t="shared" ca="1" si="11"/>
        <v>258.255</v>
      </c>
      <c r="F366" s="3">
        <v>12169.679999999951</v>
      </c>
      <c r="G366" s="3">
        <v>0</v>
      </c>
      <c r="H366" s="3">
        <f t="shared" si="10"/>
        <v>12169.679999999951</v>
      </c>
      <c r="I366" s="3">
        <v>0</v>
      </c>
      <c r="J366" s="3"/>
      <c r="K366" s="3"/>
      <c r="L366" s="3"/>
    </row>
    <row r="367" spans="1:12">
      <c r="A367" s="3">
        <v>42818</v>
      </c>
      <c r="B367" s="3">
        <v>263.16000000000003</v>
      </c>
      <c r="C367" s="4" cm="1">
        <f t="array" aca="1" ref="C367" ca="1">INDIRECT(ADDRESS(ROW()-C$3,2))-INDIRECT(ADDRESS(ROW()-C$2,2))</f>
        <v>12.480000000000018</v>
      </c>
      <c r="D367" s="4" cm="1">
        <f t="array" aca="1" ref="D367" ca="1">INDIRECT(ADDRESS(ROW()-D$3,2))-INDIRECT(ADDRESS(ROW()-D$2,2))</f>
        <v>19.470000000000027</v>
      </c>
      <c r="E367" s="4">
        <f t="shared" ca="1" si="11"/>
        <v>258.35000000000002</v>
      </c>
      <c r="F367" s="3">
        <v>64.319999999956167</v>
      </c>
      <c r="G367" s="3">
        <v>12105.36</v>
      </c>
      <c r="H367" s="3">
        <f t="shared" si="10"/>
        <v>12169.679999999957</v>
      </c>
      <c r="I367" s="3">
        <v>46</v>
      </c>
      <c r="J367" s="3"/>
      <c r="K367" s="3"/>
      <c r="L367" s="3"/>
    </row>
    <row r="368" spans="1:12">
      <c r="A368" s="3">
        <v>42821</v>
      </c>
      <c r="B368" s="3">
        <v>270.22000000000003</v>
      </c>
      <c r="C368" s="4" cm="1">
        <f t="array" aca="1" ref="C368" ca="1">INDIRECT(ADDRESS(ROW()-C$3,2))-INDIRECT(ADDRESS(ROW()-C$2,2))</f>
        <v>15.210000000000036</v>
      </c>
      <c r="D368" s="4" cm="1">
        <f t="array" aca="1" ref="D368" ca="1">INDIRECT(ADDRESS(ROW()-D$3,2))-INDIRECT(ADDRESS(ROW()-D$2,2))</f>
        <v>24.05000000000004</v>
      </c>
      <c r="E368" s="4">
        <f t="shared" ca="1" si="11"/>
        <v>256.92</v>
      </c>
      <c r="F368" s="3">
        <v>64.319999999956167</v>
      </c>
      <c r="G368" s="3">
        <v>12430.12</v>
      </c>
      <c r="H368" s="3">
        <f t="shared" si="10"/>
        <v>12494.439999999957</v>
      </c>
      <c r="I368" s="3">
        <v>46</v>
      </c>
      <c r="J368" s="3"/>
      <c r="K368" s="3"/>
      <c r="L368" s="3"/>
    </row>
    <row r="369" spans="1:12">
      <c r="A369" s="3">
        <v>42822</v>
      </c>
      <c r="B369" s="3">
        <v>277.45</v>
      </c>
      <c r="C369" s="4" cm="1">
        <f t="array" aca="1" ref="C369" ca="1">INDIRECT(ADDRESS(ROW()-C$3,2))-INDIRECT(ADDRESS(ROW()-C$2,2))</f>
        <v>22.669999999999987</v>
      </c>
      <c r="D369" s="4" cm="1">
        <f t="array" aca="1" ref="D369" ca="1">INDIRECT(ADDRESS(ROW()-D$3,2))-INDIRECT(ADDRESS(ROW()-D$2,2))</f>
        <v>19.449999999999989</v>
      </c>
      <c r="E369" s="4">
        <f t="shared" ca="1" si="11"/>
        <v>262.61500000000001</v>
      </c>
      <c r="F369" s="3">
        <v>64.319999999956167</v>
      </c>
      <c r="G369" s="3">
        <v>12762.699999999999</v>
      </c>
      <c r="H369" s="3">
        <f t="shared" si="10"/>
        <v>12827.019999999955</v>
      </c>
      <c r="I369" s="3">
        <v>46</v>
      </c>
      <c r="J369" s="3"/>
      <c r="K369" s="3"/>
      <c r="L369" s="3"/>
    </row>
    <row r="370" spans="1:12">
      <c r="A370" s="3">
        <v>42823</v>
      </c>
      <c r="B370" s="3">
        <v>277.38</v>
      </c>
      <c r="C370" s="4" cm="1">
        <f t="array" aca="1" ref="C370" ca="1">INDIRECT(ADDRESS(ROW()-C$3,2))-INDIRECT(ADDRESS(ROW()-C$2,2))</f>
        <v>14.21999999999997</v>
      </c>
      <c r="D370" s="4" cm="1">
        <f t="array" aca="1" ref="D370" ca="1">INDIRECT(ADDRESS(ROW()-D$3,2))-INDIRECT(ADDRESS(ROW()-D$2,2))</f>
        <v>21.650000000000006</v>
      </c>
      <c r="E370" s="4">
        <f t="shared" ca="1" si="11"/>
        <v>266.11500000000001</v>
      </c>
      <c r="F370" s="3">
        <v>64.319999999956167</v>
      </c>
      <c r="G370" s="3">
        <v>12759.48</v>
      </c>
      <c r="H370" s="3">
        <f t="shared" si="10"/>
        <v>12823.799999999956</v>
      </c>
      <c r="I370" s="3">
        <v>46</v>
      </c>
      <c r="J370" s="3"/>
      <c r="K370" s="3"/>
      <c r="L370" s="3"/>
    </row>
    <row r="371" spans="1:12">
      <c r="A371" s="3">
        <v>42824</v>
      </c>
      <c r="B371" s="3">
        <v>277.92</v>
      </c>
      <c r="C371" s="4" cm="1">
        <f t="array" aca="1" ref="C371" ca="1">INDIRECT(ADDRESS(ROW()-C$3,2))-INDIRECT(ADDRESS(ROW()-C$2,2))</f>
        <v>7.6999999999999886</v>
      </c>
      <c r="D371" s="4" cm="1">
        <f t="array" aca="1" ref="D371" ca="1">INDIRECT(ADDRESS(ROW()-D$3,2))-INDIRECT(ADDRESS(ROW()-D$2,2))</f>
        <v>15.870000000000005</v>
      </c>
      <c r="E371" s="4">
        <f t="shared" ca="1" si="11"/>
        <v>270.27</v>
      </c>
      <c r="F371" s="3">
        <v>64.319999999956167</v>
      </c>
      <c r="G371" s="3">
        <v>12784.320000000002</v>
      </c>
      <c r="H371" s="3">
        <f t="shared" si="10"/>
        <v>12848.639999999958</v>
      </c>
      <c r="I371" s="3">
        <v>46</v>
      </c>
      <c r="J371" s="3"/>
      <c r="K371" s="3"/>
      <c r="L371" s="3"/>
    </row>
    <row r="372" spans="1:12">
      <c r="A372" s="3">
        <v>42825</v>
      </c>
      <c r="B372" s="3">
        <v>278.3</v>
      </c>
      <c r="C372" s="4" cm="1">
        <f t="array" aca="1" ref="C372" ca="1">INDIRECT(ADDRESS(ROW()-C$3,2))-INDIRECT(ADDRESS(ROW()-C$2,2))</f>
        <v>0.85000000000002274</v>
      </c>
      <c r="D372" s="4" cm="1">
        <f t="array" aca="1" ref="D372" ca="1">INDIRECT(ADDRESS(ROW()-D$3,2))-INDIRECT(ADDRESS(ROW()-D$2,2))</f>
        <v>16.800000000000011</v>
      </c>
      <c r="E372" s="4">
        <f t="shared" ca="1" si="11"/>
        <v>274.07000000000005</v>
      </c>
      <c r="F372" s="3">
        <v>64.319999999956167</v>
      </c>
      <c r="G372" s="3">
        <v>12801.800000000001</v>
      </c>
      <c r="H372" s="3">
        <f t="shared" si="10"/>
        <v>12866.119999999957</v>
      </c>
      <c r="I372" s="3">
        <v>46</v>
      </c>
      <c r="J372" s="3"/>
      <c r="K372" s="3"/>
      <c r="L372" s="3"/>
    </row>
    <row r="373" spans="1:12">
      <c r="A373" s="3">
        <v>42828</v>
      </c>
      <c r="B373" s="3">
        <v>298.52</v>
      </c>
      <c r="C373" s="4" cm="1">
        <f t="array" aca="1" ref="C373" ca="1">INDIRECT(ADDRESS(ROW()-C$3,2))-INDIRECT(ADDRESS(ROW()-C$2,2))</f>
        <v>21.139999999999986</v>
      </c>
      <c r="D373" s="4" cm="1">
        <f t="array" aca="1" ref="D373" ca="1">INDIRECT(ADDRESS(ROW()-D$3,2))-INDIRECT(ADDRESS(ROW()-D$2,2))</f>
        <v>36.599999999999966</v>
      </c>
      <c r="E373" s="4">
        <f t="shared" ca="1" si="11"/>
        <v>277.875</v>
      </c>
      <c r="F373" s="3">
        <v>64.319999999956167</v>
      </c>
      <c r="G373" s="3">
        <v>13731.919999999998</v>
      </c>
      <c r="H373" s="3">
        <f t="shared" si="10"/>
        <v>13796.239999999954</v>
      </c>
      <c r="I373" s="3">
        <v>46</v>
      </c>
      <c r="J373" s="3"/>
      <c r="K373" s="3"/>
      <c r="L373" s="3"/>
    </row>
    <row r="374" spans="1:12">
      <c r="A374" s="3">
        <v>42829</v>
      </c>
      <c r="B374" s="3">
        <v>303.7</v>
      </c>
      <c r="C374" s="4" cm="1">
        <f t="array" aca="1" ref="C374" ca="1">INDIRECT(ADDRESS(ROW()-C$3,2))-INDIRECT(ADDRESS(ROW()-C$2,2))</f>
        <v>25.779999999999973</v>
      </c>
      <c r="D374" s="4" cm="1">
        <f t="array" aca="1" ref="D374" ca="1">INDIRECT(ADDRESS(ROW()-D$3,2))-INDIRECT(ADDRESS(ROW()-D$2,2))</f>
        <v>53.019999999999982</v>
      </c>
      <c r="E374" s="4">
        <f t="shared" ca="1" si="11"/>
        <v>287.95</v>
      </c>
      <c r="F374" s="3">
        <v>64.319999999956167</v>
      </c>
      <c r="G374" s="3">
        <v>13970.199999999999</v>
      </c>
      <c r="H374" s="3">
        <f t="shared" si="10"/>
        <v>14034.519999999955</v>
      </c>
      <c r="I374" s="3">
        <v>46</v>
      </c>
      <c r="J374" s="3"/>
      <c r="K374" s="3"/>
      <c r="L374" s="3"/>
    </row>
    <row r="375" spans="1:12">
      <c r="A375" s="3">
        <v>42830</v>
      </c>
      <c r="B375" s="3">
        <v>295</v>
      </c>
      <c r="C375" s="4" cm="1">
        <f t="array" aca="1" ref="C375" ca="1">INDIRECT(ADDRESS(ROW()-C$3,2))-INDIRECT(ADDRESS(ROW()-C$2,2))</f>
        <v>16.699999999999989</v>
      </c>
      <c r="D375" s="4" cm="1">
        <f t="array" aca="1" ref="D375" ca="1">INDIRECT(ADDRESS(ROW()-D$3,2))-INDIRECT(ADDRESS(ROW()-D$2,2))</f>
        <v>39.990000000000009</v>
      </c>
      <c r="E375" s="4">
        <f t="shared" ca="1" si="11"/>
        <v>290.81</v>
      </c>
      <c r="F375" s="3">
        <v>64.319999999956167</v>
      </c>
      <c r="G375" s="3">
        <v>13570</v>
      </c>
      <c r="H375" s="3">
        <f t="shared" si="10"/>
        <v>13634.319999999956</v>
      </c>
      <c r="I375" s="3">
        <v>46</v>
      </c>
      <c r="J375" s="3"/>
      <c r="K375" s="3"/>
      <c r="L375" s="3"/>
    </row>
    <row r="376" spans="1:12">
      <c r="A376" s="3">
        <v>42831</v>
      </c>
      <c r="B376" s="3">
        <v>298.7</v>
      </c>
      <c r="C376" s="4" cm="1">
        <f t="array" aca="1" ref="C376" ca="1">INDIRECT(ADDRESS(ROW()-C$3,2))-INDIRECT(ADDRESS(ROW()-C$2,2))</f>
        <v>0.18000000000000682</v>
      </c>
      <c r="D376" s="4" cm="1">
        <f t="array" aca="1" ref="D376" ca="1">INDIRECT(ADDRESS(ROW()-D$3,2))-INDIRECT(ADDRESS(ROW()-D$2,2))</f>
        <v>43.919999999999987</v>
      </c>
      <c r="E376" s="4">
        <f t="shared" ca="1" si="11"/>
        <v>286.64999999999998</v>
      </c>
      <c r="F376" s="3">
        <v>64.319999999956167</v>
      </c>
      <c r="G376" s="3">
        <v>13740.199999999999</v>
      </c>
      <c r="H376" s="3">
        <f t="shared" si="10"/>
        <v>13804.519999999955</v>
      </c>
      <c r="I376" s="3">
        <v>46</v>
      </c>
      <c r="J376" s="3"/>
      <c r="K376" s="3"/>
      <c r="L376" s="3"/>
    </row>
    <row r="377" spans="1:12">
      <c r="A377" s="3">
        <v>42832</v>
      </c>
      <c r="B377" s="3">
        <v>302.54000000000002</v>
      </c>
      <c r="C377" s="4" cm="1">
        <f t="array" aca="1" ref="C377" ca="1">INDIRECT(ADDRESS(ROW()-C$3,2))-INDIRECT(ADDRESS(ROW()-C$2,2))</f>
        <v>-1.1599999999999682</v>
      </c>
      <c r="D377" s="4" cm="1">
        <f t="array" aca="1" ref="D377" ca="1">INDIRECT(ADDRESS(ROW()-D$3,2))-INDIRECT(ADDRESS(ROW()-D$2,2))</f>
        <v>39.379999999999995</v>
      </c>
      <c r="E377" s="4">
        <f t="shared" ca="1" si="11"/>
        <v>298.61</v>
      </c>
      <c r="F377" s="3">
        <v>13981.159999999956</v>
      </c>
      <c r="G377" s="3">
        <v>0</v>
      </c>
      <c r="H377" s="3">
        <f t="shared" si="10"/>
        <v>13981.159999999956</v>
      </c>
      <c r="I377" s="3">
        <v>0</v>
      </c>
      <c r="J377" s="3"/>
      <c r="K377" s="3"/>
      <c r="L377" s="3"/>
    </row>
    <row r="378" spans="1:12">
      <c r="A378" s="3">
        <v>42835</v>
      </c>
      <c r="B378" s="3">
        <v>312.39</v>
      </c>
      <c r="C378" s="4" cm="1">
        <f t="array" aca="1" ref="C378" ca="1">INDIRECT(ADDRESS(ROW()-C$3,2))-INDIRECT(ADDRESS(ROW()-C$2,2))</f>
        <v>17.389999999999986</v>
      </c>
      <c r="D378" s="4" cm="1">
        <f t="array" aca="1" ref="D378" ca="1">INDIRECT(ADDRESS(ROW()-D$3,2))-INDIRECT(ADDRESS(ROW()-D$2,2))</f>
        <v>42.169999999999959</v>
      </c>
      <c r="E378" s="4">
        <f t="shared" ca="1" si="11"/>
        <v>303.12</v>
      </c>
      <c r="F378" s="3">
        <v>235.99999999996373</v>
      </c>
      <c r="G378" s="3">
        <v>13745.16</v>
      </c>
      <c r="H378" s="3">
        <f t="shared" si="10"/>
        <v>13981.159999999963</v>
      </c>
      <c r="I378" s="3">
        <v>44</v>
      </c>
      <c r="J378" s="3"/>
      <c r="K378" s="3"/>
      <c r="L378" s="3"/>
    </row>
    <row r="379" spans="1:12">
      <c r="A379" s="3">
        <v>42836</v>
      </c>
      <c r="B379" s="3">
        <v>308.70999999999998</v>
      </c>
      <c r="C379" s="4" cm="1">
        <f t="array" aca="1" ref="C379" ca="1">INDIRECT(ADDRESS(ROW()-C$3,2))-INDIRECT(ADDRESS(ROW()-C$2,2))</f>
        <v>10.009999999999991</v>
      </c>
      <c r="D379" s="4" cm="1">
        <f t="array" aca="1" ref="D379" ca="1">INDIRECT(ADDRESS(ROW()-D$3,2))-INDIRECT(ADDRESS(ROW()-D$2,2))</f>
        <v>31.259999999999991</v>
      </c>
      <c r="E379" s="4">
        <f t="shared" ca="1" si="11"/>
        <v>303.69499999999999</v>
      </c>
      <c r="F379" s="3">
        <v>235.99999999996373</v>
      </c>
      <c r="G379" s="3">
        <v>13583.24</v>
      </c>
      <c r="H379" s="3">
        <f t="shared" si="10"/>
        <v>13819.239999999963</v>
      </c>
      <c r="I379" s="3">
        <v>44</v>
      </c>
      <c r="J379" s="3"/>
      <c r="K379" s="3"/>
      <c r="L379" s="3"/>
    </row>
    <row r="380" spans="1:12">
      <c r="A380" s="3">
        <v>42837</v>
      </c>
      <c r="B380" s="3">
        <v>296.83999999999997</v>
      </c>
      <c r="C380" s="4" cm="1">
        <f t="array" aca="1" ref="C380" ca="1">INDIRECT(ADDRESS(ROW()-C$3,2))-INDIRECT(ADDRESS(ROW()-C$2,2))</f>
        <v>-5.7000000000000455</v>
      </c>
      <c r="D380" s="4" cm="1">
        <f t="array" aca="1" ref="D380" ca="1">INDIRECT(ADDRESS(ROW()-D$3,2))-INDIRECT(ADDRESS(ROW()-D$2,2))</f>
        <v>19.45999999999998</v>
      </c>
      <c r="E380" s="4">
        <f t="shared" ca="1" si="11"/>
        <v>303.70499999999998</v>
      </c>
      <c r="F380" s="3">
        <v>13296.959999999963</v>
      </c>
      <c r="G380" s="3">
        <v>0</v>
      </c>
      <c r="H380" s="3">
        <f t="shared" si="10"/>
        <v>13296.959999999963</v>
      </c>
      <c r="I380" s="3">
        <v>0</v>
      </c>
      <c r="J380" s="3"/>
      <c r="K380" s="3"/>
      <c r="L380" s="3"/>
    </row>
    <row r="381" spans="1:12">
      <c r="A381" s="3">
        <v>42838</v>
      </c>
      <c r="B381" s="3">
        <v>304</v>
      </c>
      <c r="C381" s="4" cm="1">
        <f t="array" aca="1" ref="C381" ca="1">INDIRECT(ADDRESS(ROW()-C$3,2))-INDIRECT(ADDRESS(ROW()-C$2,2))</f>
        <v>-8.3899999999999864</v>
      </c>
      <c r="D381" s="4" cm="1">
        <f t="array" aca="1" ref="D381" ca="1">INDIRECT(ADDRESS(ROW()-D$3,2))-INDIRECT(ADDRESS(ROW()-D$2,2))</f>
        <v>26.079999999999984</v>
      </c>
      <c r="E381" s="4">
        <f t="shared" ca="1" si="11"/>
        <v>299.69</v>
      </c>
      <c r="F381" s="3">
        <v>13296.959999999963</v>
      </c>
      <c r="G381" s="3">
        <v>0</v>
      </c>
      <c r="H381" s="3">
        <f t="shared" si="10"/>
        <v>13296.959999999963</v>
      </c>
      <c r="I381" s="3">
        <v>0</v>
      </c>
      <c r="J381" s="3"/>
      <c r="K381" s="3"/>
      <c r="L381" s="3"/>
    </row>
    <row r="382" spans="1:12">
      <c r="A382" s="3">
        <v>42842</v>
      </c>
      <c r="B382" s="3">
        <v>301.44</v>
      </c>
      <c r="C382" s="4" cm="1">
        <f t="array" aca="1" ref="C382" ca="1">INDIRECT(ADDRESS(ROW()-C$3,2))-INDIRECT(ADDRESS(ROW()-C$2,2))</f>
        <v>-7.2699999999999818</v>
      </c>
      <c r="D382" s="4" cm="1">
        <f t="array" aca="1" ref="D382" ca="1">INDIRECT(ADDRESS(ROW()-D$3,2))-INDIRECT(ADDRESS(ROW()-D$2,2))</f>
        <v>23.139999999999986</v>
      </c>
      <c r="E382" s="4">
        <f t="shared" ca="1" si="11"/>
        <v>308.19499999999999</v>
      </c>
      <c r="F382" s="3">
        <v>13296.959999999963</v>
      </c>
      <c r="G382" s="3">
        <v>0</v>
      </c>
      <c r="H382" s="3">
        <f t="shared" si="10"/>
        <v>13296.959999999963</v>
      </c>
      <c r="I382" s="3">
        <v>0</v>
      </c>
      <c r="J382" s="3"/>
      <c r="K382" s="3"/>
      <c r="L382" s="3"/>
    </row>
    <row r="383" spans="1:12">
      <c r="A383" s="3">
        <v>42843</v>
      </c>
      <c r="B383" s="3">
        <v>300.25</v>
      </c>
      <c r="C383" s="4" cm="1">
        <f t="array" aca="1" ref="C383" ca="1">INDIRECT(ADDRESS(ROW()-C$3,2))-INDIRECT(ADDRESS(ROW()-C$2,2))</f>
        <v>3.410000000000025</v>
      </c>
      <c r="D383" s="4" cm="1">
        <f t="array" aca="1" ref="D383" ca="1">INDIRECT(ADDRESS(ROW()-D$3,2))-INDIRECT(ADDRESS(ROW()-D$2,2))</f>
        <v>1.7300000000000182</v>
      </c>
      <c r="E383" s="4">
        <f t="shared" ca="1" si="11"/>
        <v>305.07499999999999</v>
      </c>
      <c r="F383" s="3">
        <v>85.959999999962747</v>
      </c>
      <c r="G383" s="3">
        <v>13211</v>
      </c>
      <c r="H383" s="3">
        <f t="shared" si="10"/>
        <v>13296.959999999963</v>
      </c>
      <c r="I383" s="3">
        <v>44</v>
      </c>
      <c r="J383" s="3"/>
      <c r="K383" s="3"/>
      <c r="L383" s="3"/>
    </row>
    <row r="384" spans="1:12">
      <c r="A384" s="3">
        <v>42844</v>
      </c>
      <c r="B384" s="3">
        <v>305.52</v>
      </c>
      <c r="C384" s="4" cm="1">
        <f t="array" aca="1" ref="C384" ca="1">INDIRECT(ADDRESS(ROW()-C$3,2))-INDIRECT(ADDRESS(ROW()-C$2,2))</f>
        <v>1.5199999999999818</v>
      </c>
      <c r="D384" s="4" cm="1">
        <f t="array" aca="1" ref="D384" ca="1">INDIRECT(ADDRESS(ROW()-D$3,2))-INDIRECT(ADDRESS(ROW()-D$2,2))</f>
        <v>1.8199999999999932</v>
      </c>
      <c r="E384" s="4">
        <f t="shared" ca="1" si="11"/>
        <v>298.54499999999996</v>
      </c>
      <c r="F384" s="3">
        <v>85.959999999962747</v>
      </c>
      <c r="G384" s="3">
        <v>13442.88</v>
      </c>
      <c r="H384" s="3">
        <f t="shared" si="10"/>
        <v>13528.839999999962</v>
      </c>
      <c r="I384" s="3">
        <v>44</v>
      </c>
      <c r="J384" s="3"/>
      <c r="K384" s="3"/>
      <c r="L384" s="3"/>
    </row>
    <row r="385" spans="1:12">
      <c r="A385" s="3">
        <v>42845</v>
      </c>
      <c r="B385" s="3">
        <v>302.51</v>
      </c>
      <c r="C385" s="4" cm="1">
        <f t="array" aca="1" ref="C385" ca="1">INDIRECT(ADDRESS(ROW()-C$3,2))-INDIRECT(ADDRESS(ROW()-C$2,2))</f>
        <v>1.0699999999999932</v>
      </c>
      <c r="D385" s="4" cm="1">
        <f t="array" aca="1" ref="D385" ca="1">INDIRECT(ADDRESS(ROW()-D$3,2))-INDIRECT(ADDRESS(ROW()-D$2,2))</f>
        <v>7.5099999999999909</v>
      </c>
      <c r="E385" s="4">
        <f t="shared" ca="1" si="11"/>
        <v>304.76</v>
      </c>
      <c r="F385" s="3">
        <v>85.959999999962747</v>
      </c>
      <c r="G385" s="3">
        <v>13310.439999999999</v>
      </c>
      <c r="H385" s="3">
        <f t="shared" si="10"/>
        <v>13396.399999999961</v>
      </c>
      <c r="I385" s="3">
        <v>44</v>
      </c>
      <c r="J385" s="3"/>
      <c r="K385" s="3"/>
      <c r="L385" s="3"/>
    </row>
    <row r="386" spans="1:12">
      <c r="A386" s="3">
        <v>42846</v>
      </c>
      <c r="B386" s="3">
        <v>305.60000000000002</v>
      </c>
      <c r="C386" s="4" cm="1">
        <f t="array" aca="1" ref="C386" ca="1">INDIRECT(ADDRESS(ROW()-C$3,2))-INDIRECT(ADDRESS(ROW()-C$2,2))</f>
        <v>5.3500000000000227</v>
      </c>
      <c r="D386" s="4" cm="1">
        <f t="array" aca="1" ref="D386" ca="1">INDIRECT(ADDRESS(ROW()-D$3,2))-INDIRECT(ADDRESS(ROW()-D$2,2))</f>
        <v>6.9000000000000341</v>
      </c>
      <c r="E386" s="4">
        <f t="shared" ca="1" si="11"/>
        <v>301.97500000000002</v>
      </c>
      <c r="F386" s="3">
        <v>85.959999999962747</v>
      </c>
      <c r="G386" s="3">
        <v>13446.400000000001</v>
      </c>
      <c r="H386" s="3">
        <f t="shared" si="10"/>
        <v>13532.359999999964</v>
      </c>
      <c r="I386" s="3">
        <v>44</v>
      </c>
      <c r="J386" s="3"/>
      <c r="K386" s="3"/>
      <c r="L386" s="3"/>
    </row>
    <row r="387" spans="1:12">
      <c r="A387" s="3">
        <v>42849</v>
      </c>
      <c r="B387" s="3">
        <v>308.02999999999997</v>
      </c>
      <c r="C387" s="4" cm="1">
        <f t="array" aca="1" ref="C387" ca="1">INDIRECT(ADDRESS(ROW()-C$3,2))-INDIRECT(ADDRESS(ROW()-C$2,2))</f>
        <v>2.5099999999999909</v>
      </c>
      <c r="D387" s="4" cm="1">
        <f t="array" aca="1" ref="D387" ca="1">INDIRECT(ADDRESS(ROW()-D$3,2))-INDIRECT(ADDRESS(ROW()-D$2,2))</f>
        <v>5.4899999999999523</v>
      </c>
      <c r="E387" s="4">
        <f t="shared" ca="1" si="11"/>
        <v>302.92500000000001</v>
      </c>
      <c r="F387" s="3">
        <v>85.959999999962747</v>
      </c>
      <c r="G387" s="3">
        <v>13553.32</v>
      </c>
      <c r="H387" s="3">
        <f t="shared" si="10"/>
        <v>13639.279999999962</v>
      </c>
      <c r="I387" s="3">
        <v>44</v>
      </c>
      <c r="J387" s="3"/>
      <c r="K387" s="3"/>
      <c r="L387" s="3"/>
    </row>
    <row r="388" spans="1:12">
      <c r="A388" s="3">
        <v>42850</v>
      </c>
      <c r="B388" s="3">
        <v>313.79000000000002</v>
      </c>
      <c r="C388" s="4" cm="1">
        <f t="array" aca="1" ref="C388" ca="1">INDIRECT(ADDRESS(ROW()-C$3,2))-INDIRECT(ADDRESS(ROW()-C$2,2))</f>
        <v>11.28000000000003</v>
      </c>
      <c r="D388" s="4" cm="1">
        <f t="array" aca="1" ref="D388" ca="1">INDIRECT(ADDRESS(ROW()-D$3,2))-INDIRECT(ADDRESS(ROW()-D$2,2))</f>
        <v>1.4000000000000341</v>
      </c>
      <c r="E388" s="4">
        <f t="shared" ca="1" si="11"/>
        <v>306.77499999999998</v>
      </c>
      <c r="F388" s="3">
        <v>85.959999999962747</v>
      </c>
      <c r="G388" s="3">
        <v>13806.76</v>
      </c>
      <c r="H388" s="3">
        <f t="shared" si="10"/>
        <v>13892.719999999963</v>
      </c>
      <c r="I388" s="3">
        <v>44</v>
      </c>
      <c r="J388" s="3"/>
      <c r="K388" s="3"/>
      <c r="L388" s="3"/>
    </row>
    <row r="389" spans="1:12">
      <c r="A389" s="3">
        <v>42851</v>
      </c>
      <c r="B389" s="3">
        <v>310.17</v>
      </c>
      <c r="C389" s="4" cm="1">
        <f t="array" aca="1" ref="C389" ca="1">INDIRECT(ADDRESS(ROW()-C$3,2))-INDIRECT(ADDRESS(ROW()-C$2,2))</f>
        <v>4.5699999999999932</v>
      </c>
      <c r="D389" s="4" cm="1">
        <f t="array" aca="1" ref="D389" ca="1">INDIRECT(ADDRESS(ROW()-D$3,2))-INDIRECT(ADDRESS(ROW()-D$2,2))</f>
        <v>1.4600000000000364</v>
      </c>
      <c r="E389" s="4">
        <f t="shared" ca="1" si="11"/>
        <v>308.14999999999998</v>
      </c>
      <c r="F389" s="3">
        <v>85.959999999962747</v>
      </c>
      <c r="G389" s="3">
        <v>13647.480000000001</v>
      </c>
      <c r="H389" s="3">
        <f t="shared" si="10"/>
        <v>13733.439999999964</v>
      </c>
      <c r="I389" s="3">
        <v>44</v>
      </c>
      <c r="J389" s="3"/>
      <c r="K389" s="3"/>
      <c r="L389" s="3"/>
    </row>
    <row r="390" spans="1:12">
      <c r="A390" s="3">
        <v>42852</v>
      </c>
      <c r="B390" s="3">
        <v>308.63</v>
      </c>
      <c r="C390" s="4" cm="1">
        <f t="array" aca="1" ref="C390" ca="1">INDIRECT(ADDRESS(ROW()-C$3,2))-INDIRECT(ADDRESS(ROW()-C$2,2))</f>
        <v>0.60000000000002274</v>
      </c>
      <c r="D390" s="4" cm="1">
        <f t="array" aca="1" ref="D390" ca="1">INDIRECT(ADDRESS(ROW()-D$3,2))-INDIRECT(ADDRESS(ROW()-D$2,2))</f>
        <v>11.79000000000002</v>
      </c>
      <c r="E390" s="4">
        <f t="shared" ca="1" si="11"/>
        <v>307.88499999999999</v>
      </c>
      <c r="F390" s="3">
        <v>85.959999999962747</v>
      </c>
      <c r="G390" s="3">
        <v>13579.72</v>
      </c>
      <c r="H390" s="3">
        <f t="shared" si="10"/>
        <v>13665.679999999962</v>
      </c>
      <c r="I390" s="3">
        <v>44</v>
      </c>
      <c r="J390" s="3"/>
      <c r="K390" s="3"/>
      <c r="L390" s="3"/>
    </row>
    <row r="391" spans="1:12">
      <c r="A391" s="3">
        <v>42853</v>
      </c>
      <c r="B391" s="3">
        <v>314.07</v>
      </c>
      <c r="C391" s="4" cm="1">
        <f t="array" aca="1" ref="C391" ca="1">INDIRECT(ADDRESS(ROW()-C$3,2))-INDIRECT(ADDRESS(ROW()-C$2,2))</f>
        <v>0.27999999999997272</v>
      </c>
      <c r="D391" s="4" cm="1">
        <f t="array" aca="1" ref="D391" ca="1">INDIRECT(ADDRESS(ROW()-D$3,2))-INDIRECT(ADDRESS(ROW()-D$2,2))</f>
        <v>10.069999999999993</v>
      </c>
      <c r="E391" s="4">
        <f t="shared" ca="1" si="11"/>
        <v>308.33</v>
      </c>
      <c r="F391" s="3">
        <v>85.959999999962747</v>
      </c>
      <c r="G391" s="3">
        <v>13819.08</v>
      </c>
      <c r="H391" s="3">
        <f t="shared" si="10"/>
        <v>13905.039999999963</v>
      </c>
      <c r="I391" s="3">
        <v>44</v>
      </c>
      <c r="J391" s="3"/>
      <c r="K391" s="3"/>
      <c r="L391" s="3"/>
    </row>
    <row r="392" spans="1:12">
      <c r="A392" s="3">
        <v>42856</v>
      </c>
      <c r="B392" s="3">
        <v>322.83</v>
      </c>
      <c r="C392" s="4" cm="1">
        <f t="array" aca="1" ref="C392" ca="1">INDIRECT(ADDRESS(ROW()-C$3,2))-INDIRECT(ADDRESS(ROW()-C$2,2))</f>
        <v>12.659999999999968</v>
      </c>
      <c r="D392" s="4" cm="1">
        <f t="array" aca="1" ref="D392" ca="1">INDIRECT(ADDRESS(ROW()-D$3,2))-INDIRECT(ADDRESS(ROW()-D$2,2))</f>
        <v>21.389999999999986</v>
      </c>
      <c r="E392" s="4">
        <f t="shared" ca="1" si="11"/>
        <v>313.93</v>
      </c>
      <c r="F392" s="3">
        <v>85.959999999962747</v>
      </c>
      <c r="G392" s="3">
        <v>14204.519999999999</v>
      </c>
      <c r="H392" s="3">
        <f t="shared" si="10"/>
        <v>14290.479999999961</v>
      </c>
      <c r="I392" s="3">
        <v>44</v>
      </c>
      <c r="J392" s="3"/>
      <c r="K392" s="3"/>
      <c r="L392" s="3"/>
    </row>
    <row r="393" spans="1:12">
      <c r="A393" s="3">
        <v>42857</v>
      </c>
      <c r="B393" s="3">
        <v>318.89</v>
      </c>
      <c r="C393" s="4" cm="1">
        <f t="array" aca="1" ref="C393" ca="1">INDIRECT(ADDRESS(ROW()-C$3,2))-INDIRECT(ADDRESS(ROW()-C$2,2))</f>
        <v>10.259999999999991</v>
      </c>
      <c r="D393" s="4" cm="1">
        <f t="array" aca="1" ref="D393" ca="1">INDIRECT(ADDRESS(ROW()-D$3,2))-INDIRECT(ADDRESS(ROW()-D$2,2))</f>
        <v>18.639999999999986</v>
      </c>
      <c r="E393" s="4">
        <f t="shared" ca="1" si="11"/>
        <v>316.5</v>
      </c>
      <c r="F393" s="3">
        <v>85.959999999962747</v>
      </c>
      <c r="G393" s="3">
        <v>14031.16</v>
      </c>
      <c r="H393" s="3">
        <f t="shared" si="10"/>
        <v>14117.119999999963</v>
      </c>
      <c r="I393" s="3">
        <v>44</v>
      </c>
      <c r="J393" s="3"/>
      <c r="K393" s="3"/>
      <c r="L393" s="3"/>
    </row>
    <row r="394" spans="1:12">
      <c r="A394" s="3">
        <v>42858</v>
      </c>
      <c r="B394" s="3">
        <v>311.02</v>
      </c>
      <c r="C394" s="4" cm="1">
        <f t="array" aca="1" ref="C394" ca="1">INDIRECT(ADDRESS(ROW()-C$3,2))-INDIRECT(ADDRESS(ROW()-C$2,2))</f>
        <v>-3.0500000000000114</v>
      </c>
      <c r="D394" s="4" cm="1">
        <f t="array" aca="1" ref="D394" ca="1">INDIRECT(ADDRESS(ROW()-D$3,2))-INDIRECT(ADDRESS(ROW()-D$2,2))</f>
        <v>5.5</v>
      </c>
      <c r="E394" s="4">
        <f t="shared" ca="1" si="11"/>
        <v>313.76</v>
      </c>
      <c r="F394" s="3">
        <v>13770.839999999962</v>
      </c>
      <c r="G394" s="3">
        <v>0</v>
      </c>
      <c r="H394" s="3">
        <f t="shared" si="10"/>
        <v>13770.839999999962</v>
      </c>
      <c r="I394" s="3">
        <v>0</v>
      </c>
      <c r="J394" s="3"/>
      <c r="K394" s="3"/>
      <c r="L394" s="3"/>
    </row>
    <row r="395" spans="1:12">
      <c r="A395" s="3">
        <v>42859</v>
      </c>
      <c r="B395" s="3">
        <v>295.45999999999998</v>
      </c>
      <c r="C395" s="4" cm="1">
        <f t="array" aca="1" ref="C395" ca="1">INDIRECT(ADDRESS(ROW()-C$3,2))-INDIRECT(ADDRESS(ROW()-C$2,2))</f>
        <v>-27.370000000000005</v>
      </c>
      <c r="D395" s="4" cm="1">
        <f t="array" aca="1" ref="D395" ca="1">INDIRECT(ADDRESS(ROW()-D$3,2))-INDIRECT(ADDRESS(ROW()-D$2,2))</f>
        <v>-7.0500000000000114</v>
      </c>
      <c r="E395" s="4">
        <f t="shared" ca="1" si="11"/>
        <v>312.54499999999996</v>
      </c>
      <c r="F395" s="3">
        <v>13770.839999999962</v>
      </c>
      <c r="G395" s="3">
        <v>0</v>
      </c>
      <c r="H395" s="3">
        <f t="shared" si="10"/>
        <v>13770.839999999962</v>
      </c>
      <c r="I395" s="3">
        <v>0</v>
      </c>
      <c r="J395" s="3"/>
      <c r="K395" s="3"/>
      <c r="L395" s="3"/>
    </row>
    <row r="396" spans="1:12">
      <c r="A396" s="3">
        <v>42860</v>
      </c>
      <c r="B396" s="3">
        <v>308.35000000000002</v>
      </c>
      <c r="C396" s="4" cm="1">
        <f t="array" aca="1" ref="C396" ca="1">INDIRECT(ADDRESS(ROW()-C$3,2))-INDIRECT(ADDRESS(ROW()-C$2,2))</f>
        <v>-10.539999999999964</v>
      </c>
      <c r="D396" s="4" cm="1">
        <f t="array" aca="1" ref="D396" ca="1">INDIRECT(ADDRESS(ROW()-D$3,2))-INDIRECT(ADDRESS(ROW()-D$2,2))</f>
        <v>2.75</v>
      </c>
      <c r="E396" s="4">
        <f t="shared" ca="1" si="11"/>
        <v>309.14499999999998</v>
      </c>
      <c r="F396" s="3">
        <v>13770.839999999962</v>
      </c>
      <c r="G396" s="3">
        <v>0</v>
      </c>
      <c r="H396" s="3">
        <f t="shared" si="10"/>
        <v>13770.839999999962</v>
      </c>
      <c r="I396" s="3">
        <v>0</v>
      </c>
      <c r="J396" s="3"/>
      <c r="K396" s="3"/>
      <c r="L396" s="3"/>
    </row>
    <row r="397" spans="1:12">
      <c r="A397" s="3">
        <v>42863</v>
      </c>
      <c r="B397" s="3">
        <v>307.19</v>
      </c>
      <c r="C397" s="4" cm="1">
        <f t="array" aca="1" ref="C397" ca="1">INDIRECT(ADDRESS(ROW()-C$3,2))-INDIRECT(ADDRESS(ROW()-C$2,2))</f>
        <v>-3.8299999999999841</v>
      </c>
      <c r="D397" s="4" cm="1">
        <f t="array" aca="1" ref="D397" ca="1">INDIRECT(ADDRESS(ROW()-D$3,2))-INDIRECT(ADDRESS(ROW()-D$2,2))</f>
        <v>-0.83999999999997499</v>
      </c>
      <c r="E397" s="4">
        <f t="shared" ca="1" si="11"/>
        <v>313.62</v>
      </c>
      <c r="F397" s="3">
        <v>13770.839999999962</v>
      </c>
      <c r="G397" s="3">
        <v>0</v>
      </c>
      <c r="H397" s="3">
        <f t="shared" si="10"/>
        <v>13770.839999999962</v>
      </c>
      <c r="I397" s="3">
        <v>0</v>
      </c>
      <c r="J397" s="3"/>
      <c r="K397" s="3"/>
      <c r="L397" s="3"/>
    </row>
    <row r="398" spans="1:12">
      <c r="A398" s="3">
        <v>42864</v>
      </c>
      <c r="B398" s="3">
        <v>321.26</v>
      </c>
      <c r="C398" s="4" cm="1">
        <f t="array" aca="1" ref="C398" ca="1">INDIRECT(ADDRESS(ROW()-C$3,2))-INDIRECT(ADDRESS(ROW()-C$2,2))</f>
        <v>25.800000000000011</v>
      </c>
      <c r="D398" s="4" cm="1">
        <f t="array" aca="1" ref="D398" ca="1">INDIRECT(ADDRESS(ROW()-D$3,2))-INDIRECT(ADDRESS(ROW()-D$2,2))</f>
        <v>7.4699999999999704</v>
      </c>
      <c r="E398" s="4">
        <f t="shared" ca="1" si="11"/>
        <v>309.10500000000002</v>
      </c>
      <c r="F398" s="3">
        <v>277.91999999995414</v>
      </c>
      <c r="G398" s="3">
        <v>13492.92</v>
      </c>
      <c r="H398" s="3">
        <f t="shared" si="10"/>
        <v>13770.839999999955</v>
      </c>
      <c r="I398" s="3">
        <v>42</v>
      </c>
      <c r="J398" s="3"/>
      <c r="K398" s="3"/>
      <c r="L398" s="3"/>
    </row>
    <row r="399" spans="1:12">
      <c r="A399" s="3">
        <v>42865</v>
      </c>
      <c r="B399" s="3">
        <v>325.22000000000003</v>
      </c>
      <c r="C399" s="4" cm="1">
        <f t="array" aca="1" ref="C399" ca="1">INDIRECT(ADDRESS(ROW()-C$3,2))-INDIRECT(ADDRESS(ROW()-C$2,2))</f>
        <v>16.870000000000005</v>
      </c>
      <c r="D399" s="4" cm="1">
        <f t="array" aca="1" ref="D399" ca="1">INDIRECT(ADDRESS(ROW()-D$3,2))-INDIRECT(ADDRESS(ROW()-D$2,2))</f>
        <v>15.050000000000011</v>
      </c>
      <c r="E399" s="4">
        <f t="shared" ca="1" si="11"/>
        <v>308.36</v>
      </c>
      <c r="F399" s="3">
        <v>277.91999999995414</v>
      </c>
      <c r="G399" s="3">
        <v>13659.240000000002</v>
      </c>
      <c r="H399" s="3">
        <f t="shared" si="10"/>
        <v>13937.159999999956</v>
      </c>
      <c r="I399" s="3">
        <v>42</v>
      </c>
      <c r="J399" s="3"/>
      <c r="K399" s="3"/>
      <c r="L399" s="3"/>
    </row>
    <row r="400" spans="1:12">
      <c r="A400" s="3">
        <v>42866</v>
      </c>
      <c r="B400" s="3">
        <v>323.10000000000002</v>
      </c>
      <c r="C400" s="4" cm="1">
        <f t="array" aca="1" ref="C400" ca="1">INDIRECT(ADDRESS(ROW()-C$3,2))-INDIRECT(ADDRESS(ROW()-C$2,2))</f>
        <v>15.910000000000025</v>
      </c>
      <c r="D400" s="4" cm="1">
        <f t="array" aca="1" ref="D400" ca="1">INDIRECT(ADDRESS(ROW()-D$3,2))-INDIRECT(ADDRESS(ROW()-D$2,2))</f>
        <v>14.470000000000027</v>
      </c>
      <c r="E400" s="4">
        <f t="shared" ca="1" si="11"/>
        <v>316.78500000000003</v>
      </c>
      <c r="F400" s="3">
        <v>277.91999999995414</v>
      </c>
      <c r="G400" s="3">
        <v>13570.2</v>
      </c>
      <c r="H400" s="3">
        <f t="shared" si="10"/>
        <v>13848.119999999955</v>
      </c>
      <c r="I400" s="3">
        <v>42</v>
      </c>
      <c r="J400" s="3"/>
      <c r="K400" s="3"/>
      <c r="L400" s="3"/>
    </row>
    <row r="401" spans="1:12">
      <c r="A401" s="3">
        <v>42867</v>
      </c>
      <c r="B401" s="3">
        <v>324.81</v>
      </c>
      <c r="C401" s="4" cm="1">
        <f t="array" aca="1" ref="C401" ca="1">INDIRECT(ADDRESS(ROW()-C$3,2))-INDIRECT(ADDRESS(ROW()-C$2,2))</f>
        <v>3.5500000000000114</v>
      </c>
      <c r="D401" s="4" cm="1">
        <f t="array" aca="1" ref="D401" ca="1">INDIRECT(ADDRESS(ROW()-D$3,2))-INDIRECT(ADDRESS(ROW()-D$2,2))</f>
        <v>10.740000000000009</v>
      </c>
      <c r="E401" s="4">
        <f t="shared" ca="1" si="11"/>
        <v>315.14499999999998</v>
      </c>
      <c r="F401" s="3">
        <v>277.91999999995414</v>
      </c>
      <c r="G401" s="3">
        <v>13642.02</v>
      </c>
      <c r="H401" s="3">
        <f t="shared" si="10"/>
        <v>13919.939999999955</v>
      </c>
      <c r="I401" s="3">
        <v>42</v>
      </c>
      <c r="J401" s="3"/>
      <c r="K401" s="3"/>
      <c r="L401" s="3"/>
    </row>
    <row r="402" spans="1:12">
      <c r="A402" s="3">
        <v>42870</v>
      </c>
      <c r="B402" s="3">
        <v>315.88</v>
      </c>
      <c r="C402" s="4" cm="1">
        <f t="array" aca="1" ref="C402" ca="1">INDIRECT(ADDRESS(ROW()-C$3,2))-INDIRECT(ADDRESS(ROW()-C$2,2))</f>
        <v>-9.3400000000000318</v>
      </c>
      <c r="D402" s="4" cm="1">
        <f t="array" aca="1" ref="D402" ca="1">INDIRECT(ADDRESS(ROW()-D$3,2))-INDIRECT(ADDRESS(ROW()-D$2,2))</f>
        <v>-6.9499999999999886</v>
      </c>
      <c r="E402" s="4">
        <f t="shared" ca="1" si="11"/>
        <v>323.03499999999997</v>
      </c>
      <c r="F402" s="3">
        <v>13544.879999999954</v>
      </c>
      <c r="G402" s="3">
        <v>0</v>
      </c>
      <c r="H402" s="3">
        <f t="shared" si="10"/>
        <v>13544.879999999954</v>
      </c>
      <c r="I402" s="3">
        <v>0</v>
      </c>
      <c r="J402" s="3"/>
      <c r="K402" s="3"/>
      <c r="L402" s="3"/>
    </row>
    <row r="403" spans="1:12">
      <c r="A403" s="3">
        <v>42871</v>
      </c>
      <c r="B403" s="3">
        <v>317.01</v>
      </c>
      <c r="C403" s="4" cm="1">
        <f t="array" aca="1" ref="C403" ca="1">INDIRECT(ADDRESS(ROW()-C$3,2))-INDIRECT(ADDRESS(ROW()-C$2,2))</f>
        <v>-6.0900000000000318</v>
      </c>
      <c r="D403" s="4" cm="1">
        <f t="array" aca="1" ref="D403" ca="1">INDIRECT(ADDRESS(ROW()-D$3,2))-INDIRECT(ADDRESS(ROW()-D$2,2))</f>
        <v>-1.8799999999999955</v>
      </c>
      <c r="E403" s="4">
        <f t="shared" ca="1" si="11"/>
        <v>320.55</v>
      </c>
      <c r="F403" s="3">
        <v>13544.879999999954</v>
      </c>
      <c r="G403" s="3">
        <v>0</v>
      </c>
      <c r="H403" s="3">
        <f t="shared" si="10"/>
        <v>13544.879999999954</v>
      </c>
      <c r="I403" s="3">
        <v>0</v>
      </c>
      <c r="J403" s="3"/>
      <c r="K403" s="3"/>
      <c r="L403" s="3"/>
    </row>
    <row r="404" spans="1:12">
      <c r="A404" s="3">
        <v>42872</v>
      </c>
      <c r="B404" s="3">
        <v>306.11</v>
      </c>
      <c r="C404" s="4" cm="1">
        <f t="array" aca="1" ref="C404" ca="1">INDIRECT(ADDRESS(ROW()-C$3,2))-INDIRECT(ADDRESS(ROW()-C$2,2))</f>
        <v>-18.699999999999989</v>
      </c>
      <c r="D404" s="4" cm="1">
        <f t="array" aca="1" ref="D404" ca="1">INDIRECT(ADDRESS(ROW()-D$3,2))-INDIRECT(ADDRESS(ROW()-D$2,2))</f>
        <v>-4.9099999999999682</v>
      </c>
      <c r="E404" s="4">
        <f t="shared" ca="1" si="11"/>
        <v>320.05500000000001</v>
      </c>
      <c r="F404" s="3">
        <v>13544.879999999954</v>
      </c>
      <c r="G404" s="3">
        <v>0</v>
      </c>
      <c r="H404" s="3">
        <f t="shared" si="10"/>
        <v>13544.879999999954</v>
      </c>
      <c r="I404" s="3">
        <v>0</v>
      </c>
      <c r="J404" s="3"/>
      <c r="K404" s="3"/>
      <c r="L404" s="3"/>
    </row>
    <row r="405" spans="1:12">
      <c r="A405" s="3">
        <v>42873</v>
      </c>
      <c r="B405" s="3">
        <v>313.06</v>
      </c>
      <c r="C405" s="4" cm="1">
        <f t="array" aca="1" ref="C405" ca="1">INDIRECT(ADDRESS(ROW()-C$3,2))-INDIRECT(ADDRESS(ROW()-C$2,2))</f>
        <v>-2.8199999999999932</v>
      </c>
      <c r="D405" s="4" cm="1">
        <f t="array" aca="1" ref="D405" ca="1">INDIRECT(ADDRESS(ROW()-D$3,2))-INDIRECT(ADDRESS(ROW()-D$2,2))</f>
        <v>17.600000000000023</v>
      </c>
      <c r="E405" s="4">
        <f t="shared" ca="1" si="11"/>
        <v>315.46000000000004</v>
      </c>
      <c r="F405" s="3">
        <v>13544.879999999954</v>
      </c>
      <c r="G405" s="3">
        <v>0</v>
      </c>
      <c r="H405" s="3">
        <f t="shared" si="10"/>
        <v>13544.879999999954</v>
      </c>
      <c r="I405" s="3">
        <v>0</v>
      </c>
      <c r="J405" s="3"/>
      <c r="K405" s="3"/>
      <c r="L405" s="3"/>
    </row>
    <row r="406" spans="1:12">
      <c r="A406" s="3">
        <v>42874</v>
      </c>
      <c r="B406" s="3">
        <v>310.83</v>
      </c>
      <c r="C406" s="4" cm="1">
        <f t="array" aca="1" ref="C406" ca="1">INDIRECT(ADDRESS(ROW()-C$3,2))-INDIRECT(ADDRESS(ROW()-C$2,2))</f>
        <v>-6.1800000000000068</v>
      </c>
      <c r="D406" s="4" cm="1">
        <f t="array" aca="1" ref="D406" ca="1">INDIRECT(ADDRESS(ROW()-D$3,2))-INDIRECT(ADDRESS(ROW()-D$2,2))</f>
        <v>2.4799999999999613</v>
      </c>
      <c r="E406" s="4">
        <f t="shared" ca="1" si="11"/>
        <v>314.47000000000003</v>
      </c>
      <c r="F406" s="3">
        <v>13544.879999999954</v>
      </c>
      <c r="G406" s="3">
        <v>0</v>
      </c>
      <c r="H406" s="3">
        <f t="shared" si="10"/>
        <v>13544.879999999954</v>
      </c>
      <c r="I406" s="3">
        <v>0</v>
      </c>
      <c r="J406" s="3"/>
      <c r="K406" s="3"/>
      <c r="L406" s="3"/>
    </row>
    <row r="407" spans="1:12">
      <c r="A407" s="3">
        <v>42877</v>
      </c>
      <c r="B407" s="3">
        <v>310.35000000000002</v>
      </c>
      <c r="C407" s="4" cm="1">
        <f t="array" aca="1" ref="C407" ca="1">INDIRECT(ADDRESS(ROW()-C$3,2))-INDIRECT(ADDRESS(ROW()-C$2,2))</f>
        <v>4.2400000000000091</v>
      </c>
      <c r="D407" s="4" cm="1">
        <f t="array" aca="1" ref="D407" ca="1">INDIRECT(ADDRESS(ROW()-D$3,2))-INDIRECT(ADDRESS(ROW()-D$2,2))</f>
        <v>3.160000000000025</v>
      </c>
      <c r="E407" s="4">
        <f t="shared" ca="1" si="11"/>
        <v>313.91999999999996</v>
      </c>
      <c r="F407" s="3">
        <v>199.82999999994365</v>
      </c>
      <c r="G407" s="3">
        <v>13345.050000000001</v>
      </c>
      <c r="H407" s="3">
        <f t="shared" ref="H407:H470" si="12">G407+F407</f>
        <v>13544.879999999945</v>
      </c>
      <c r="I407" s="3">
        <v>43</v>
      </c>
      <c r="J407" s="3"/>
      <c r="K407" s="3"/>
      <c r="L407" s="3"/>
    </row>
    <row r="408" spans="1:12">
      <c r="A408" s="3">
        <v>42878</v>
      </c>
      <c r="B408" s="3">
        <v>303.86</v>
      </c>
      <c r="C408" s="4" cm="1">
        <f t="array" aca="1" ref="C408" ca="1">INDIRECT(ADDRESS(ROW()-C$3,2))-INDIRECT(ADDRESS(ROW()-C$2,2))</f>
        <v>-9.1999999999999886</v>
      </c>
      <c r="D408" s="4" cm="1">
        <f t="array" aca="1" ref="D408" ca="1">INDIRECT(ADDRESS(ROW()-D$3,2))-INDIRECT(ADDRESS(ROW()-D$2,2))</f>
        <v>-17.399999999999977</v>
      </c>
      <c r="E408" s="4">
        <f t="shared" ref="E408:E471" ca="1" si="13">AVERAGE(INDIRECT(ADDRESS(ROW()-E$3,2)),INDIRECT(ADDRESS(ROW()-E$2,2)))</f>
        <v>308.23</v>
      </c>
      <c r="F408" s="3">
        <v>13265.809999999945</v>
      </c>
      <c r="G408" s="3">
        <v>0</v>
      </c>
      <c r="H408" s="3">
        <f t="shared" si="12"/>
        <v>13265.809999999945</v>
      </c>
      <c r="I408" s="3">
        <v>0</v>
      </c>
      <c r="J408" s="3"/>
      <c r="K408" s="3"/>
      <c r="L408" s="3"/>
    </row>
    <row r="409" spans="1:12">
      <c r="A409" s="3">
        <v>42879</v>
      </c>
      <c r="B409" s="3">
        <v>310.22000000000003</v>
      </c>
      <c r="C409" s="4" cm="1">
        <f t="array" aca="1" ref="C409" ca="1">INDIRECT(ADDRESS(ROW()-C$3,2))-INDIRECT(ADDRESS(ROW()-C$2,2))</f>
        <v>-0.6099999999999568</v>
      </c>
      <c r="D409" s="4" cm="1">
        <f t="array" aca="1" ref="D409" ca="1">INDIRECT(ADDRESS(ROW()-D$3,2))-INDIRECT(ADDRESS(ROW()-D$2,2))</f>
        <v>-15</v>
      </c>
      <c r="E409" s="4">
        <f t="shared" ca="1" si="13"/>
        <v>308.46000000000004</v>
      </c>
      <c r="F409" s="3">
        <v>13265.809999999945</v>
      </c>
      <c r="G409" s="3">
        <v>0</v>
      </c>
      <c r="H409" s="3">
        <f t="shared" si="12"/>
        <v>13265.809999999945</v>
      </c>
      <c r="I409" s="3">
        <v>0</v>
      </c>
      <c r="J409" s="3"/>
      <c r="K409" s="3"/>
      <c r="L409" s="3"/>
    </row>
    <row r="410" spans="1:12">
      <c r="A410" s="3">
        <v>42880</v>
      </c>
      <c r="B410" s="3">
        <v>316.83</v>
      </c>
      <c r="C410" s="4" cm="1">
        <f t="array" aca="1" ref="C410" ca="1">INDIRECT(ADDRESS(ROW()-C$3,2))-INDIRECT(ADDRESS(ROW()-C$2,2))</f>
        <v>6.4799999999999613</v>
      </c>
      <c r="D410" s="4" cm="1">
        <f t="array" aca="1" ref="D410" ca="1">INDIRECT(ADDRESS(ROW()-D$3,2))-INDIRECT(ADDRESS(ROW()-D$2,2))</f>
        <v>-6.2700000000000387</v>
      </c>
      <c r="E410" s="4">
        <f t="shared" ca="1" si="13"/>
        <v>310.52499999999998</v>
      </c>
      <c r="F410" s="3">
        <v>275.77999999994785</v>
      </c>
      <c r="G410" s="3">
        <v>12990.029999999999</v>
      </c>
      <c r="H410" s="3">
        <f t="shared" si="12"/>
        <v>13265.809999999947</v>
      </c>
      <c r="I410" s="3">
        <v>41</v>
      </c>
      <c r="J410" s="3"/>
      <c r="K410" s="3"/>
      <c r="L410" s="3"/>
    </row>
    <row r="411" spans="1:12">
      <c r="A411" s="3">
        <v>42881</v>
      </c>
      <c r="B411" s="3">
        <v>325.14</v>
      </c>
      <c r="C411" s="4" cm="1">
        <f t="array" aca="1" ref="C411" ca="1">INDIRECT(ADDRESS(ROW()-C$3,2))-INDIRECT(ADDRESS(ROW()-C$2,2))</f>
        <v>21.279999999999973</v>
      </c>
      <c r="D411" s="4" cm="1">
        <f t="array" aca="1" ref="D411" ca="1">INDIRECT(ADDRESS(ROW()-D$3,2))-INDIRECT(ADDRESS(ROW()-D$2,2))</f>
        <v>0.32999999999998408</v>
      </c>
      <c r="E411" s="4">
        <f t="shared" ca="1" si="13"/>
        <v>313.59000000000003</v>
      </c>
      <c r="F411" s="3">
        <v>275.77999999994785</v>
      </c>
      <c r="G411" s="3">
        <v>13330.74</v>
      </c>
      <c r="H411" s="3">
        <f t="shared" si="12"/>
        <v>13606.519999999948</v>
      </c>
      <c r="I411" s="3">
        <v>41</v>
      </c>
      <c r="J411" s="3"/>
      <c r="K411" s="3"/>
      <c r="L411" s="3"/>
    </row>
    <row r="412" spans="1:12">
      <c r="A412" s="3">
        <v>42885</v>
      </c>
      <c r="B412" s="3">
        <v>335.1</v>
      </c>
      <c r="C412" s="4" cm="1">
        <f t="array" aca="1" ref="C412" ca="1">INDIRECT(ADDRESS(ROW()-C$3,2))-INDIRECT(ADDRESS(ROW()-C$2,2))</f>
        <v>24.879999999999995</v>
      </c>
      <c r="D412" s="4" cm="1">
        <f t="array" aca="1" ref="D412" ca="1">INDIRECT(ADDRESS(ROW()-D$3,2))-INDIRECT(ADDRESS(ROW()-D$2,2))</f>
        <v>19.220000000000027</v>
      </c>
      <c r="E412" s="4">
        <f t="shared" ca="1" si="13"/>
        <v>314.5</v>
      </c>
      <c r="F412" s="3">
        <v>275.77999999994785</v>
      </c>
      <c r="G412" s="3">
        <v>13739.1</v>
      </c>
      <c r="H412" s="3">
        <f t="shared" si="12"/>
        <v>14014.879999999948</v>
      </c>
      <c r="I412" s="3">
        <v>41</v>
      </c>
      <c r="J412" s="3"/>
      <c r="K412" s="3"/>
      <c r="L412" s="3"/>
    </row>
    <row r="413" spans="1:12">
      <c r="A413" s="3">
        <v>42886</v>
      </c>
      <c r="B413" s="3">
        <v>341.01</v>
      </c>
      <c r="C413" s="4" cm="1">
        <f t="array" aca="1" ref="C413" ca="1">INDIRECT(ADDRESS(ROW()-C$3,2))-INDIRECT(ADDRESS(ROW()-C$2,2))</f>
        <v>24.180000000000007</v>
      </c>
      <c r="D413" s="4" cm="1">
        <f t="array" aca="1" ref="D413" ca="1">INDIRECT(ADDRESS(ROW()-D$3,2))-INDIRECT(ADDRESS(ROW()-D$2,2))</f>
        <v>24</v>
      </c>
      <c r="E413" s="4">
        <f t="shared" ca="1" si="13"/>
        <v>322.66000000000003</v>
      </c>
      <c r="F413" s="3">
        <v>275.77999999994785</v>
      </c>
      <c r="G413" s="3">
        <v>13981.41</v>
      </c>
      <c r="H413" s="3">
        <f t="shared" si="12"/>
        <v>14257.189999999948</v>
      </c>
      <c r="I413" s="3">
        <v>41</v>
      </c>
      <c r="J413" s="3"/>
      <c r="K413" s="3"/>
      <c r="L413" s="3"/>
    </row>
    <row r="414" spans="1:12">
      <c r="A414" s="3">
        <v>42887</v>
      </c>
      <c r="B414" s="3">
        <v>340.37</v>
      </c>
      <c r="C414" s="4" cm="1">
        <f t="array" aca="1" ref="C414" ca="1">INDIRECT(ADDRESS(ROW()-C$3,2))-INDIRECT(ADDRESS(ROW()-C$2,2))</f>
        <v>15.230000000000018</v>
      </c>
      <c r="D414" s="4" cm="1">
        <f t="array" aca="1" ref="D414" ca="1">INDIRECT(ADDRESS(ROW()-D$3,2))-INDIRECT(ADDRESS(ROW()-D$2,2))</f>
        <v>34.259999999999991</v>
      </c>
      <c r="E414" s="4">
        <f t="shared" ca="1" si="13"/>
        <v>328.91999999999996</v>
      </c>
      <c r="F414" s="3">
        <v>275.77999999994785</v>
      </c>
      <c r="G414" s="3">
        <v>13955.17</v>
      </c>
      <c r="H414" s="3">
        <f t="shared" si="12"/>
        <v>14230.949999999948</v>
      </c>
      <c r="I414" s="3">
        <v>41</v>
      </c>
      <c r="J414" s="3"/>
      <c r="K414" s="3"/>
      <c r="L414" s="3"/>
    </row>
    <row r="415" spans="1:12">
      <c r="A415" s="3">
        <v>42888</v>
      </c>
      <c r="B415" s="3">
        <v>339.85</v>
      </c>
      <c r="C415" s="4" cm="1">
        <f t="array" aca="1" ref="C415" ca="1">INDIRECT(ADDRESS(ROW()-C$3,2))-INDIRECT(ADDRESS(ROW()-C$2,2))</f>
        <v>4.75</v>
      </c>
      <c r="D415" s="4" cm="1">
        <f t="array" aca="1" ref="D415" ca="1">INDIRECT(ADDRESS(ROW()-D$3,2))-INDIRECT(ADDRESS(ROW()-D$2,2))</f>
        <v>26.79000000000002</v>
      </c>
      <c r="E415" s="4">
        <f t="shared" ca="1" si="13"/>
        <v>332.755</v>
      </c>
      <c r="F415" s="3">
        <v>275.77999999994785</v>
      </c>
      <c r="G415" s="3">
        <v>13933.85</v>
      </c>
      <c r="H415" s="3">
        <f t="shared" si="12"/>
        <v>14209.629999999948</v>
      </c>
      <c r="I415" s="3">
        <v>41</v>
      </c>
      <c r="J415" s="3"/>
      <c r="K415" s="3"/>
      <c r="L415" s="3"/>
    </row>
    <row r="416" spans="1:12">
      <c r="A416" s="3">
        <v>42891</v>
      </c>
      <c r="B416" s="3">
        <v>347.32</v>
      </c>
      <c r="C416" s="4" cm="1">
        <f t="array" aca="1" ref="C416" ca="1">INDIRECT(ADDRESS(ROW()-C$3,2))-INDIRECT(ADDRESS(ROW()-C$2,2))</f>
        <v>6.3100000000000023</v>
      </c>
      <c r="D416" s="4" cm="1">
        <f t="array" aca="1" ref="D416" ca="1">INDIRECT(ADDRESS(ROW()-D$3,2))-INDIRECT(ADDRESS(ROW()-D$2,2))</f>
        <v>36.490000000000009</v>
      </c>
      <c r="E416" s="4">
        <f t="shared" ca="1" si="13"/>
        <v>337.47500000000002</v>
      </c>
      <c r="F416" s="3">
        <v>275.77999999994785</v>
      </c>
      <c r="G416" s="3">
        <v>14240.119999999999</v>
      </c>
      <c r="H416" s="3">
        <f t="shared" si="12"/>
        <v>14515.899999999947</v>
      </c>
      <c r="I416" s="3">
        <v>41</v>
      </c>
      <c r="J416" s="3"/>
      <c r="K416" s="3"/>
      <c r="L416" s="3"/>
    </row>
    <row r="417" spans="1:12">
      <c r="A417" s="3">
        <v>42892</v>
      </c>
      <c r="B417" s="3">
        <v>352.85</v>
      </c>
      <c r="C417" s="4" cm="1">
        <f t="array" aca="1" ref="C417" ca="1">INDIRECT(ADDRESS(ROW()-C$3,2))-INDIRECT(ADDRESS(ROW()-C$2,2))</f>
        <v>12.480000000000018</v>
      </c>
      <c r="D417" s="4" cm="1">
        <f t="array" aca="1" ref="D417" ca="1">INDIRECT(ADDRESS(ROW()-D$3,2))-INDIRECT(ADDRESS(ROW()-D$2,2))</f>
        <v>42.5</v>
      </c>
      <c r="E417" s="4">
        <f t="shared" ca="1" si="13"/>
        <v>344.16499999999996</v>
      </c>
      <c r="F417" s="3">
        <v>275.77999999994785</v>
      </c>
      <c r="G417" s="3">
        <v>14466.85</v>
      </c>
      <c r="H417" s="3">
        <f t="shared" si="12"/>
        <v>14742.629999999948</v>
      </c>
      <c r="I417" s="3">
        <v>41</v>
      </c>
      <c r="J417" s="3"/>
      <c r="K417" s="3"/>
      <c r="L417" s="3"/>
    </row>
    <row r="418" spans="1:12">
      <c r="A418" s="3">
        <v>42893</v>
      </c>
      <c r="B418" s="3">
        <v>359.65</v>
      </c>
      <c r="C418" s="4" cm="1">
        <f t="array" aca="1" ref="C418" ca="1">INDIRECT(ADDRESS(ROW()-C$3,2))-INDIRECT(ADDRESS(ROW()-C$2,2))</f>
        <v>19.799999999999955</v>
      </c>
      <c r="D418" s="4" cm="1">
        <f t="array" aca="1" ref="D418" ca="1">INDIRECT(ADDRESS(ROW()-D$3,2))-INDIRECT(ADDRESS(ROW()-D$2,2))</f>
        <v>55.789999999999964</v>
      </c>
      <c r="E418" s="4">
        <f t="shared" ca="1" si="13"/>
        <v>346.61</v>
      </c>
      <c r="F418" s="3">
        <v>275.77999999994785</v>
      </c>
      <c r="G418" s="3">
        <v>14745.65</v>
      </c>
      <c r="H418" s="3">
        <f t="shared" si="12"/>
        <v>15021.429999999948</v>
      </c>
      <c r="I418" s="3">
        <v>41</v>
      </c>
      <c r="J418" s="3"/>
      <c r="K418" s="3"/>
      <c r="L418" s="3"/>
    </row>
    <row r="419" spans="1:12">
      <c r="A419" s="3">
        <v>42894</v>
      </c>
      <c r="B419" s="3">
        <v>370</v>
      </c>
      <c r="C419" s="4" cm="1">
        <f t="array" aca="1" ref="C419" ca="1">INDIRECT(ADDRESS(ROW()-C$3,2))-INDIRECT(ADDRESS(ROW()-C$2,2))</f>
        <v>22.680000000000007</v>
      </c>
      <c r="D419" s="4" cm="1">
        <f t="array" aca="1" ref="D419" ca="1">INDIRECT(ADDRESS(ROW()-D$3,2))-INDIRECT(ADDRESS(ROW()-D$2,2))</f>
        <v>59.779999999999973</v>
      </c>
      <c r="E419" s="4">
        <f t="shared" ca="1" si="13"/>
        <v>349.75</v>
      </c>
      <c r="F419" s="3">
        <v>275.77999999994785</v>
      </c>
      <c r="G419" s="3">
        <v>15170</v>
      </c>
      <c r="H419" s="3">
        <f t="shared" si="12"/>
        <v>15445.779999999948</v>
      </c>
      <c r="I419" s="3">
        <v>41</v>
      </c>
      <c r="J419" s="3"/>
      <c r="K419" s="3"/>
      <c r="L419" s="3"/>
    </row>
    <row r="420" spans="1:12">
      <c r="A420" s="3">
        <v>42895</v>
      </c>
      <c r="B420" s="3">
        <v>357.32</v>
      </c>
      <c r="C420" s="4" cm="1">
        <f t="array" aca="1" ref="C420" ca="1">INDIRECT(ADDRESS(ROW()-C$3,2))-INDIRECT(ADDRESS(ROW()-C$2,2))</f>
        <v>4.4699999999999704</v>
      </c>
      <c r="D420" s="4" cm="1">
        <f t="array" aca="1" ref="D420" ca="1">INDIRECT(ADDRESS(ROW()-D$3,2))-INDIRECT(ADDRESS(ROW()-D$2,2))</f>
        <v>40.490000000000009</v>
      </c>
      <c r="E420" s="4">
        <f t="shared" ca="1" si="13"/>
        <v>358.65999999999997</v>
      </c>
      <c r="F420" s="3">
        <v>275.77999999994785</v>
      </c>
      <c r="G420" s="3">
        <v>14650.119999999999</v>
      </c>
      <c r="H420" s="3">
        <f t="shared" si="12"/>
        <v>14925.899999999947</v>
      </c>
      <c r="I420" s="3">
        <v>41</v>
      </c>
      <c r="J420" s="3"/>
      <c r="K420" s="3"/>
      <c r="L420" s="3"/>
    </row>
    <row r="421" spans="1:12">
      <c r="A421" s="3">
        <v>42898</v>
      </c>
      <c r="B421" s="3">
        <v>359.01</v>
      </c>
      <c r="C421" s="4" cm="1">
        <f t="array" aca="1" ref="C421" ca="1">INDIRECT(ADDRESS(ROW()-C$3,2))-INDIRECT(ADDRESS(ROW()-C$2,2))</f>
        <v>-0.63999999999998636</v>
      </c>
      <c r="D421" s="4" cm="1">
        <f t="array" aca="1" ref="D421" ca="1">INDIRECT(ADDRESS(ROW()-D$3,2))-INDIRECT(ADDRESS(ROW()-D$2,2))</f>
        <v>33.870000000000005</v>
      </c>
      <c r="E421" s="4">
        <f t="shared" ca="1" si="13"/>
        <v>355.08500000000004</v>
      </c>
      <c r="F421" s="3">
        <v>14995.189999999948</v>
      </c>
      <c r="G421" s="3">
        <v>0</v>
      </c>
      <c r="H421" s="3">
        <f t="shared" si="12"/>
        <v>14995.189999999948</v>
      </c>
      <c r="I421" s="3">
        <v>0</v>
      </c>
      <c r="J421" s="3"/>
      <c r="K421" s="3"/>
      <c r="L421" s="3"/>
    </row>
    <row r="422" spans="1:12">
      <c r="A422" s="3">
        <v>42899</v>
      </c>
      <c r="B422" s="3">
        <v>375.95</v>
      </c>
      <c r="C422" s="4" cm="1">
        <f t="array" aca="1" ref="C422" ca="1">INDIRECT(ADDRESS(ROW()-C$3,2))-INDIRECT(ADDRESS(ROW()-C$2,2))</f>
        <v>5.9499999999999886</v>
      </c>
      <c r="D422" s="4" cm="1">
        <f t="array" aca="1" ref="D422" ca="1">INDIRECT(ADDRESS(ROW()-D$3,2))-INDIRECT(ADDRESS(ROW()-D$2,2))</f>
        <v>40.849999999999966</v>
      </c>
      <c r="E422" s="4">
        <f t="shared" ca="1" si="13"/>
        <v>359.33</v>
      </c>
      <c r="F422" s="3">
        <v>333.1399999999374</v>
      </c>
      <c r="G422" s="3">
        <v>14662.05</v>
      </c>
      <c r="H422" s="3">
        <f t="shared" si="12"/>
        <v>14995.189999999937</v>
      </c>
      <c r="I422" s="3">
        <v>39</v>
      </c>
      <c r="J422" s="3"/>
      <c r="K422" s="3"/>
      <c r="L422" s="3"/>
    </row>
    <row r="423" spans="1:12">
      <c r="A423" s="3">
        <v>42900</v>
      </c>
      <c r="B423" s="3">
        <v>380.66</v>
      </c>
      <c r="C423" s="4" cm="1">
        <f t="array" aca="1" ref="C423" ca="1">INDIRECT(ADDRESS(ROW()-C$3,2))-INDIRECT(ADDRESS(ROW()-C$2,2))</f>
        <v>23.340000000000032</v>
      </c>
      <c r="D423" s="4" cm="1">
        <f t="array" aca="1" ref="D423" ca="1">INDIRECT(ADDRESS(ROW()-D$3,2))-INDIRECT(ADDRESS(ROW()-D$2,2))</f>
        <v>39.650000000000034</v>
      </c>
      <c r="E423" s="4">
        <f t="shared" ca="1" si="13"/>
        <v>372.97500000000002</v>
      </c>
      <c r="F423" s="3">
        <v>333.1399999999374</v>
      </c>
      <c r="G423" s="3">
        <v>14845.740000000002</v>
      </c>
      <c r="H423" s="3">
        <f t="shared" si="12"/>
        <v>15178.879999999939</v>
      </c>
      <c r="I423" s="3">
        <v>39</v>
      </c>
      <c r="J423" s="3"/>
      <c r="K423" s="3"/>
      <c r="L423" s="3"/>
    </row>
    <row r="424" spans="1:12">
      <c r="A424" s="3">
        <v>42901</v>
      </c>
      <c r="B424" s="3">
        <v>375.34</v>
      </c>
      <c r="C424" s="4" cm="1">
        <f t="array" aca="1" ref="C424" ca="1">INDIRECT(ADDRESS(ROW()-C$3,2))-INDIRECT(ADDRESS(ROW()-C$2,2))</f>
        <v>16.329999999999984</v>
      </c>
      <c r="D424" s="4" cm="1">
        <f t="array" aca="1" ref="D424" ca="1">INDIRECT(ADDRESS(ROW()-D$3,2))-INDIRECT(ADDRESS(ROW()-D$2,2))</f>
        <v>34.96999999999997</v>
      </c>
      <c r="E424" s="4">
        <f t="shared" ca="1" si="13"/>
        <v>368.99</v>
      </c>
      <c r="F424" s="3">
        <v>333.1399999999374</v>
      </c>
      <c r="G424" s="3">
        <v>14638.259999999998</v>
      </c>
      <c r="H424" s="3">
        <f t="shared" si="12"/>
        <v>14971.399999999936</v>
      </c>
      <c r="I424" s="3">
        <v>39</v>
      </c>
      <c r="J424" s="3"/>
      <c r="K424" s="3"/>
      <c r="L424" s="3"/>
    </row>
    <row r="425" spans="1:12">
      <c r="A425" s="3">
        <v>42902</v>
      </c>
      <c r="B425" s="3">
        <v>371.4</v>
      </c>
      <c r="C425" s="4" cm="1">
        <f t="array" aca="1" ref="C425" ca="1">INDIRECT(ADDRESS(ROW()-C$3,2))-INDIRECT(ADDRESS(ROW()-C$2,2))</f>
        <v>-4.5500000000000114</v>
      </c>
      <c r="D425" s="4" cm="1">
        <f t="array" aca="1" ref="D425" ca="1">INDIRECT(ADDRESS(ROW()-D$3,2))-INDIRECT(ADDRESS(ROW()-D$2,2))</f>
        <v>31.549999999999955</v>
      </c>
      <c r="E425" s="4">
        <f t="shared" ca="1" si="13"/>
        <v>367.17499999999995</v>
      </c>
      <c r="F425" s="3">
        <v>14817.739999999936</v>
      </c>
      <c r="G425" s="3">
        <v>0</v>
      </c>
      <c r="H425" s="3">
        <f t="shared" si="12"/>
        <v>14817.739999999936</v>
      </c>
      <c r="I425" s="3">
        <v>0</v>
      </c>
      <c r="J425" s="3"/>
      <c r="K425" s="3"/>
      <c r="L425" s="3"/>
    </row>
    <row r="426" spans="1:12">
      <c r="A426" s="3">
        <v>42905</v>
      </c>
      <c r="B426" s="3">
        <v>369.8</v>
      </c>
      <c r="C426" s="4" cm="1">
        <f t="array" aca="1" ref="C426" ca="1">INDIRECT(ADDRESS(ROW()-C$3,2))-INDIRECT(ADDRESS(ROW()-C$2,2))</f>
        <v>-10.860000000000014</v>
      </c>
      <c r="D426" s="4" cm="1">
        <f t="array" aca="1" ref="D426" ca="1">INDIRECT(ADDRESS(ROW()-D$3,2))-INDIRECT(ADDRESS(ROW()-D$2,2))</f>
        <v>22.480000000000018</v>
      </c>
      <c r="E426" s="4">
        <f t="shared" ca="1" si="13"/>
        <v>373.67499999999995</v>
      </c>
      <c r="F426" s="3">
        <v>14817.739999999936</v>
      </c>
      <c r="G426" s="3">
        <v>0</v>
      </c>
      <c r="H426" s="3">
        <f t="shared" si="12"/>
        <v>14817.739999999936</v>
      </c>
      <c r="I426" s="3">
        <v>0</v>
      </c>
      <c r="J426" s="3"/>
      <c r="K426" s="3"/>
      <c r="L426" s="3"/>
    </row>
    <row r="427" spans="1:12">
      <c r="A427" s="3">
        <v>42906</v>
      </c>
      <c r="B427" s="3">
        <v>372.24</v>
      </c>
      <c r="C427" s="4" cm="1">
        <f t="array" aca="1" ref="C427" ca="1">INDIRECT(ADDRESS(ROW()-C$3,2))-INDIRECT(ADDRESS(ROW()-C$2,2))</f>
        <v>-3.0999999999999659</v>
      </c>
      <c r="D427" s="4" cm="1">
        <f t="array" aca="1" ref="D427" ca="1">INDIRECT(ADDRESS(ROW()-D$3,2))-INDIRECT(ADDRESS(ROW()-D$2,2))</f>
        <v>19.389999999999986</v>
      </c>
      <c r="E427" s="4">
        <f t="shared" ca="1" si="13"/>
        <v>375.23</v>
      </c>
      <c r="F427" s="3">
        <v>14817.739999999936</v>
      </c>
      <c r="G427" s="3">
        <v>0</v>
      </c>
      <c r="H427" s="3">
        <f t="shared" si="12"/>
        <v>14817.739999999936</v>
      </c>
      <c r="I427" s="3">
        <v>0</v>
      </c>
      <c r="J427" s="3"/>
      <c r="K427" s="3"/>
      <c r="L427" s="3"/>
    </row>
    <row r="428" spans="1:12">
      <c r="A428" s="3">
        <v>42907</v>
      </c>
      <c r="B428" s="3">
        <v>376.4</v>
      </c>
      <c r="C428" s="4" cm="1">
        <f t="array" aca="1" ref="C428" ca="1">INDIRECT(ADDRESS(ROW()-C$3,2))-INDIRECT(ADDRESS(ROW()-C$2,2))</f>
        <v>5</v>
      </c>
      <c r="D428" s="4" cm="1">
        <f t="array" aca="1" ref="D428" ca="1">INDIRECT(ADDRESS(ROW()-D$3,2))-INDIRECT(ADDRESS(ROW()-D$2,2))</f>
        <v>16.75</v>
      </c>
      <c r="E428" s="4">
        <f t="shared" ca="1" si="13"/>
        <v>373.78999999999996</v>
      </c>
      <c r="F428" s="3">
        <v>138.13999999994564</v>
      </c>
      <c r="G428" s="3">
        <v>14679.599999999999</v>
      </c>
      <c r="H428" s="3">
        <f t="shared" si="12"/>
        <v>14817.739999999943</v>
      </c>
      <c r="I428" s="3">
        <v>39</v>
      </c>
      <c r="J428" s="3"/>
      <c r="K428" s="3"/>
      <c r="L428" s="3"/>
    </row>
    <row r="429" spans="1:12">
      <c r="A429" s="3">
        <v>42908</v>
      </c>
      <c r="B429" s="3">
        <v>382.61</v>
      </c>
      <c r="C429" s="4" cm="1">
        <f t="array" aca="1" ref="C429" ca="1">INDIRECT(ADDRESS(ROW()-C$3,2))-INDIRECT(ADDRESS(ROW()-C$2,2))</f>
        <v>12.810000000000002</v>
      </c>
      <c r="D429" s="4" cm="1">
        <f t="array" aca="1" ref="D429" ca="1">INDIRECT(ADDRESS(ROW()-D$3,2))-INDIRECT(ADDRESS(ROW()-D$2,2))</f>
        <v>12.610000000000014</v>
      </c>
      <c r="E429" s="4">
        <f t="shared" ca="1" si="13"/>
        <v>373.9</v>
      </c>
      <c r="F429" s="3">
        <v>138.13999999994564</v>
      </c>
      <c r="G429" s="3">
        <v>14921.79</v>
      </c>
      <c r="H429" s="3">
        <f t="shared" si="12"/>
        <v>15059.929999999946</v>
      </c>
      <c r="I429" s="3">
        <v>39</v>
      </c>
      <c r="J429" s="3"/>
      <c r="K429" s="3"/>
      <c r="L429" s="3"/>
    </row>
    <row r="430" spans="1:12">
      <c r="A430" s="3">
        <v>42909</v>
      </c>
      <c r="B430" s="3">
        <v>383.45</v>
      </c>
      <c r="C430" s="4" cm="1">
        <f t="array" aca="1" ref="C430" ca="1">INDIRECT(ADDRESS(ROW()-C$3,2))-INDIRECT(ADDRESS(ROW()-C$2,2))</f>
        <v>11.20999999999998</v>
      </c>
      <c r="D430" s="4" cm="1">
        <f t="array" aca="1" ref="D430" ca="1">INDIRECT(ADDRESS(ROW()-D$3,2))-INDIRECT(ADDRESS(ROW()-D$2,2))</f>
        <v>26.129999999999995</v>
      </c>
      <c r="E430" s="4">
        <f t="shared" ca="1" si="13"/>
        <v>376.20500000000004</v>
      </c>
      <c r="F430" s="3">
        <v>138.13999999994564</v>
      </c>
      <c r="G430" s="3">
        <v>14954.55</v>
      </c>
      <c r="H430" s="3">
        <f t="shared" si="12"/>
        <v>15092.689999999944</v>
      </c>
      <c r="I430" s="3">
        <v>39</v>
      </c>
      <c r="J430" s="3"/>
      <c r="K430" s="3"/>
      <c r="L430" s="3"/>
    </row>
    <row r="431" spans="1:12">
      <c r="A431" s="3">
        <v>42912</v>
      </c>
      <c r="B431" s="3">
        <v>377.49</v>
      </c>
      <c r="C431" s="4" cm="1">
        <f t="array" aca="1" ref="C431" ca="1">INDIRECT(ADDRESS(ROW()-C$3,2))-INDIRECT(ADDRESS(ROW()-C$2,2))</f>
        <v>1.0900000000000318</v>
      </c>
      <c r="D431" s="4" cm="1">
        <f t="array" aca="1" ref="D431" ca="1">INDIRECT(ADDRESS(ROW()-D$3,2))-INDIRECT(ADDRESS(ROW()-D$2,2))</f>
        <v>18.480000000000018</v>
      </c>
      <c r="E431" s="4">
        <f t="shared" ca="1" si="13"/>
        <v>377.84500000000003</v>
      </c>
      <c r="F431" s="3">
        <v>138.13999999994564</v>
      </c>
      <c r="G431" s="3">
        <v>14722.11</v>
      </c>
      <c r="H431" s="3">
        <f t="shared" si="12"/>
        <v>14860.249999999945</v>
      </c>
      <c r="I431" s="3">
        <v>39</v>
      </c>
      <c r="J431" s="3"/>
      <c r="K431" s="3"/>
      <c r="L431" s="3"/>
    </row>
    <row r="432" spans="1:12">
      <c r="A432" s="3">
        <v>42913</v>
      </c>
      <c r="B432" s="3">
        <v>362.37</v>
      </c>
      <c r="C432" s="4" cm="1">
        <f t="array" aca="1" ref="C432" ca="1">INDIRECT(ADDRESS(ROW()-C$3,2))-INDIRECT(ADDRESS(ROW()-C$2,2))</f>
        <v>-20.240000000000009</v>
      </c>
      <c r="D432" s="4" cm="1">
        <f t="array" aca="1" ref="D432" ca="1">INDIRECT(ADDRESS(ROW()-D$3,2))-INDIRECT(ADDRESS(ROW()-D$2,2))</f>
        <v>-13.579999999999984</v>
      </c>
      <c r="E432" s="4">
        <f t="shared" ca="1" si="13"/>
        <v>376.94499999999999</v>
      </c>
      <c r="F432" s="3">
        <v>14270.569999999945</v>
      </c>
      <c r="G432" s="3">
        <v>0</v>
      </c>
      <c r="H432" s="3">
        <f t="shared" si="12"/>
        <v>14270.569999999945</v>
      </c>
      <c r="I432" s="3">
        <v>0</v>
      </c>
      <c r="J432" s="3"/>
      <c r="K432" s="3"/>
      <c r="L432" s="3"/>
    </row>
    <row r="433" spans="1:12">
      <c r="A433" s="3">
        <v>42914</v>
      </c>
      <c r="B433" s="3">
        <v>371.24</v>
      </c>
      <c r="C433" s="4" cm="1">
        <f t="array" aca="1" ref="C433" ca="1">INDIRECT(ADDRESS(ROW()-C$3,2))-INDIRECT(ADDRESS(ROW()-C$2,2))</f>
        <v>-12.20999999999998</v>
      </c>
      <c r="D433" s="4" cm="1">
        <f t="array" aca="1" ref="D433" ca="1">INDIRECT(ADDRESS(ROW()-D$3,2))-INDIRECT(ADDRESS(ROW()-D$2,2))</f>
        <v>-9.4200000000000159</v>
      </c>
      <c r="E433" s="4">
        <f t="shared" ca="1" si="13"/>
        <v>372.49</v>
      </c>
      <c r="F433" s="3">
        <v>14270.569999999945</v>
      </c>
      <c r="G433" s="3">
        <v>0</v>
      </c>
      <c r="H433" s="3">
        <f t="shared" si="12"/>
        <v>14270.569999999945</v>
      </c>
      <c r="I433" s="3">
        <v>0</v>
      </c>
      <c r="J433" s="3"/>
      <c r="K433" s="3"/>
      <c r="L433" s="3"/>
    </row>
    <row r="434" spans="1:12">
      <c r="A434" s="3">
        <v>42915</v>
      </c>
      <c r="B434" s="3">
        <v>360.75</v>
      </c>
      <c r="C434" s="4" cm="1">
        <f t="array" aca="1" ref="C434" ca="1">INDIRECT(ADDRESS(ROW()-C$3,2))-INDIRECT(ADDRESS(ROW()-C$2,2))</f>
        <v>-16.740000000000009</v>
      </c>
      <c r="D434" s="4" cm="1">
        <f t="array" aca="1" ref="D434" ca="1">INDIRECT(ADDRESS(ROW()-D$3,2))-INDIRECT(ADDRESS(ROW()-D$2,2))</f>
        <v>-14.589999999999975</v>
      </c>
      <c r="E434" s="4">
        <f t="shared" ca="1" si="13"/>
        <v>377.34500000000003</v>
      </c>
      <c r="F434" s="3">
        <v>14270.569999999945</v>
      </c>
      <c r="G434" s="3">
        <v>0</v>
      </c>
      <c r="H434" s="3">
        <f t="shared" si="12"/>
        <v>14270.569999999945</v>
      </c>
      <c r="I434" s="3">
        <v>0</v>
      </c>
      <c r="J434" s="3"/>
      <c r="K434" s="3"/>
      <c r="L434" s="3"/>
    </row>
    <row r="435" spans="1:12">
      <c r="A435" s="3">
        <v>42916</v>
      </c>
      <c r="B435" s="3">
        <v>361.61</v>
      </c>
      <c r="C435" s="4" cm="1">
        <f t="array" aca="1" ref="C435" ca="1">INDIRECT(ADDRESS(ROW()-C$3,2))-INDIRECT(ADDRESS(ROW()-C$2,2))</f>
        <v>-0.75999999999999091</v>
      </c>
      <c r="D435" s="4" cm="1">
        <f t="array" aca="1" ref="D435" ca="1">INDIRECT(ADDRESS(ROW()-D$3,2))-INDIRECT(ADDRESS(ROW()-D$2,2))</f>
        <v>-9.7899999999999636</v>
      </c>
      <c r="E435" s="4">
        <f t="shared" ca="1" si="13"/>
        <v>369.12</v>
      </c>
      <c r="F435" s="3">
        <v>14270.569999999945</v>
      </c>
      <c r="G435" s="3">
        <v>0</v>
      </c>
      <c r="H435" s="3">
        <f t="shared" si="12"/>
        <v>14270.569999999945</v>
      </c>
      <c r="I435" s="3">
        <v>0</v>
      </c>
      <c r="J435" s="3"/>
      <c r="K435" s="3"/>
      <c r="L435" s="3"/>
    </row>
    <row r="436" spans="1:12">
      <c r="A436" s="3">
        <v>42919</v>
      </c>
      <c r="B436" s="3">
        <v>352.62</v>
      </c>
      <c r="C436" s="4" cm="1">
        <f t="array" aca="1" ref="C436" ca="1">INDIRECT(ADDRESS(ROW()-C$3,2))-INDIRECT(ADDRESS(ROW()-C$2,2))</f>
        <v>-18.620000000000005</v>
      </c>
      <c r="D436" s="4" cm="1">
        <f t="array" aca="1" ref="D436" ca="1">INDIRECT(ADDRESS(ROW()-D$3,2))-INDIRECT(ADDRESS(ROW()-D$2,2))</f>
        <v>-17.180000000000007</v>
      </c>
      <c r="E436" s="4">
        <f t="shared" ca="1" si="13"/>
        <v>361.99</v>
      </c>
      <c r="F436" s="3">
        <v>14270.569999999945</v>
      </c>
      <c r="G436" s="3">
        <v>0</v>
      </c>
      <c r="H436" s="3">
        <f t="shared" si="12"/>
        <v>14270.569999999945</v>
      </c>
      <c r="I436" s="3">
        <v>0</v>
      </c>
      <c r="J436" s="3"/>
      <c r="K436" s="3"/>
      <c r="L436" s="3"/>
    </row>
    <row r="437" spans="1:12">
      <c r="A437" s="3">
        <v>42921</v>
      </c>
      <c r="B437" s="3">
        <v>327.08999999999997</v>
      </c>
      <c r="C437" s="4" cm="1">
        <f t="array" aca="1" ref="C437" ca="1">INDIRECT(ADDRESS(ROW()-C$3,2))-INDIRECT(ADDRESS(ROW()-C$2,2))</f>
        <v>-33.660000000000025</v>
      </c>
      <c r="D437" s="4" cm="1">
        <f t="array" aca="1" ref="D437" ca="1">INDIRECT(ADDRESS(ROW()-D$3,2))-INDIRECT(ADDRESS(ROW()-D$2,2))</f>
        <v>-45.150000000000034</v>
      </c>
      <c r="E437" s="4">
        <f t="shared" ca="1" si="13"/>
        <v>361.93</v>
      </c>
      <c r="F437" s="3">
        <v>14270.569999999945</v>
      </c>
      <c r="G437" s="3">
        <v>0</v>
      </c>
      <c r="H437" s="3">
        <f t="shared" si="12"/>
        <v>14270.569999999945</v>
      </c>
      <c r="I437" s="3">
        <v>0</v>
      </c>
      <c r="J437" s="3"/>
      <c r="K437" s="3"/>
      <c r="L437" s="3"/>
    </row>
    <row r="438" spans="1:12">
      <c r="A438" s="3">
        <v>42922</v>
      </c>
      <c r="B438" s="3">
        <v>308.83</v>
      </c>
      <c r="C438" s="4" cm="1">
        <f t="array" aca="1" ref="C438" ca="1">INDIRECT(ADDRESS(ROW()-C$3,2))-INDIRECT(ADDRESS(ROW()-C$2,2))</f>
        <v>-52.78000000000003</v>
      </c>
      <c r="D438" s="4" cm="1">
        <f t="array" aca="1" ref="D438" ca="1">INDIRECT(ADDRESS(ROW()-D$3,2))-INDIRECT(ADDRESS(ROW()-D$2,2))</f>
        <v>-67.569999999999993</v>
      </c>
      <c r="E438" s="4">
        <f t="shared" ca="1" si="13"/>
        <v>343.91999999999996</v>
      </c>
      <c r="F438" s="3">
        <v>14270.569999999945</v>
      </c>
      <c r="G438" s="3">
        <v>0</v>
      </c>
      <c r="H438" s="3">
        <f t="shared" si="12"/>
        <v>14270.569999999945</v>
      </c>
      <c r="I438" s="3">
        <v>0</v>
      </c>
      <c r="J438" s="3"/>
      <c r="K438" s="3"/>
      <c r="L438" s="3"/>
    </row>
    <row r="439" spans="1:12">
      <c r="A439" s="3">
        <v>42923</v>
      </c>
      <c r="B439" s="3">
        <v>313.22000000000003</v>
      </c>
      <c r="C439" s="4" cm="1">
        <f t="array" aca="1" ref="C439" ca="1">INDIRECT(ADDRESS(ROW()-C$3,2))-INDIRECT(ADDRESS(ROW()-C$2,2))</f>
        <v>-39.399999999999977</v>
      </c>
      <c r="D439" s="4" cm="1">
        <f t="array" aca="1" ref="D439" ca="1">INDIRECT(ADDRESS(ROW()-D$3,2))-INDIRECT(ADDRESS(ROW()-D$2,2))</f>
        <v>-69.389999999999986</v>
      </c>
      <c r="E439" s="4">
        <f t="shared" ca="1" si="13"/>
        <v>335.22</v>
      </c>
      <c r="F439" s="3">
        <v>14270.569999999945</v>
      </c>
      <c r="G439" s="3">
        <v>0</v>
      </c>
      <c r="H439" s="3">
        <f t="shared" si="12"/>
        <v>14270.569999999945</v>
      </c>
      <c r="I439" s="3">
        <v>0</v>
      </c>
      <c r="J439" s="3"/>
      <c r="K439" s="3"/>
      <c r="L439" s="3"/>
    </row>
    <row r="440" spans="1:12">
      <c r="A440" s="3">
        <v>42926</v>
      </c>
      <c r="B440" s="3">
        <v>316.05</v>
      </c>
      <c r="C440" s="4" cm="1">
        <f t="array" aca="1" ref="C440" ca="1">INDIRECT(ADDRESS(ROW()-C$3,2))-INDIRECT(ADDRESS(ROW()-C$2,2))</f>
        <v>-11.039999999999964</v>
      </c>
      <c r="D440" s="4" cm="1">
        <f t="array" aca="1" ref="D440" ca="1">INDIRECT(ADDRESS(ROW()-D$3,2))-INDIRECT(ADDRESS(ROW()-D$2,2))</f>
        <v>-67.399999999999977</v>
      </c>
      <c r="E440" s="4">
        <f t="shared" ca="1" si="13"/>
        <v>332.92</v>
      </c>
      <c r="F440" s="3">
        <v>14270.569999999945</v>
      </c>
      <c r="G440" s="3">
        <v>0</v>
      </c>
      <c r="H440" s="3">
        <f t="shared" si="12"/>
        <v>14270.569999999945</v>
      </c>
      <c r="I440" s="3">
        <v>0</v>
      </c>
      <c r="J440" s="3"/>
      <c r="K440" s="3"/>
      <c r="L440" s="3"/>
    </row>
    <row r="441" spans="1:12">
      <c r="A441" s="3">
        <v>42927</v>
      </c>
      <c r="B441" s="3">
        <v>327.22000000000003</v>
      </c>
      <c r="C441" s="4" cm="1">
        <f t="array" aca="1" ref="C441" ca="1">INDIRECT(ADDRESS(ROW()-C$3,2))-INDIRECT(ADDRESS(ROW()-C$2,2))</f>
        <v>18.390000000000043</v>
      </c>
      <c r="D441" s="4" cm="1">
        <f t="array" aca="1" ref="D441" ca="1">INDIRECT(ADDRESS(ROW()-D$3,2))-INDIRECT(ADDRESS(ROW()-D$2,2))</f>
        <v>-50.269999999999982</v>
      </c>
      <c r="E441" s="4">
        <f t="shared" ca="1" si="13"/>
        <v>321.57</v>
      </c>
      <c r="F441" s="3">
        <v>200.10999999995192</v>
      </c>
      <c r="G441" s="3">
        <v>14070.460000000001</v>
      </c>
      <c r="H441" s="3">
        <f t="shared" si="12"/>
        <v>14270.569999999952</v>
      </c>
      <c r="I441" s="3">
        <v>43</v>
      </c>
      <c r="J441" s="3"/>
      <c r="K441" s="3"/>
      <c r="L441" s="3"/>
    </row>
    <row r="442" spans="1:12">
      <c r="A442" s="3">
        <v>42928</v>
      </c>
      <c r="B442" s="3">
        <v>329.52</v>
      </c>
      <c r="C442" s="4" cm="1">
        <f t="array" aca="1" ref="C442" ca="1">INDIRECT(ADDRESS(ROW()-C$3,2))-INDIRECT(ADDRESS(ROW()-C$2,2))</f>
        <v>16.299999999999955</v>
      </c>
      <c r="D442" s="4" cm="1">
        <f t="array" aca="1" ref="D442" ca="1">INDIRECT(ADDRESS(ROW()-D$3,2))-INDIRECT(ADDRESS(ROW()-D$2,2))</f>
        <v>-32.850000000000023</v>
      </c>
      <c r="E442" s="4">
        <f t="shared" ca="1" si="13"/>
        <v>318.02499999999998</v>
      </c>
      <c r="F442" s="3">
        <v>200.10999999995192</v>
      </c>
      <c r="G442" s="3">
        <v>14169.359999999999</v>
      </c>
      <c r="H442" s="3">
        <f t="shared" si="12"/>
        <v>14369.46999999995</v>
      </c>
      <c r="I442" s="3">
        <v>43</v>
      </c>
      <c r="J442" s="3"/>
      <c r="K442" s="3"/>
      <c r="L442" s="3"/>
    </row>
    <row r="443" spans="1:12">
      <c r="A443" s="3">
        <v>42929</v>
      </c>
      <c r="B443" s="3">
        <v>323.41000000000003</v>
      </c>
      <c r="C443" s="4" cm="1">
        <f t="array" aca="1" ref="C443" ca="1">INDIRECT(ADDRESS(ROW()-C$3,2))-INDIRECT(ADDRESS(ROW()-C$2,2))</f>
        <v>7.3600000000000136</v>
      </c>
      <c r="D443" s="4" cm="1">
        <f t="array" aca="1" ref="D443" ca="1">INDIRECT(ADDRESS(ROW()-D$3,2))-INDIRECT(ADDRESS(ROW()-D$2,2))</f>
        <v>-47.829999999999984</v>
      </c>
      <c r="E443" s="4">
        <f t="shared" ca="1" si="13"/>
        <v>321.37</v>
      </c>
      <c r="F443" s="3">
        <v>200.10999999995192</v>
      </c>
      <c r="G443" s="3">
        <v>13906.630000000001</v>
      </c>
      <c r="H443" s="3">
        <f t="shared" si="12"/>
        <v>14106.739999999952</v>
      </c>
      <c r="I443" s="3">
        <v>43</v>
      </c>
      <c r="J443" s="3"/>
      <c r="K443" s="3"/>
      <c r="L443" s="3"/>
    </row>
    <row r="444" spans="1:12">
      <c r="A444" s="3">
        <v>42930</v>
      </c>
      <c r="B444" s="3">
        <v>327.78</v>
      </c>
      <c r="C444" s="4" cm="1">
        <f t="array" aca="1" ref="C444" ca="1">INDIRECT(ADDRESS(ROW()-C$3,2))-INDIRECT(ADDRESS(ROW()-C$2,2))</f>
        <v>0.55999999999994543</v>
      </c>
      <c r="D444" s="4" cm="1">
        <f t="array" aca="1" ref="D444" ca="1">INDIRECT(ADDRESS(ROW()-D$3,2))-INDIRECT(ADDRESS(ROW()-D$2,2))</f>
        <v>-32.970000000000027</v>
      </c>
      <c r="E444" s="4">
        <f t="shared" ca="1" si="13"/>
        <v>319.73</v>
      </c>
      <c r="F444" s="3">
        <v>200.10999999995192</v>
      </c>
      <c r="G444" s="3">
        <v>14094.539999999999</v>
      </c>
      <c r="H444" s="3">
        <f t="shared" si="12"/>
        <v>14294.649999999951</v>
      </c>
      <c r="I444" s="3">
        <v>43</v>
      </c>
      <c r="J444" s="3"/>
      <c r="K444" s="3"/>
      <c r="L444" s="3"/>
    </row>
    <row r="445" spans="1:12">
      <c r="A445" s="3">
        <v>42933</v>
      </c>
      <c r="B445" s="3">
        <v>319.57</v>
      </c>
      <c r="C445" s="4" cm="1">
        <f t="array" aca="1" ref="C445" ca="1">INDIRECT(ADDRESS(ROW()-C$3,2))-INDIRECT(ADDRESS(ROW()-C$2,2))</f>
        <v>-9.9499999999999886</v>
      </c>
      <c r="D445" s="4" cm="1">
        <f t="array" aca="1" ref="D445" ca="1">INDIRECT(ADDRESS(ROW()-D$3,2))-INDIRECT(ADDRESS(ROW()-D$2,2))</f>
        <v>-42.04000000000002</v>
      </c>
      <c r="E445" s="4">
        <f t="shared" ca="1" si="13"/>
        <v>327.5</v>
      </c>
      <c r="F445" s="3">
        <v>13941.619999999952</v>
      </c>
      <c r="G445" s="3">
        <v>0</v>
      </c>
      <c r="H445" s="3">
        <f t="shared" si="12"/>
        <v>13941.619999999952</v>
      </c>
      <c r="I445" s="3">
        <v>0</v>
      </c>
      <c r="J445" s="3"/>
      <c r="K445" s="3"/>
      <c r="L445" s="3"/>
    </row>
    <row r="446" spans="1:12">
      <c r="A446" s="3">
        <v>42934</v>
      </c>
      <c r="B446" s="3">
        <v>328.24</v>
      </c>
      <c r="C446" s="4" cm="1">
        <f t="array" aca="1" ref="C446" ca="1">INDIRECT(ADDRESS(ROW()-C$3,2))-INDIRECT(ADDRESS(ROW()-C$2,2))</f>
        <v>4.8299999999999841</v>
      </c>
      <c r="D446" s="4" cm="1">
        <f t="array" aca="1" ref="D446" ca="1">INDIRECT(ADDRESS(ROW()-D$3,2))-INDIRECT(ADDRESS(ROW()-D$2,2))</f>
        <v>-24.379999999999995</v>
      </c>
      <c r="E446" s="4">
        <f t="shared" ca="1" si="13"/>
        <v>324.54499999999996</v>
      </c>
      <c r="F446" s="3">
        <v>155.53999999995949</v>
      </c>
      <c r="G446" s="3">
        <v>13786.08</v>
      </c>
      <c r="H446" s="3">
        <f t="shared" si="12"/>
        <v>13941.619999999959</v>
      </c>
      <c r="I446" s="3">
        <v>42</v>
      </c>
      <c r="J446" s="3"/>
      <c r="K446" s="3"/>
      <c r="L446" s="3"/>
    </row>
    <row r="447" spans="1:12">
      <c r="A447" s="3">
        <v>42935</v>
      </c>
      <c r="B447" s="3">
        <v>325.26</v>
      </c>
      <c r="C447" s="4" cm="1">
        <f t="array" aca="1" ref="C447" ca="1">INDIRECT(ADDRESS(ROW()-C$3,2))-INDIRECT(ADDRESS(ROW()-C$2,2))</f>
        <v>-2.5199999999999818</v>
      </c>
      <c r="D447" s="4" cm="1">
        <f t="array" aca="1" ref="D447" ca="1">INDIRECT(ADDRESS(ROW()-D$3,2))-INDIRECT(ADDRESS(ROW()-D$2,2))</f>
        <v>-1.8299999999999841</v>
      </c>
      <c r="E447" s="4">
        <f t="shared" ca="1" si="13"/>
        <v>325.82500000000005</v>
      </c>
      <c r="F447" s="3">
        <v>13816.459999999959</v>
      </c>
      <c r="G447" s="3">
        <v>0</v>
      </c>
      <c r="H447" s="3">
        <f t="shared" si="12"/>
        <v>13816.459999999959</v>
      </c>
      <c r="I447" s="3">
        <v>0</v>
      </c>
      <c r="J447" s="3"/>
      <c r="K447" s="3"/>
      <c r="L447" s="3"/>
    </row>
    <row r="448" spans="1:12">
      <c r="A448" s="3">
        <v>42936</v>
      </c>
      <c r="B448" s="3">
        <v>329.92</v>
      </c>
      <c r="C448" s="4" cm="1">
        <f t="array" aca="1" ref="C448" ca="1">INDIRECT(ADDRESS(ROW()-C$3,2))-INDIRECT(ADDRESS(ROW()-C$2,2))</f>
        <v>10.350000000000023</v>
      </c>
      <c r="D448" s="4" cm="1">
        <f t="array" aca="1" ref="D448" ca="1">INDIRECT(ADDRESS(ROW()-D$3,2))-INDIRECT(ADDRESS(ROW()-D$2,2))</f>
        <v>21.090000000000032</v>
      </c>
      <c r="E448" s="4">
        <f t="shared" ca="1" si="13"/>
        <v>326.52</v>
      </c>
      <c r="F448" s="3">
        <v>289.73999999995618</v>
      </c>
      <c r="G448" s="3">
        <v>13526.720000000001</v>
      </c>
      <c r="H448" s="3">
        <f t="shared" si="12"/>
        <v>13816.459999999957</v>
      </c>
      <c r="I448" s="3">
        <v>41</v>
      </c>
      <c r="J448" s="3"/>
      <c r="K448" s="3"/>
      <c r="L448" s="3"/>
    </row>
    <row r="449" spans="1:12">
      <c r="A449" s="3">
        <v>42937</v>
      </c>
      <c r="B449" s="3">
        <v>328.4</v>
      </c>
      <c r="C449" s="4" cm="1">
        <f t="array" aca="1" ref="C449" ca="1">INDIRECT(ADDRESS(ROW()-C$3,2))-INDIRECT(ADDRESS(ROW()-C$2,2))</f>
        <v>0.15999999999996817</v>
      </c>
      <c r="D449" s="4" cm="1">
        <f t="array" aca="1" ref="D449" ca="1">INDIRECT(ADDRESS(ROW()-D$3,2))-INDIRECT(ADDRESS(ROW()-D$2,2))</f>
        <v>15.17999999999995</v>
      </c>
      <c r="E449" s="4">
        <f t="shared" ca="1" si="13"/>
        <v>324.745</v>
      </c>
      <c r="F449" s="3">
        <v>289.73999999995618</v>
      </c>
      <c r="G449" s="3">
        <v>13464.4</v>
      </c>
      <c r="H449" s="3">
        <f t="shared" si="12"/>
        <v>13754.139999999956</v>
      </c>
      <c r="I449" s="3">
        <v>41</v>
      </c>
      <c r="J449" s="3"/>
      <c r="K449" s="3"/>
      <c r="L449" s="3"/>
    </row>
    <row r="450" spans="1:12">
      <c r="A450" s="3">
        <v>42940</v>
      </c>
      <c r="B450" s="3">
        <v>342.52</v>
      </c>
      <c r="C450" s="4" cm="1">
        <f t="array" aca="1" ref="C450" ca="1">INDIRECT(ADDRESS(ROW()-C$3,2))-INDIRECT(ADDRESS(ROW()-C$2,2))</f>
        <v>17.259999999999991</v>
      </c>
      <c r="D450" s="4" cm="1">
        <f t="array" aca="1" ref="D450" ca="1">INDIRECT(ADDRESS(ROW()-D$3,2))-INDIRECT(ADDRESS(ROW()-D$2,2))</f>
        <v>26.46999999999997</v>
      </c>
      <c r="E450" s="4">
        <f t="shared" ca="1" si="13"/>
        <v>328.32</v>
      </c>
      <c r="F450" s="3">
        <v>289.73999999995618</v>
      </c>
      <c r="G450" s="3">
        <v>14043.32</v>
      </c>
      <c r="H450" s="3">
        <f t="shared" si="12"/>
        <v>14333.059999999956</v>
      </c>
      <c r="I450" s="3">
        <v>41</v>
      </c>
      <c r="J450" s="3"/>
      <c r="K450" s="3"/>
      <c r="L450" s="3"/>
    </row>
    <row r="451" spans="1:12">
      <c r="A451" s="3">
        <v>42941</v>
      </c>
      <c r="B451" s="3">
        <v>339.6</v>
      </c>
      <c r="C451" s="4" cm="1">
        <f t="array" aca="1" ref="C451" ca="1">INDIRECT(ADDRESS(ROW()-C$3,2))-INDIRECT(ADDRESS(ROW()-C$2,2))</f>
        <v>9.6800000000000068</v>
      </c>
      <c r="D451" s="4" cm="1">
        <f t="array" aca="1" ref="D451" ca="1">INDIRECT(ADDRESS(ROW()-D$3,2))-INDIRECT(ADDRESS(ROW()-D$2,2))</f>
        <v>12.379999999999995</v>
      </c>
      <c r="E451" s="4">
        <f t="shared" ca="1" si="13"/>
        <v>333.89</v>
      </c>
      <c r="F451" s="3">
        <v>289.73999999995618</v>
      </c>
      <c r="G451" s="3">
        <v>13923.6</v>
      </c>
      <c r="H451" s="3">
        <f t="shared" si="12"/>
        <v>14213.339999999956</v>
      </c>
      <c r="I451" s="3">
        <v>41</v>
      </c>
      <c r="J451" s="3"/>
      <c r="K451" s="3"/>
      <c r="L451" s="3"/>
    </row>
    <row r="452" spans="1:12">
      <c r="A452" s="3">
        <v>42942</v>
      </c>
      <c r="B452" s="3">
        <v>343.85</v>
      </c>
      <c r="C452" s="4" cm="1">
        <f t="array" aca="1" ref="C452" ca="1">INDIRECT(ADDRESS(ROW()-C$3,2))-INDIRECT(ADDRESS(ROW()-C$2,2))</f>
        <v>15.450000000000045</v>
      </c>
      <c r="D452" s="4" cm="1">
        <f t="array" aca="1" ref="D452" ca="1">INDIRECT(ADDRESS(ROW()-D$3,2))-INDIRECT(ADDRESS(ROW()-D$2,2))</f>
        <v>14.330000000000041</v>
      </c>
      <c r="E452" s="4">
        <f t="shared" ca="1" si="13"/>
        <v>334.76</v>
      </c>
      <c r="F452" s="3">
        <v>289.73999999995618</v>
      </c>
      <c r="G452" s="3">
        <v>14097.85</v>
      </c>
      <c r="H452" s="3">
        <f t="shared" si="12"/>
        <v>14387.589999999956</v>
      </c>
      <c r="I452" s="3">
        <v>41</v>
      </c>
      <c r="J452" s="3"/>
      <c r="K452" s="3"/>
      <c r="L452" s="3"/>
    </row>
    <row r="453" spans="1:12">
      <c r="A453" s="3">
        <v>42943</v>
      </c>
      <c r="B453" s="3">
        <v>334.46</v>
      </c>
      <c r="C453" s="4" cm="1">
        <f t="array" aca="1" ref="C453" ca="1">INDIRECT(ADDRESS(ROW()-C$3,2))-INDIRECT(ADDRESS(ROW()-C$2,2))</f>
        <v>-8.0600000000000023</v>
      </c>
      <c r="D453" s="4" cm="1">
        <f t="array" aca="1" ref="D453" ca="1">INDIRECT(ADDRESS(ROW()-D$3,2))-INDIRECT(ADDRESS(ROW()-D$2,2))</f>
        <v>11.049999999999955</v>
      </c>
      <c r="E453" s="4">
        <f t="shared" ca="1" si="13"/>
        <v>336.125</v>
      </c>
      <c r="F453" s="3">
        <v>14002.599999999955</v>
      </c>
      <c r="G453" s="3">
        <v>0</v>
      </c>
      <c r="H453" s="3">
        <f t="shared" si="12"/>
        <v>14002.599999999955</v>
      </c>
      <c r="I453" s="3">
        <v>0</v>
      </c>
      <c r="J453" s="3"/>
      <c r="K453" s="3"/>
      <c r="L453" s="3"/>
    </row>
    <row r="454" spans="1:12">
      <c r="A454" s="3">
        <v>42944</v>
      </c>
      <c r="B454" s="3">
        <v>335.07</v>
      </c>
      <c r="C454" s="4" cm="1">
        <f t="array" aca="1" ref="C454" ca="1">INDIRECT(ADDRESS(ROW()-C$3,2))-INDIRECT(ADDRESS(ROW()-C$2,2))</f>
        <v>-4.5300000000000296</v>
      </c>
      <c r="D454" s="4" cm="1">
        <f t="array" aca="1" ref="D454" ca="1">INDIRECT(ADDRESS(ROW()-D$3,2))-INDIRECT(ADDRESS(ROW()-D$2,2))</f>
        <v>7.2900000000000205</v>
      </c>
      <c r="E454" s="4">
        <f t="shared" ca="1" si="13"/>
        <v>338.49</v>
      </c>
      <c r="F454" s="3">
        <v>14002.599999999955</v>
      </c>
      <c r="G454" s="3">
        <v>0</v>
      </c>
      <c r="H454" s="3">
        <f t="shared" si="12"/>
        <v>14002.599999999955</v>
      </c>
      <c r="I454" s="3">
        <v>0</v>
      </c>
      <c r="J454" s="3"/>
      <c r="K454" s="3"/>
      <c r="L454" s="3"/>
    </row>
    <row r="455" spans="1:12">
      <c r="A455" s="3">
        <v>42947</v>
      </c>
      <c r="B455" s="3">
        <v>323.47000000000003</v>
      </c>
      <c r="C455" s="4" cm="1">
        <f t="array" aca="1" ref="C455" ca="1">INDIRECT(ADDRESS(ROW()-C$3,2))-INDIRECT(ADDRESS(ROW()-C$2,2))</f>
        <v>-20.379999999999995</v>
      </c>
      <c r="D455" s="4" cm="1">
        <f t="array" aca="1" ref="D455" ca="1">INDIRECT(ADDRESS(ROW()-D$3,2))-INDIRECT(ADDRESS(ROW()-D$2,2))</f>
        <v>3.9000000000000341</v>
      </c>
      <c r="E455" s="4">
        <f t="shared" ca="1" si="13"/>
        <v>337.33500000000004</v>
      </c>
      <c r="F455" s="3">
        <v>14002.599999999955</v>
      </c>
      <c r="G455" s="3">
        <v>0</v>
      </c>
      <c r="H455" s="3">
        <f t="shared" si="12"/>
        <v>14002.599999999955</v>
      </c>
      <c r="I455" s="3">
        <v>0</v>
      </c>
      <c r="J455" s="3"/>
      <c r="K455" s="3"/>
      <c r="L455" s="3"/>
    </row>
    <row r="456" spans="1:12">
      <c r="A456" s="3">
        <v>42948</v>
      </c>
      <c r="B456" s="3">
        <v>319.57</v>
      </c>
      <c r="C456" s="4" cm="1">
        <f t="array" aca="1" ref="C456" ca="1">INDIRECT(ADDRESS(ROW()-C$3,2))-INDIRECT(ADDRESS(ROW()-C$2,2))</f>
        <v>-14.889999999999986</v>
      </c>
      <c r="D456" s="4" cm="1">
        <f t="array" aca="1" ref="D456" ca="1">INDIRECT(ADDRESS(ROW()-D$3,2))-INDIRECT(ADDRESS(ROW()-D$2,2))</f>
        <v>-8.6700000000000159</v>
      </c>
      <c r="E456" s="4">
        <f t="shared" ca="1" si="13"/>
        <v>333.66</v>
      </c>
      <c r="F456" s="3">
        <v>14002.599999999955</v>
      </c>
      <c r="G456" s="3">
        <v>0</v>
      </c>
      <c r="H456" s="3">
        <f t="shared" si="12"/>
        <v>14002.599999999955</v>
      </c>
      <c r="I456" s="3">
        <v>0</v>
      </c>
      <c r="J456" s="3"/>
      <c r="K456" s="3"/>
      <c r="L456" s="3"/>
    </row>
    <row r="457" spans="1:12">
      <c r="A457" s="3">
        <v>42949</v>
      </c>
      <c r="B457" s="3">
        <v>325.89</v>
      </c>
      <c r="C457" s="4" cm="1">
        <f t="array" aca="1" ref="C457" ca="1">INDIRECT(ADDRESS(ROW()-C$3,2))-INDIRECT(ADDRESS(ROW()-C$2,2))</f>
        <v>-9.1800000000000068</v>
      </c>
      <c r="D457" s="4" cm="1">
        <f t="array" aca="1" ref="D457" ca="1">INDIRECT(ADDRESS(ROW()-D$3,2))-INDIRECT(ADDRESS(ROW()-D$2,2))</f>
        <v>0.62999999999999545</v>
      </c>
      <c r="E457" s="4">
        <f t="shared" ca="1" si="13"/>
        <v>327.01499999999999</v>
      </c>
      <c r="F457" s="3">
        <v>14002.599999999955</v>
      </c>
      <c r="G457" s="3">
        <v>0</v>
      </c>
      <c r="H457" s="3">
        <f t="shared" si="12"/>
        <v>14002.599999999955</v>
      </c>
      <c r="I457" s="3">
        <v>0</v>
      </c>
      <c r="J457" s="3"/>
      <c r="K457" s="3"/>
      <c r="L457" s="3"/>
    </row>
    <row r="458" spans="1:12">
      <c r="A458" s="3">
        <v>42950</v>
      </c>
      <c r="B458" s="3">
        <v>347.09</v>
      </c>
      <c r="C458" s="4" cm="1">
        <f t="array" aca="1" ref="C458" ca="1">INDIRECT(ADDRESS(ROW()-C$3,2))-INDIRECT(ADDRESS(ROW()-C$2,2))</f>
        <v>23.619999999999948</v>
      </c>
      <c r="D458" s="4" cm="1">
        <f t="array" aca="1" ref="D458" ca="1">INDIRECT(ADDRESS(ROW()-D$3,2))-INDIRECT(ADDRESS(ROW()-D$2,2))</f>
        <v>17.169999999999959</v>
      </c>
      <c r="E458" s="4">
        <f t="shared" ca="1" si="13"/>
        <v>330.48</v>
      </c>
      <c r="F458" s="3">
        <v>118.99999999995032</v>
      </c>
      <c r="G458" s="3">
        <v>13883.599999999999</v>
      </c>
      <c r="H458" s="3">
        <f t="shared" si="12"/>
        <v>14002.599999999949</v>
      </c>
      <c r="I458" s="3">
        <v>40</v>
      </c>
      <c r="J458" s="3"/>
      <c r="K458" s="3"/>
      <c r="L458" s="3"/>
    </row>
    <row r="459" spans="1:12">
      <c r="A459" s="3">
        <v>42951</v>
      </c>
      <c r="B459" s="3">
        <v>356.91</v>
      </c>
      <c r="C459" s="4" cm="1">
        <f t="array" aca="1" ref="C459" ca="1">INDIRECT(ADDRESS(ROW()-C$3,2))-INDIRECT(ADDRESS(ROW()-C$2,2))</f>
        <v>37.340000000000032</v>
      </c>
      <c r="D459" s="4" cm="1">
        <f t="array" aca="1" ref="D459" ca="1">INDIRECT(ADDRESS(ROW()-D$3,2))-INDIRECT(ADDRESS(ROW()-D$2,2))</f>
        <v>28.510000000000048</v>
      </c>
      <c r="E459" s="4">
        <f t="shared" ca="1" si="13"/>
        <v>335.28</v>
      </c>
      <c r="F459" s="3">
        <v>118.99999999995032</v>
      </c>
      <c r="G459" s="3">
        <v>14276.400000000001</v>
      </c>
      <c r="H459" s="3">
        <f t="shared" si="12"/>
        <v>14395.399999999952</v>
      </c>
      <c r="I459" s="3">
        <v>40</v>
      </c>
      <c r="J459" s="3"/>
      <c r="K459" s="3"/>
      <c r="L459" s="3"/>
    </row>
    <row r="460" spans="1:12">
      <c r="A460" s="3">
        <v>42954</v>
      </c>
      <c r="B460" s="3">
        <v>355.17</v>
      </c>
      <c r="C460" s="4" cm="1">
        <f t="array" aca="1" ref="C460" ca="1">INDIRECT(ADDRESS(ROW()-C$3,2))-INDIRECT(ADDRESS(ROW()-C$2,2))</f>
        <v>29.28000000000003</v>
      </c>
      <c r="D460" s="4" cm="1">
        <f t="array" aca="1" ref="D460" ca="1">INDIRECT(ADDRESS(ROW()-D$3,2))-INDIRECT(ADDRESS(ROW()-D$2,2))</f>
        <v>12.650000000000034</v>
      </c>
      <c r="E460" s="4">
        <f t="shared" ca="1" si="13"/>
        <v>338.24</v>
      </c>
      <c r="F460" s="3">
        <v>118.99999999995032</v>
      </c>
      <c r="G460" s="3">
        <v>14206.800000000001</v>
      </c>
      <c r="H460" s="3">
        <f t="shared" si="12"/>
        <v>14325.799999999952</v>
      </c>
      <c r="I460" s="3">
        <v>40</v>
      </c>
      <c r="J460" s="3"/>
      <c r="K460" s="3"/>
      <c r="L460" s="3"/>
    </row>
    <row r="461" spans="1:12">
      <c r="A461" s="3">
        <v>42955</v>
      </c>
      <c r="B461" s="3">
        <v>365.22</v>
      </c>
      <c r="C461" s="4" cm="1">
        <f t="array" aca="1" ref="C461" ca="1">INDIRECT(ADDRESS(ROW()-C$3,2))-INDIRECT(ADDRESS(ROW()-C$2,2))</f>
        <v>18.130000000000052</v>
      </c>
      <c r="D461" s="4" cm="1">
        <f t="array" aca="1" ref="D461" ca="1">INDIRECT(ADDRESS(ROW()-D$3,2))-INDIRECT(ADDRESS(ROW()-D$2,2))</f>
        <v>25.620000000000005</v>
      </c>
      <c r="E461" s="4">
        <f t="shared" ca="1" si="13"/>
        <v>340.53</v>
      </c>
      <c r="F461" s="3">
        <v>118.99999999995032</v>
      </c>
      <c r="G461" s="3">
        <v>14608.800000000001</v>
      </c>
      <c r="H461" s="3">
        <f t="shared" si="12"/>
        <v>14727.799999999952</v>
      </c>
      <c r="I461" s="3">
        <v>40</v>
      </c>
      <c r="J461" s="3"/>
      <c r="K461" s="3"/>
      <c r="L461" s="3"/>
    </row>
    <row r="462" spans="1:12">
      <c r="A462" s="3">
        <v>42956</v>
      </c>
      <c r="B462" s="3">
        <v>363.53</v>
      </c>
      <c r="C462" s="4" cm="1">
        <f t="array" aca="1" ref="C462" ca="1">INDIRECT(ADDRESS(ROW()-C$3,2))-INDIRECT(ADDRESS(ROW()-C$2,2))</f>
        <v>6.6199999999999477</v>
      </c>
      <c r="D462" s="4" cm="1">
        <f t="array" aca="1" ref="D462" ca="1">INDIRECT(ADDRESS(ROW()-D$3,2))-INDIRECT(ADDRESS(ROW()-D$2,2))</f>
        <v>19.67999999999995</v>
      </c>
      <c r="E462" s="4">
        <f t="shared" ca="1" si="13"/>
        <v>356.15499999999997</v>
      </c>
      <c r="F462" s="3">
        <v>118.99999999995032</v>
      </c>
      <c r="G462" s="3">
        <v>14541.199999999999</v>
      </c>
      <c r="H462" s="3">
        <f t="shared" si="12"/>
        <v>14660.19999999995</v>
      </c>
      <c r="I462" s="3">
        <v>40</v>
      </c>
      <c r="J462" s="3"/>
      <c r="K462" s="3"/>
      <c r="L462" s="3"/>
    </row>
    <row r="463" spans="1:12">
      <c r="A463" s="3">
        <v>42957</v>
      </c>
      <c r="B463" s="3">
        <v>355.4</v>
      </c>
      <c r="C463" s="4" cm="1">
        <f t="array" aca="1" ref="C463" ca="1">INDIRECT(ADDRESS(ROW()-C$3,2))-INDIRECT(ADDRESS(ROW()-C$2,2))</f>
        <v>0.22999999999996135</v>
      </c>
      <c r="D463" s="4" cm="1">
        <f t="array" aca="1" ref="D463" ca="1">INDIRECT(ADDRESS(ROW()-D$3,2))-INDIRECT(ADDRESS(ROW()-D$2,2))</f>
        <v>20.939999999999998</v>
      </c>
      <c r="E463" s="4">
        <f t="shared" ca="1" si="13"/>
        <v>360.22</v>
      </c>
      <c r="F463" s="3">
        <v>118.99999999995032</v>
      </c>
      <c r="G463" s="3">
        <v>14216</v>
      </c>
      <c r="H463" s="3">
        <f t="shared" si="12"/>
        <v>14334.999999999951</v>
      </c>
      <c r="I463" s="3">
        <v>40</v>
      </c>
      <c r="J463" s="3"/>
      <c r="K463" s="3"/>
      <c r="L463" s="3"/>
    </row>
    <row r="464" spans="1:12">
      <c r="A464" s="3">
        <v>42958</v>
      </c>
      <c r="B464" s="3">
        <v>357.87</v>
      </c>
      <c r="C464" s="4" cm="1">
        <f t="array" aca="1" ref="C464" ca="1">INDIRECT(ADDRESS(ROW()-C$3,2))-INDIRECT(ADDRESS(ROW()-C$2,2))</f>
        <v>-7.3500000000000227</v>
      </c>
      <c r="D464" s="4" cm="1">
        <f t="array" aca="1" ref="D464" ca="1">INDIRECT(ADDRESS(ROW()-D$3,2))-INDIRECT(ADDRESS(ROW()-D$2,2))</f>
        <v>22.800000000000011</v>
      </c>
      <c r="E464" s="4">
        <f t="shared" ca="1" si="13"/>
        <v>355.28499999999997</v>
      </c>
      <c r="F464" s="3">
        <v>14433.79999999995</v>
      </c>
      <c r="G464" s="3">
        <v>0</v>
      </c>
      <c r="H464" s="3">
        <f t="shared" si="12"/>
        <v>14433.79999999995</v>
      </c>
      <c r="I464" s="3">
        <v>0</v>
      </c>
      <c r="J464" s="3"/>
      <c r="K464" s="3"/>
      <c r="L464" s="3"/>
    </row>
    <row r="465" spans="1:12">
      <c r="A465" s="3">
        <v>42961</v>
      </c>
      <c r="B465" s="3">
        <v>363.8</v>
      </c>
      <c r="C465" s="4" cm="1">
        <f t="array" aca="1" ref="C465" ca="1">INDIRECT(ADDRESS(ROW()-C$3,2))-INDIRECT(ADDRESS(ROW()-C$2,2))</f>
        <v>0.27000000000003865</v>
      </c>
      <c r="D465" s="4" cm="1">
        <f t="array" aca="1" ref="D465" ca="1">INDIRECT(ADDRESS(ROW()-D$3,2))-INDIRECT(ADDRESS(ROW()-D$2,2))</f>
        <v>40.329999999999984</v>
      </c>
      <c r="E465" s="4">
        <f t="shared" ca="1" si="13"/>
        <v>361.54500000000002</v>
      </c>
      <c r="F465" s="3">
        <v>245.59999999995961</v>
      </c>
      <c r="G465" s="3">
        <v>14188.2</v>
      </c>
      <c r="H465" s="3">
        <f t="shared" si="12"/>
        <v>14433.799999999961</v>
      </c>
      <c r="I465" s="3">
        <v>39</v>
      </c>
      <c r="J465" s="3"/>
      <c r="K465" s="3"/>
      <c r="L465" s="3"/>
    </row>
    <row r="466" spans="1:12">
      <c r="A466" s="3">
        <v>42962</v>
      </c>
      <c r="B466" s="3">
        <v>362.33</v>
      </c>
      <c r="C466" s="4" cm="1">
        <f t="array" aca="1" ref="C466" ca="1">INDIRECT(ADDRESS(ROW()-C$3,2))-INDIRECT(ADDRESS(ROW()-C$2,2))</f>
        <v>6.9300000000000068</v>
      </c>
      <c r="D466" s="4" cm="1">
        <f t="array" aca="1" ref="D466" ca="1">INDIRECT(ADDRESS(ROW()-D$3,2))-INDIRECT(ADDRESS(ROW()-D$2,2))</f>
        <v>42.759999999999991</v>
      </c>
      <c r="E466" s="4">
        <f t="shared" ca="1" si="13"/>
        <v>363.66499999999996</v>
      </c>
      <c r="F466" s="3">
        <v>245.59999999995961</v>
      </c>
      <c r="G466" s="3">
        <v>14130.869999999999</v>
      </c>
      <c r="H466" s="3">
        <f t="shared" si="12"/>
        <v>14376.469999999959</v>
      </c>
      <c r="I466" s="3">
        <v>39</v>
      </c>
      <c r="J466" s="3"/>
      <c r="K466" s="3"/>
      <c r="L466" s="3"/>
    </row>
    <row r="467" spans="1:12">
      <c r="A467" s="3">
        <v>42963</v>
      </c>
      <c r="B467" s="3">
        <v>362.91</v>
      </c>
      <c r="C467" s="4" cm="1">
        <f t="array" aca="1" ref="C467" ca="1">INDIRECT(ADDRESS(ROW()-C$3,2))-INDIRECT(ADDRESS(ROW()-C$2,2))</f>
        <v>5.0400000000000205</v>
      </c>
      <c r="D467" s="4" cm="1">
        <f t="array" aca="1" ref="D467" ca="1">INDIRECT(ADDRESS(ROW()-D$3,2))-INDIRECT(ADDRESS(ROW()-D$2,2))</f>
        <v>37.020000000000039</v>
      </c>
      <c r="E467" s="4">
        <f t="shared" ca="1" si="13"/>
        <v>358.86500000000001</v>
      </c>
      <c r="F467" s="3">
        <v>245.59999999995961</v>
      </c>
      <c r="G467" s="3">
        <v>14153.490000000002</v>
      </c>
      <c r="H467" s="3">
        <f t="shared" si="12"/>
        <v>14399.089999999962</v>
      </c>
      <c r="I467" s="3">
        <v>39</v>
      </c>
      <c r="J467" s="3"/>
      <c r="K467" s="3"/>
      <c r="L467" s="3"/>
    </row>
    <row r="468" spans="1:12">
      <c r="A468" s="3">
        <v>42964</v>
      </c>
      <c r="B468" s="3">
        <v>351.92</v>
      </c>
      <c r="C468" s="4" cm="1">
        <f t="array" aca="1" ref="C468" ca="1">INDIRECT(ADDRESS(ROW()-C$3,2))-INDIRECT(ADDRESS(ROW()-C$2,2))</f>
        <v>-11.879999999999995</v>
      </c>
      <c r="D468" s="4" cm="1">
        <f t="array" aca="1" ref="D468" ca="1">INDIRECT(ADDRESS(ROW()-D$3,2))-INDIRECT(ADDRESS(ROW()-D$2,2))</f>
        <v>4.8300000000000409</v>
      </c>
      <c r="E468" s="4">
        <f t="shared" ca="1" si="13"/>
        <v>360.39</v>
      </c>
      <c r="F468" s="3">
        <v>13970.479999999961</v>
      </c>
      <c r="G468" s="3">
        <v>0</v>
      </c>
      <c r="H468" s="3">
        <f t="shared" si="12"/>
        <v>13970.479999999961</v>
      </c>
      <c r="I468" s="3">
        <v>0</v>
      </c>
      <c r="J468" s="3"/>
      <c r="K468" s="3"/>
      <c r="L468" s="3"/>
    </row>
    <row r="469" spans="1:12">
      <c r="A469" s="3">
        <v>42965</v>
      </c>
      <c r="B469" s="3">
        <v>347.46</v>
      </c>
      <c r="C469" s="4" cm="1">
        <f t="array" aca="1" ref="C469" ca="1">INDIRECT(ADDRESS(ROW()-C$3,2))-INDIRECT(ADDRESS(ROW()-C$2,2))</f>
        <v>-14.870000000000005</v>
      </c>
      <c r="D469" s="4" cm="1">
        <f t="array" aca="1" ref="D469" ca="1">INDIRECT(ADDRESS(ROW()-D$3,2))-INDIRECT(ADDRESS(ROW()-D$2,2))</f>
        <v>-9.4500000000000455</v>
      </c>
      <c r="E469" s="4">
        <f t="shared" ca="1" si="13"/>
        <v>357.86</v>
      </c>
      <c r="F469" s="3">
        <v>13970.479999999961</v>
      </c>
      <c r="G469" s="3">
        <v>0</v>
      </c>
      <c r="H469" s="3">
        <f t="shared" si="12"/>
        <v>13970.479999999961</v>
      </c>
      <c r="I469" s="3">
        <v>0</v>
      </c>
      <c r="J469" s="3"/>
      <c r="K469" s="3"/>
      <c r="L469" s="3"/>
    </row>
    <row r="470" spans="1:12">
      <c r="A470" s="3">
        <v>42968</v>
      </c>
      <c r="B470" s="3">
        <v>337.86</v>
      </c>
      <c r="C470" s="4" cm="1">
        <f t="array" aca="1" ref="C470" ca="1">INDIRECT(ADDRESS(ROW()-C$3,2))-INDIRECT(ADDRESS(ROW()-C$2,2))</f>
        <v>-25.050000000000011</v>
      </c>
      <c r="D470" s="4" cm="1">
        <f t="array" aca="1" ref="D470" ca="1">INDIRECT(ADDRESS(ROW()-D$3,2))-INDIRECT(ADDRESS(ROW()-D$2,2))</f>
        <v>-17.310000000000002</v>
      </c>
      <c r="E470" s="4">
        <f t="shared" ca="1" si="13"/>
        <v>354.89499999999998</v>
      </c>
      <c r="F470" s="3">
        <v>13970.479999999961</v>
      </c>
      <c r="G470" s="3">
        <v>0</v>
      </c>
      <c r="H470" s="3">
        <f t="shared" si="12"/>
        <v>13970.479999999961</v>
      </c>
      <c r="I470" s="3">
        <v>0</v>
      </c>
      <c r="J470" s="3"/>
      <c r="K470" s="3"/>
      <c r="L470" s="3"/>
    </row>
    <row r="471" spans="1:12">
      <c r="A471" s="3">
        <v>42969</v>
      </c>
      <c r="B471" s="3">
        <v>341.35</v>
      </c>
      <c r="C471" s="4" cm="1">
        <f t="array" aca="1" ref="C471" ca="1">INDIRECT(ADDRESS(ROW()-C$3,2))-INDIRECT(ADDRESS(ROW()-C$2,2))</f>
        <v>-10.569999999999993</v>
      </c>
      <c r="D471" s="4" cm="1">
        <f t="array" aca="1" ref="D471" ca="1">INDIRECT(ADDRESS(ROW()-D$3,2))-INDIRECT(ADDRESS(ROW()-D$2,2))</f>
        <v>-23.870000000000005</v>
      </c>
      <c r="E471" s="4">
        <f t="shared" ca="1" si="13"/>
        <v>350.38499999999999</v>
      </c>
      <c r="F471" s="3">
        <v>13970.479999999961</v>
      </c>
      <c r="G471" s="3">
        <v>0</v>
      </c>
      <c r="H471" s="3">
        <f t="shared" ref="H471:H534" si="14">G471+F471</f>
        <v>13970.479999999961</v>
      </c>
      <c r="I471" s="3">
        <v>0</v>
      </c>
      <c r="J471" s="3"/>
      <c r="K471" s="3"/>
      <c r="L471" s="3"/>
    </row>
    <row r="472" spans="1:12">
      <c r="A472" s="3">
        <v>42970</v>
      </c>
      <c r="B472" s="3">
        <v>352.77</v>
      </c>
      <c r="C472" s="4" cm="1">
        <f t="array" aca="1" ref="C472" ca="1">INDIRECT(ADDRESS(ROW()-C$3,2))-INDIRECT(ADDRESS(ROW()-C$2,2))</f>
        <v>5.3100000000000023</v>
      </c>
      <c r="D472" s="4" cm="1">
        <f t="array" aca="1" ref="D472" ca="1">INDIRECT(ADDRESS(ROW()-D$3,2))-INDIRECT(ADDRESS(ROW()-D$2,2))</f>
        <v>-10.759999999999991</v>
      </c>
      <c r="E472" s="4">
        <f t="shared" ref="E472:E535" ca="1" si="15">AVERAGE(INDIRECT(ADDRESS(ROW()-E$3,2)),INDIRECT(ADDRESS(ROW()-E$2,2)))</f>
        <v>346.63499999999999</v>
      </c>
      <c r="F472" s="3">
        <v>212.4499999999498</v>
      </c>
      <c r="G472" s="3">
        <v>13758.029999999999</v>
      </c>
      <c r="H472" s="3">
        <f t="shared" si="14"/>
        <v>13970.479999999949</v>
      </c>
      <c r="I472" s="3">
        <v>39</v>
      </c>
      <c r="J472" s="3"/>
      <c r="K472" s="3"/>
      <c r="L472" s="3"/>
    </row>
    <row r="473" spans="1:12">
      <c r="A473" s="3">
        <v>42971</v>
      </c>
      <c r="B473" s="3">
        <v>352.93</v>
      </c>
      <c r="C473" s="4" cm="1">
        <f t="array" aca="1" ref="C473" ca="1">INDIRECT(ADDRESS(ROW()-C$3,2))-INDIRECT(ADDRESS(ROW()-C$2,2))</f>
        <v>15.069999999999993</v>
      </c>
      <c r="D473" s="4" cm="1">
        <f t="array" aca="1" ref="D473" ca="1">INDIRECT(ADDRESS(ROW()-D$3,2))-INDIRECT(ADDRESS(ROW()-D$2,2))</f>
        <v>-2.4699999999999704</v>
      </c>
      <c r="E473" s="4">
        <f t="shared" ca="1" si="15"/>
        <v>350.11500000000001</v>
      </c>
      <c r="F473" s="3">
        <v>212.4499999999498</v>
      </c>
      <c r="G473" s="3">
        <v>13764.27</v>
      </c>
      <c r="H473" s="3">
        <f t="shared" si="14"/>
        <v>13976.71999999995</v>
      </c>
      <c r="I473" s="3">
        <v>39</v>
      </c>
      <c r="J473" s="3"/>
      <c r="K473" s="3"/>
      <c r="L473" s="3"/>
    </row>
    <row r="474" spans="1:12">
      <c r="A474" s="3">
        <v>42972</v>
      </c>
      <c r="B474" s="3">
        <v>348.05</v>
      </c>
      <c r="C474" s="4" cm="1">
        <f t="array" aca="1" ref="C474" ca="1">INDIRECT(ADDRESS(ROW()-C$3,2))-INDIRECT(ADDRESS(ROW()-C$2,2))</f>
        <v>6.6999999999999886</v>
      </c>
      <c r="D474" s="4" cm="1">
        <f t="array" aca="1" ref="D474" ca="1">INDIRECT(ADDRESS(ROW()-D$3,2))-INDIRECT(ADDRESS(ROW()-D$2,2))</f>
        <v>-9.8199999999999932</v>
      </c>
      <c r="E474" s="4">
        <f t="shared" ca="1" si="15"/>
        <v>345.39499999999998</v>
      </c>
      <c r="F474" s="3">
        <v>212.4499999999498</v>
      </c>
      <c r="G474" s="3">
        <v>13573.95</v>
      </c>
      <c r="H474" s="3">
        <f t="shared" si="14"/>
        <v>13786.399999999951</v>
      </c>
      <c r="I474" s="3">
        <v>39</v>
      </c>
      <c r="J474" s="3"/>
      <c r="K474" s="3"/>
      <c r="L474" s="3"/>
    </row>
    <row r="475" spans="1:12">
      <c r="A475" s="3">
        <v>42975</v>
      </c>
      <c r="B475" s="3">
        <v>345.66</v>
      </c>
      <c r="C475" s="4" cm="1">
        <f t="array" aca="1" ref="C475" ca="1">INDIRECT(ADDRESS(ROW()-C$3,2))-INDIRECT(ADDRESS(ROW()-C$2,2))</f>
        <v>-7.1099999999999568</v>
      </c>
      <c r="D475" s="4" cm="1">
        <f t="array" aca="1" ref="D475" ca="1">INDIRECT(ADDRESS(ROW()-D$3,2))-INDIRECT(ADDRESS(ROW()-D$2,2))</f>
        <v>-18.139999999999986</v>
      </c>
      <c r="E475" s="4">
        <f t="shared" ca="1" si="15"/>
        <v>344.70000000000005</v>
      </c>
      <c r="F475" s="3">
        <v>13693.189999999951</v>
      </c>
      <c r="G475" s="3">
        <v>0</v>
      </c>
      <c r="H475" s="3">
        <f t="shared" si="14"/>
        <v>13693.189999999951</v>
      </c>
      <c r="I475" s="3">
        <v>0</v>
      </c>
      <c r="J475" s="3"/>
      <c r="K475" s="3"/>
      <c r="L475" s="3"/>
    </row>
    <row r="476" spans="1:12">
      <c r="A476" s="3">
        <v>42976</v>
      </c>
      <c r="B476" s="3">
        <v>347.36</v>
      </c>
      <c r="C476" s="4" cm="1">
        <f t="array" aca="1" ref="C476" ca="1">INDIRECT(ADDRESS(ROW()-C$3,2))-INDIRECT(ADDRESS(ROW()-C$2,2))</f>
        <v>-5.5699999999999932</v>
      </c>
      <c r="D476" s="4" cm="1">
        <f t="array" aca="1" ref="D476" ca="1">INDIRECT(ADDRESS(ROW()-D$3,2))-INDIRECT(ADDRESS(ROW()-D$2,2))</f>
        <v>-14.96999999999997</v>
      </c>
      <c r="E476" s="4">
        <f t="shared" ca="1" si="15"/>
        <v>349.21500000000003</v>
      </c>
      <c r="F476" s="3">
        <v>13693.189999999951</v>
      </c>
      <c r="G476" s="3">
        <v>0</v>
      </c>
      <c r="H476" s="3">
        <f t="shared" si="14"/>
        <v>13693.189999999951</v>
      </c>
      <c r="I476" s="3">
        <v>0</v>
      </c>
      <c r="J476" s="3"/>
      <c r="K476" s="3"/>
      <c r="L476" s="3"/>
    </row>
    <row r="477" spans="1:12">
      <c r="A477" s="3">
        <v>42977</v>
      </c>
      <c r="B477" s="3">
        <v>353.18</v>
      </c>
      <c r="C477" s="4" cm="1">
        <f t="array" aca="1" ref="C477" ca="1">INDIRECT(ADDRESS(ROW()-C$3,2))-INDIRECT(ADDRESS(ROW()-C$2,2))</f>
        <v>5.1299999999999955</v>
      </c>
      <c r="D477" s="4" cm="1">
        <f t="array" aca="1" ref="D477" ca="1">INDIRECT(ADDRESS(ROW()-D$3,2))-INDIRECT(ADDRESS(ROW()-D$2,2))</f>
        <v>-9.7300000000000182</v>
      </c>
      <c r="E477" s="4">
        <f t="shared" ca="1" si="15"/>
        <v>350.14499999999998</v>
      </c>
      <c r="F477" s="3">
        <v>272.34999999994403</v>
      </c>
      <c r="G477" s="3">
        <v>13420.84</v>
      </c>
      <c r="H477" s="3">
        <f t="shared" si="14"/>
        <v>13693.189999999944</v>
      </c>
      <c r="I477" s="3">
        <v>38</v>
      </c>
      <c r="J477" s="3"/>
      <c r="K477" s="3"/>
      <c r="L477" s="3"/>
    </row>
    <row r="478" spans="1:12">
      <c r="A478" s="3">
        <v>42978</v>
      </c>
      <c r="B478" s="3">
        <v>355.9</v>
      </c>
      <c r="C478" s="4" cm="1">
        <f t="array" aca="1" ref="C478" ca="1">INDIRECT(ADDRESS(ROW()-C$3,2))-INDIRECT(ADDRESS(ROW()-C$2,2))</f>
        <v>10.239999999999952</v>
      </c>
      <c r="D478" s="4" cm="1">
        <f t="array" aca="1" ref="D478" ca="1">INDIRECT(ADDRESS(ROW()-D$3,2))-INDIRECT(ADDRESS(ROW()-D$2,2))</f>
        <v>3.9799999999999613</v>
      </c>
      <c r="E478" s="4">
        <f t="shared" ca="1" si="15"/>
        <v>350.61500000000001</v>
      </c>
      <c r="F478" s="3">
        <v>272.34999999994403</v>
      </c>
      <c r="G478" s="3">
        <v>13524.199999999999</v>
      </c>
      <c r="H478" s="3">
        <f t="shared" si="14"/>
        <v>13796.549999999943</v>
      </c>
      <c r="I478" s="3">
        <v>38</v>
      </c>
      <c r="J478" s="3"/>
      <c r="K478" s="3"/>
      <c r="L478" s="3"/>
    </row>
    <row r="479" spans="1:12">
      <c r="A479" s="3">
        <v>42979</v>
      </c>
      <c r="B479" s="3">
        <v>355.4</v>
      </c>
      <c r="C479" s="4" cm="1">
        <f t="array" aca="1" ref="C479" ca="1">INDIRECT(ADDRESS(ROW()-C$3,2))-INDIRECT(ADDRESS(ROW()-C$2,2))</f>
        <v>8.0399999999999636</v>
      </c>
      <c r="D479" s="4" cm="1">
        <f t="array" aca="1" ref="D479" ca="1">INDIRECT(ADDRESS(ROW()-D$3,2))-INDIRECT(ADDRESS(ROW()-D$2,2))</f>
        <v>7.9399999999999977</v>
      </c>
      <c r="E479" s="4">
        <f t="shared" ca="1" si="15"/>
        <v>350.78</v>
      </c>
      <c r="F479" s="3">
        <v>272.34999999994403</v>
      </c>
      <c r="G479" s="3">
        <v>13505.199999999999</v>
      </c>
      <c r="H479" s="3">
        <f t="shared" si="14"/>
        <v>13777.549999999943</v>
      </c>
      <c r="I479" s="3">
        <v>38</v>
      </c>
      <c r="J479" s="3"/>
      <c r="K479" s="3"/>
      <c r="L479" s="3"/>
    </row>
    <row r="480" spans="1:12">
      <c r="A480" s="3">
        <v>42983</v>
      </c>
      <c r="B480" s="3">
        <v>349.59</v>
      </c>
      <c r="C480" s="4" cm="1">
        <f t="array" aca="1" ref="C480" ca="1">INDIRECT(ADDRESS(ROW()-C$3,2))-INDIRECT(ADDRESS(ROW()-C$2,2))</f>
        <v>-3.5900000000000318</v>
      </c>
      <c r="D480" s="4" cm="1">
        <f t="array" aca="1" ref="D480" ca="1">INDIRECT(ADDRESS(ROW()-D$3,2))-INDIRECT(ADDRESS(ROW()-D$2,2))</f>
        <v>11.729999999999961</v>
      </c>
      <c r="E480" s="4">
        <f t="shared" ca="1" si="15"/>
        <v>351.38</v>
      </c>
      <c r="F480" s="3">
        <v>13556.769999999942</v>
      </c>
      <c r="G480" s="3">
        <v>0</v>
      </c>
      <c r="H480" s="3">
        <f t="shared" si="14"/>
        <v>13556.769999999942</v>
      </c>
      <c r="I480" s="3">
        <v>0</v>
      </c>
      <c r="J480" s="3"/>
      <c r="K480" s="3"/>
      <c r="L480" s="3"/>
    </row>
    <row r="481" spans="1:12">
      <c r="A481" s="3">
        <v>42984</v>
      </c>
      <c r="B481" s="3">
        <v>344.53</v>
      </c>
      <c r="C481" s="4" cm="1">
        <f t="array" aca="1" ref="C481" ca="1">INDIRECT(ADDRESS(ROW()-C$3,2))-INDIRECT(ADDRESS(ROW()-C$2,2))</f>
        <v>-11.370000000000005</v>
      </c>
      <c r="D481" s="4" cm="1">
        <f t="array" aca="1" ref="D481" ca="1">INDIRECT(ADDRESS(ROW()-D$3,2))-INDIRECT(ADDRESS(ROW()-D$2,2))</f>
        <v>3.17999999999995</v>
      </c>
      <c r="E481" s="4">
        <f t="shared" ca="1" si="15"/>
        <v>351.38499999999999</v>
      </c>
      <c r="F481" s="3">
        <v>13556.769999999942</v>
      </c>
      <c r="G481" s="3">
        <v>0</v>
      </c>
      <c r="H481" s="3">
        <f t="shared" si="14"/>
        <v>13556.769999999942</v>
      </c>
      <c r="I481" s="3">
        <v>0</v>
      </c>
      <c r="J481" s="3"/>
      <c r="K481" s="3"/>
      <c r="L481" s="3"/>
    </row>
    <row r="482" spans="1:12">
      <c r="A482" s="3">
        <v>42985</v>
      </c>
      <c r="B482" s="3">
        <v>350.61</v>
      </c>
      <c r="C482" s="4" cm="1">
        <f t="array" aca="1" ref="C482" ca="1">INDIRECT(ADDRESS(ROW()-C$3,2))-INDIRECT(ADDRESS(ROW()-C$2,2))</f>
        <v>-4.7899999999999636</v>
      </c>
      <c r="D482" s="4" cm="1">
        <f t="array" aca="1" ref="D482" ca="1">INDIRECT(ADDRESS(ROW()-D$3,2))-INDIRECT(ADDRESS(ROW()-D$2,2))</f>
        <v>-2.1599999999999682</v>
      </c>
      <c r="E482" s="4">
        <f t="shared" ca="1" si="15"/>
        <v>350.21499999999997</v>
      </c>
      <c r="F482" s="3">
        <v>13556.769999999942</v>
      </c>
      <c r="G482" s="3">
        <v>0</v>
      </c>
      <c r="H482" s="3">
        <f t="shared" si="14"/>
        <v>13556.769999999942</v>
      </c>
      <c r="I482" s="3">
        <v>0</v>
      </c>
      <c r="J482" s="3"/>
      <c r="K482" s="3"/>
      <c r="L482" s="3"/>
    </row>
    <row r="483" spans="1:12">
      <c r="A483" s="3">
        <v>42986</v>
      </c>
      <c r="B483" s="3">
        <v>343.4</v>
      </c>
      <c r="C483" s="4" cm="1">
        <f t="array" aca="1" ref="C483" ca="1">INDIRECT(ADDRESS(ROW()-C$3,2))-INDIRECT(ADDRESS(ROW()-C$2,2))</f>
        <v>-6.1899999999999977</v>
      </c>
      <c r="D483" s="4" cm="1">
        <f t="array" aca="1" ref="D483" ca="1">INDIRECT(ADDRESS(ROW()-D$3,2))-INDIRECT(ADDRESS(ROW()-D$2,2))</f>
        <v>-9.5300000000000296</v>
      </c>
      <c r="E483" s="4">
        <f t="shared" ca="1" si="15"/>
        <v>353.005</v>
      </c>
      <c r="F483" s="3">
        <v>13556.769999999942</v>
      </c>
      <c r="G483" s="3">
        <v>0</v>
      </c>
      <c r="H483" s="3">
        <f t="shared" si="14"/>
        <v>13556.769999999942</v>
      </c>
      <c r="I483" s="3">
        <v>0</v>
      </c>
      <c r="J483" s="3"/>
      <c r="K483" s="3"/>
      <c r="L483" s="3"/>
    </row>
    <row r="484" spans="1:12">
      <c r="A484" s="3">
        <v>42989</v>
      </c>
      <c r="B484" s="3">
        <v>363.69</v>
      </c>
      <c r="C484" s="4" cm="1">
        <f t="array" aca="1" ref="C484" ca="1">INDIRECT(ADDRESS(ROW()-C$3,2))-INDIRECT(ADDRESS(ROW()-C$2,2))</f>
        <v>19.160000000000025</v>
      </c>
      <c r="D484" s="4" cm="1">
        <f t="array" aca="1" ref="D484" ca="1">INDIRECT(ADDRESS(ROW()-D$3,2))-INDIRECT(ADDRESS(ROW()-D$2,2))</f>
        <v>15.639999999999986</v>
      </c>
      <c r="E484" s="4">
        <f t="shared" ca="1" si="15"/>
        <v>346.495</v>
      </c>
      <c r="F484" s="3">
        <v>100.23999999993941</v>
      </c>
      <c r="G484" s="3">
        <v>13456.53</v>
      </c>
      <c r="H484" s="3">
        <f t="shared" si="14"/>
        <v>13556.76999999994</v>
      </c>
      <c r="I484" s="3">
        <v>37</v>
      </c>
      <c r="J484" s="3"/>
      <c r="K484" s="3"/>
      <c r="L484" s="3"/>
    </row>
    <row r="485" spans="1:12">
      <c r="A485" s="3">
        <v>42990</v>
      </c>
      <c r="B485" s="3">
        <v>362.75</v>
      </c>
      <c r="C485" s="4" cm="1">
        <f t="array" aca="1" ref="C485" ca="1">INDIRECT(ADDRESS(ROW()-C$3,2))-INDIRECT(ADDRESS(ROW()-C$2,2))</f>
        <v>12.139999999999986</v>
      </c>
      <c r="D485" s="4" cm="1">
        <f t="array" aca="1" ref="D485" ca="1">INDIRECT(ADDRESS(ROW()-D$3,2))-INDIRECT(ADDRESS(ROW()-D$2,2))</f>
        <v>17.089999999999975</v>
      </c>
      <c r="E485" s="4">
        <f t="shared" ca="1" si="15"/>
        <v>354.11</v>
      </c>
      <c r="F485" s="3">
        <v>100.23999999993941</v>
      </c>
      <c r="G485" s="3">
        <v>13421.75</v>
      </c>
      <c r="H485" s="3">
        <f t="shared" si="14"/>
        <v>13521.98999999994</v>
      </c>
      <c r="I485" s="3">
        <v>37</v>
      </c>
      <c r="J485" s="3"/>
      <c r="K485" s="3"/>
      <c r="L485" s="3"/>
    </row>
    <row r="486" spans="1:12">
      <c r="A486" s="3">
        <v>42991</v>
      </c>
      <c r="B486" s="3">
        <v>366.23</v>
      </c>
      <c r="C486" s="4" cm="1">
        <f t="array" aca="1" ref="C486" ca="1">INDIRECT(ADDRESS(ROW()-C$3,2))-INDIRECT(ADDRESS(ROW()-C$2,2))</f>
        <v>22.830000000000041</v>
      </c>
      <c r="D486" s="4" cm="1">
        <f t="array" aca="1" ref="D486" ca="1">INDIRECT(ADDRESS(ROW()-D$3,2))-INDIRECT(ADDRESS(ROW()-D$2,2))</f>
        <v>18.870000000000005</v>
      </c>
      <c r="E486" s="4">
        <f t="shared" ca="1" si="15"/>
        <v>356.68</v>
      </c>
      <c r="F486" s="3">
        <v>100.23999999993941</v>
      </c>
      <c r="G486" s="3">
        <v>13550.51</v>
      </c>
      <c r="H486" s="3">
        <f t="shared" si="14"/>
        <v>13650.74999999994</v>
      </c>
      <c r="I486" s="3">
        <v>37</v>
      </c>
      <c r="J486" s="3"/>
      <c r="K486" s="3"/>
      <c r="L486" s="3"/>
    </row>
    <row r="487" spans="1:12">
      <c r="A487" s="3">
        <v>42992</v>
      </c>
      <c r="B487" s="3">
        <v>377.64</v>
      </c>
      <c r="C487" s="4" cm="1">
        <f t="array" aca="1" ref="C487" ca="1">INDIRECT(ADDRESS(ROW()-C$3,2))-INDIRECT(ADDRESS(ROW()-C$2,2))</f>
        <v>13.949999999999989</v>
      </c>
      <c r="D487" s="4" cm="1">
        <f t="array" aca="1" ref="D487" ca="1">INDIRECT(ADDRESS(ROW()-D$3,2))-INDIRECT(ADDRESS(ROW()-D$2,2))</f>
        <v>24.45999999999998</v>
      </c>
      <c r="E487" s="4">
        <f t="shared" ca="1" si="15"/>
        <v>354.815</v>
      </c>
      <c r="F487" s="3">
        <v>100.23999999993941</v>
      </c>
      <c r="G487" s="3">
        <v>13972.68</v>
      </c>
      <c r="H487" s="3">
        <f t="shared" si="14"/>
        <v>14072.91999999994</v>
      </c>
      <c r="I487" s="3">
        <v>37</v>
      </c>
      <c r="J487" s="3"/>
      <c r="K487" s="3"/>
      <c r="L487" s="3"/>
    </row>
    <row r="488" spans="1:12">
      <c r="A488" s="3">
        <v>42993</v>
      </c>
      <c r="B488" s="3">
        <v>379.81</v>
      </c>
      <c r="C488" s="4" cm="1">
        <f t="array" aca="1" ref="C488" ca="1">INDIRECT(ADDRESS(ROW()-C$3,2))-INDIRECT(ADDRESS(ROW()-C$2,2))</f>
        <v>17.060000000000002</v>
      </c>
      <c r="D488" s="4" cm="1">
        <f t="array" aca="1" ref="D488" ca="1">INDIRECT(ADDRESS(ROW()-D$3,2))-INDIRECT(ADDRESS(ROW()-D$2,2))</f>
        <v>23.910000000000025</v>
      </c>
      <c r="E488" s="4">
        <f t="shared" ca="1" si="15"/>
        <v>370.66499999999996</v>
      </c>
      <c r="F488" s="3">
        <v>100.23999999993941</v>
      </c>
      <c r="G488" s="3">
        <v>14052.97</v>
      </c>
      <c r="H488" s="3">
        <f t="shared" si="14"/>
        <v>14153.209999999939</v>
      </c>
      <c r="I488" s="3">
        <v>37</v>
      </c>
      <c r="J488" s="3"/>
      <c r="K488" s="3"/>
      <c r="L488" s="3"/>
    </row>
    <row r="489" spans="1:12">
      <c r="A489" s="3">
        <v>42996</v>
      </c>
      <c r="B489" s="3">
        <v>385</v>
      </c>
      <c r="C489" s="4" cm="1">
        <f t="array" aca="1" ref="C489" ca="1">INDIRECT(ADDRESS(ROW()-C$3,2))-INDIRECT(ADDRESS(ROW()-C$2,2))</f>
        <v>18.769999999999982</v>
      </c>
      <c r="D489" s="4" cm="1">
        <f t="array" aca="1" ref="D489" ca="1">INDIRECT(ADDRESS(ROW()-D$3,2))-INDIRECT(ADDRESS(ROW()-D$2,2))</f>
        <v>29.600000000000023</v>
      </c>
      <c r="E489" s="4">
        <f t="shared" ca="1" si="15"/>
        <v>371.28</v>
      </c>
      <c r="F489" s="3">
        <v>100.23999999993941</v>
      </c>
      <c r="G489" s="3">
        <v>14245</v>
      </c>
      <c r="H489" s="3">
        <f t="shared" si="14"/>
        <v>14345.23999999994</v>
      </c>
      <c r="I489" s="3">
        <v>37</v>
      </c>
      <c r="J489" s="3"/>
      <c r="K489" s="3"/>
      <c r="L489" s="3"/>
    </row>
    <row r="490" spans="1:12">
      <c r="A490" s="3">
        <v>42997</v>
      </c>
      <c r="B490" s="3">
        <v>375.1</v>
      </c>
      <c r="C490" s="4" cm="1">
        <f t="array" aca="1" ref="C490" ca="1">INDIRECT(ADDRESS(ROW()-C$3,2))-INDIRECT(ADDRESS(ROW()-C$2,2))</f>
        <v>-2.5399999999999636</v>
      </c>
      <c r="D490" s="4" cm="1">
        <f t="array" aca="1" ref="D490" ca="1">INDIRECT(ADDRESS(ROW()-D$3,2))-INDIRECT(ADDRESS(ROW()-D$2,2))</f>
        <v>25.510000000000048</v>
      </c>
      <c r="E490" s="4">
        <f t="shared" ca="1" si="15"/>
        <v>375.61500000000001</v>
      </c>
      <c r="F490" s="3">
        <v>13978.93999999994</v>
      </c>
      <c r="G490" s="3">
        <v>0</v>
      </c>
      <c r="H490" s="3">
        <f t="shared" si="14"/>
        <v>13978.93999999994</v>
      </c>
      <c r="I490" s="3">
        <v>0</v>
      </c>
      <c r="J490" s="3"/>
      <c r="K490" s="3"/>
      <c r="L490" s="3"/>
    </row>
    <row r="491" spans="1:12">
      <c r="A491" s="3">
        <v>42998</v>
      </c>
      <c r="B491" s="3">
        <v>373.91</v>
      </c>
      <c r="C491" s="4" cm="1">
        <f t="array" aca="1" ref="C491" ca="1">INDIRECT(ADDRESS(ROW()-C$3,2))-INDIRECT(ADDRESS(ROW()-C$2,2))</f>
        <v>-5.8999999999999773</v>
      </c>
      <c r="D491" s="4" cm="1">
        <f t="array" aca="1" ref="D491" ca="1">INDIRECT(ADDRESS(ROW()-D$3,2))-INDIRECT(ADDRESS(ROW()-D$2,2))</f>
        <v>29.380000000000052</v>
      </c>
      <c r="E491" s="4">
        <f t="shared" ca="1" si="15"/>
        <v>376.37</v>
      </c>
      <c r="F491" s="3">
        <v>13978.93999999994</v>
      </c>
      <c r="G491" s="3">
        <v>0</v>
      </c>
      <c r="H491" s="3">
        <f t="shared" si="14"/>
        <v>13978.93999999994</v>
      </c>
      <c r="I491" s="3">
        <v>0</v>
      </c>
      <c r="J491" s="3"/>
      <c r="K491" s="3"/>
      <c r="L491" s="3"/>
    </row>
    <row r="492" spans="1:12">
      <c r="A492" s="3">
        <v>42999</v>
      </c>
      <c r="B492" s="3">
        <v>366.48</v>
      </c>
      <c r="C492" s="4" cm="1">
        <f t="array" aca="1" ref="C492" ca="1">INDIRECT(ADDRESS(ROW()-C$3,2))-INDIRECT(ADDRESS(ROW()-C$2,2))</f>
        <v>-18.519999999999982</v>
      </c>
      <c r="D492" s="4" cm="1">
        <f t="array" aca="1" ref="D492" ca="1">INDIRECT(ADDRESS(ROW()-D$3,2))-INDIRECT(ADDRESS(ROW()-D$2,2))</f>
        <v>15.870000000000005</v>
      </c>
      <c r="E492" s="4">
        <f t="shared" ca="1" si="15"/>
        <v>376.86</v>
      </c>
      <c r="F492" s="3">
        <v>13978.93999999994</v>
      </c>
      <c r="G492" s="3">
        <v>0</v>
      </c>
      <c r="H492" s="3">
        <f t="shared" si="14"/>
        <v>13978.93999999994</v>
      </c>
      <c r="I492" s="3">
        <v>0</v>
      </c>
      <c r="J492" s="3"/>
      <c r="K492" s="3"/>
      <c r="L492" s="3"/>
    </row>
    <row r="493" spans="1:12">
      <c r="A493" s="3">
        <v>43000</v>
      </c>
      <c r="B493" s="3">
        <v>351.09</v>
      </c>
      <c r="C493" s="4" cm="1">
        <f t="array" aca="1" ref="C493" ca="1">INDIRECT(ADDRESS(ROW()-C$3,2))-INDIRECT(ADDRESS(ROW()-C$2,2))</f>
        <v>-24.010000000000048</v>
      </c>
      <c r="D493" s="4" cm="1">
        <f t="array" aca="1" ref="D493" ca="1">INDIRECT(ADDRESS(ROW()-D$3,2))-INDIRECT(ADDRESS(ROW()-D$2,2))</f>
        <v>7.6899999999999977</v>
      </c>
      <c r="E493" s="4">
        <f t="shared" ca="1" si="15"/>
        <v>375.74</v>
      </c>
      <c r="F493" s="3">
        <v>13978.93999999994</v>
      </c>
      <c r="G493" s="3">
        <v>0</v>
      </c>
      <c r="H493" s="3">
        <f t="shared" si="14"/>
        <v>13978.93999999994</v>
      </c>
      <c r="I493" s="3">
        <v>0</v>
      </c>
      <c r="J493" s="3"/>
      <c r="K493" s="3"/>
      <c r="L493" s="3"/>
    </row>
    <row r="494" spans="1:12">
      <c r="A494" s="3">
        <v>43003</v>
      </c>
      <c r="B494" s="3">
        <v>344.99</v>
      </c>
      <c r="C494" s="4" cm="1">
        <f t="array" aca="1" ref="C494" ca="1">INDIRECT(ADDRESS(ROW()-C$3,2))-INDIRECT(ADDRESS(ROW()-C$2,2))</f>
        <v>-28.920000000000016</v>
      </c>
      <c r="D494" s="4" cm="1">
        <f t="array" aca="1" ref="D494" ca="1">INDIRECT(ADDRESS(ROW()-D$3,2))-INDIRECT(ADDRESS(ROW()-D$2,2))</f>
        <v>-18.699999999999989</v>
      </c>
      <c r="E494" s="4">
        <f t="shared" ca="1" si="15"/>
        <v>363.09500000000003</v>
      </c>
      <c r="F494" s="3">
        <v>13978.93999999994</v>
      </c>
      <c r="G494" s="3">
        <v>0</v>
      </c>
      <c r="H494" s="3">
        <f t="shared" si="14"/>
        <v>13978.93999999994</v>
      </c>
      <c r="I494" s="3">
        <v>0</v>
      </c>
      <c r="J494" s="3"/>
      <c r="K494" s="3"/>
      <c r="L494" s="3"/>
    </row>
    <row r="495" spans="1:12">
      <c r="A495" s="3">
        <v>43004</v>
      </c>
      <c r="B495" s="3">
        <v>345.25</v>
      </c>
      <c r="C495" s="4" cm="1">
        <f t="array" aca="1" ref="C495" ca="1">INDIRECT(ADDRESS(ROW()-C$3,2))-INDIRECT(ADDRESS(ROW()-C$2,2))</f>
        <v>-21.230000000000018</v>
      </c>
      <c r="D495" s="4" cm="1">
        <f t="array" aca="1" ref="D495" ca="1">INDIRECT(ADDRESS(ROW()-D$3,2))-INDIRECT(ADDRESS(ROW()-D$2,2))</f>
        <v>-17.5</v>
      </c>
      <c r="E495" s="4">
        <f t="shared" ca="1" si="15"/>
        <v>359.45000000000005</v>
      </c>
      <c r="F495" s="3">
        <v>13978.93999999994</v>
      </c>
      <c r="G495" s="3">
        <v>0</v>
      </c>
      <c r="H495" s="3">
        <f t="shared" si="14"/>
        <v>13978.93999999994</v>
      </c>
      <c r="I495" s="3">
        <v>0</v>
      </c>
      <c r="J495" s="3"/>
      <c r="K495" s="3"/>
      <c r="L495" s="3"/>
    </row>
    <row r="496" spans="1:12">
      <c r="A496" s="3">
        <v>43005</v>
      </c>
      <c r="B496" s="3">
        <v>340.97</v>
      </c>
      <c r="C496" s="4" cm="1">
        <f t="array" aca="1" ref="C496" ca="1">INDIRECT(ADDRESS(ROW()-C$3,2))-INDIRECT(ADDRESS(ROW()-C$2,2))</f>
        <v>-10.119999999999948</v>
      </c>
      <c r="D496" s="4" cm="1">
        <f t="array" aca="1" ref="D496" ca="1">INDIRECT(ADDRESS(ROW()-D$3,2))-INDIRECT(ADDRESS(ROW()-D$2,2))</f>
        <v>-25.259999999999991</v>
      </c>
      <c r="E496" s="4">
        <f t="shared" ca="1" si="15"/>
        <v>355.86500000000001</v>
      </c>
      <c r="F496" s="3">
        <v>13978.93999999994</v>
      </c>
      <c r="G496" s="3">
        <v>0</v>
      </c>
      <c r="H496" s="3">
        <f t="shared" si="14"/>
        <v>13978.93999999994</v>
      </c>
      <c r="I496" s="3">
        <v>0</v>
      </c>
      <c r="J496" s="3"/>
      <c r="K496" s="3"/>
      <c r="L496" s="3"/>
    </row>
    <row r="497" spans="1:12">
      <c r="A497" s="3">
        <v>43006</v>
      </c>
      <c r="B497" s="3">
        <v>339.6</v>
      </c>
      <c r="C497" s="4" cm="1">
        <f t="array" aca="1" ref="C497" ca="1">INDIRECT(ADDRESS(ROW()-C$3,2))-INDIRECT(ADDRESS(ROW()-C$2,2))</f>
        <v>-5.3899999999999864</v>
      </c>
      <c r="D497" s="4" cm="1">
        <f t="array" aca="1" ref="D497" ca="1">INDIRECT(ADDRESS(ROW()-D$3,2))-INDIRECT(ADDRESS(ROW()-D$2,2))</f>
        <v>-38.039999999999964</v>
      </c>
      <c r="E497" s="4">
        <f t="shared" ca="1" si="15"/>
        <v>346.03</v>
      </c>
      <c r="F497" s="3">
        <v>13978.93999999994</v>
      </c>
      <c r="G497" s="3">
        <v>0</v>
      </c>
      <c r="H497" s="3">
        <f t="shared" si="14"/>
        <v>13978.93999999994</v>
      </c>
      <c r="I497" s="3">
        <v>0</v>
      </c>
      <c r="J497" s="3"/>
      <c r="K497" s="3"/>
      <c r="L497" s="3"/>
    </row>
    <row r="498" spans="1:12">
      <c r="A498" s="3">
        <v>43007</v>
      </c>
      <c r="B498" s="3">
        <v>341.1</v>
      </c>
      <c r="C498" s="4" cm="1">
        <f t="array" aca="1" ref="C498" ca="1">INDIRECT(ADDRESS(ROW()-C$3,2))-INDIRECT(ADDRESS(ROW()-C$2,2))</f>
        <v>-4.1499999999999773</v>
      </c>
      <c r="D498" s="4" cm="1">
        <f t="array" aca="1" ref="D498" ca="1">INDIRECT(ADDRESS(ROW()-D$3,2))-INDIRECT(ADDRESS(ROW()-D$2,2))</f>
        <v>-38.70999999999998</v>
      </c>
      <c r="E498" s="4">
        <f t="shared" ca="1" si="15"/>
        <v>342.29500000000002</v>
      </c>
      <c r="F498" s="3">
        <v>13978.93999999994</v>
      </c>
      <c r="G498" s="3">
        <v>0</v>
      </c>
      <c r="H498" s="3">
        <f t="shared" si="14"/>
        <v>13978.93999999994</v>
      </c>
      <c r="I498" s="3">
        <v>0</v>
      </c>
      <c r="J498" s="3"/>
      <c r="K498" s="3"/>
      <c r="L498" s="3"/>
    </row>
    <row r="499" spans="1:12">
      <c r="A499" s="3">
        <v>43010</v>
      </c>
      <c r="B499" s="3">
        <v>341.53</v>
      </c>
      <c r="C499" s="4" cm="1">
        <f t="array" aca="1" ref="C499" ca="1">INDIRECT(ADDRESS(ROW()-C$3,2))-INDIRECT(ADDRESS(ROW()-C$2,2))</f>
        <v>0.55999999999994543</v>
      </c>
      <c r="D499" s="4" cm="1">
        <f t="array" aca="1" ref="D499" ca="1">INDIRECT(ADDRESS(ROW()-D$3,2))-INDIRECT(ADDRESS(ROW()-D$2,2))</f>
        <v>-43.470000000000027</v>
      </c>
      <c r="E499" s="4">
        <f t="shared" ca="1" si="15"/>
        <v>343.17500000000001</v>
      </c>
      <c r="F499" s="3">
        <v>317.73999999993475</v>
      </c>
      <c r="G499" s="3">
        <v>13661.199999999999</v>
      </c>
      <c r="H499" s="3">
        <f t="shared" si="14"/>
        <v>13978.939999999933</v>
      </c>
      <c r="I499" s="3">
        <v>40</v>
      </c>
      <c r="J499" s="3"/>
      <c r="K499" s="3"/>
      <c r="L499" s="3"/>
    </row>
    <row r="500" spans="1:12">
      <c r="A500" s="3">
        <v>43011</v>
      </c>
      <c r="B500" s="3">
        <v>348.14</v>
      </c>
      <c r="C500" s="4" cm="1">
        <f t="array" aca="1" ref="C500" ca="1">INDIRECT(ADDRESS(ROW()-C$3,2))-INDIRECT(ADDRESS(ROW()-C$2,2))</f>
        <v>8.5399999999999636</v>
      </c>
      <c r="D500" s="4" cm="1">
        <f t="array" aca="1" ref="D500" ca="1">INDIRECT(ADDRESS(ROW()-D$3,2))-INDIRECT(ADDRESS(ROW()-D$2,2))</f>
        <v>-26.960000000000036</v>
      </c>
      <c r="E500" s="4">
        <f t="shared" ca="1" si="15"/>
        <v>341.25</v>
      </c>
      <c r="F500" s="3">
        <v>317.73999999993475</v>
      </c>
      <c r="G500" s="3">
        <v>13925.599999999999</v>
      </c>
      <c r="H500" s="3">
        <f t="shared" si="14"/>
        <v>14243.339999999933</v>
      </c>
      <c r="I500" s="3">
        <v>40</v>
      </c>
      <c r="J500" s="3"/>
      <c r="K500" s="3"/>
      <c r="L500" s="3"/>
    </row>
    <row r="501" spans="1:12">
      <c r="A501" s="3">
        <v>43012</v>
      </c>
      <c r="B501" s="3">
        <v>355.01</v>
      </c>
      <c r="C501" s="4" cm="1">
        <f t="array" aca="1" ref="C501" ca="1">INDIRECT(ADDRESS(ROW()-C$3,2))-INDIRECT(ADDRESS(ROW()-C$2,2))</f>
        <v>13.909999999999968</v>
      </c>
      <c r="D501" s="4" cm="1">
        <f t="array" aca="1" ref="D501" ca="1">INDIRECT(ADDRESS(ROW()-D$3,2))-INDIRECT(ADDRESS(ROW()-D$2,2))</f>
        <v>-18.900000000000034</v>
      </c>
      <c r="E501" s="4">
        <f t="shared" ca="1" si="15"/>
        <v>343.87</v>
      </c>
      <c r="F501" s="3">
        <v>317.73999999993475</v>
      </c>
      <c r="G501" s="3">
        <v>14200.4</v>
      </c>
      <c r="H501" s="3">
        <f t="shared" si="14"/>
        <v>14518.139999999934</v>
      </c>
      <c r="I501" s="3">
        <v>40</v>
      </c>
      <c r="J501" s="3"/>
      <c r="K501" s="3"/>
      <c r="L501" s="3"/>
    </row>
    <row r="502" spans="1:12">
      <c r="A502" s="3">
        <v>43013</v>
      </c>
      <c r="B502" s="3">
        <v>355.33</v>
      </c>
      <c r="C502" s="4" cm="1">
        <f t="array" aca="1" ref="C502" ca="1">INDIRECT(ADDRESS(ROW()-C$3,2))-INDIRECT(ADDRESS(ROW()-C$2,2))</f>
        <v>13.800000000000011</v>
      </c>
      <c r="D502" s="4" cm="1">
        <f t="array" aca="1" ref="D502" ca="1">INDIRECT(ADDRESS(ROW()-D$3,2))-INDIRECT(ADDRESS(ROW()-D$2,2))</f>
        <v>-11.150000000000034</v>
      </c>
      <c r="E502" s="4">
        <f t="shared" ca="1" si="15"/>
        <v>348.05500000000001</v>
      </c>
      <c r="F502" s="3">
        <v>317.73999999993475</v>
      </c>
      <c r="G502" s="3">
        <v>14213.199999999999</v>
      </c>
      <c r="H502" s="3">
        <f t="shared" si="14"/>
        <v>14530.939999999933</v>
      </c>
      <c r="I502" s="3">
        <v>40</v>
      </c>
      <c r="J502" s="3"/>
      <c r="K502" s="3"/>
      <c r="L502" s="3"/>
    </row>
    <row r="503" spans="1:12">
      <c r="A503" s="3">
        <v>43014</v>
      </c>
      <c r="B503" s="3">
        <v>356.88</v>
      </c>
      <c r="C503" s="4" cm="1">
        <f t="array" aca="1" ref="C503" ca="1">INDIRECT(ADDRESS(ROW()-C$3,2))-INDIRECT(ADDRESS(ROW()-C$2,2))</f>
        <v>8.7400000000000091</v>
      </c>
      <c r="D503" s="4" cm="1">
        <f t="array" aca="1" ref="D503" ca="1">INDIRECT(ADDRESS(ROW()-D$3,2))-INDIRECT(ADDRESS(ROW()-D$2,2))</f>
        <v>5.7900000000000205</v>
      </c>
      <c r="E503" s="4">
        <f t="shared" ca="1" si="15"/>
        <v>348.42999999999995</v>
      </c>
      <c r="F503" s="3">
        <v>317.73999999993475</v>
      </c>
      <c r="G503" s="3">
        <v>14275.2</v>
      </c>
      <c r="H503" s="3">
        <f t="shared" si="14"/>
        <v>14592.939999999935</v>
      </c>
      <c r="I503" s="3">
        <v>40</v>
      </c>
      <c r="J503" s="3"/>
      <c r="K503" s="3"/>
      <c r="L503" s="3"/>
    </row>
    <row r="504" spans="1:12">
      <c r="A504" s="3">
        <v>43017</v>
      </c>
      <c r="B504" s="3">
        <v>342.94</v>
      </c>
      <c r="C504" s="4" cm="1">
        <f t="array" aca="1" ref="C504" ca="1">INDIRECT(ADDRESS(ROW()-C$3,2))-INDIRECT(ADDRESS(ROW()-C$2,2))</f>
        <v>-12.069999999999993</v>
      </c>
      <c r="D504" s="4" cm="1">
        <f t="array" aca="1" ref="D504" ca="1">INDIRECT(ADDRESS(ROW()-D$3,2))-INDIRECT(ADDRESS(ROW()-D$2,2))</f>
        <v>-2.0500000000000114</v>
      </c>
      <c r="E504" s="4">
        <f t="shared" ca="1" si="15"/>
        <v>352.51</v>
      </c>
      <c r="F504" s="3">
        <v>14035.339999999935</v>
      </c>
      <c r="G504" s="3">
        <v>0</v>
      </c>
      <c r="H504" s="3">
        <f t="shared" si="14"/>
        <v>14035.339999999935</v>
      </c>
      <c r="I504" s="3">
        <v>0</v>
      </c>
      <c r="J504" s="3"/>
      <c r="K504" s="3"/>
      <c r="L504" s="3"/>
    </row>
    <row r="505" spans="1:12">
      <c r="A505" s="3">
        <v>43018</v>
      </c>
      <c r="B505" s="3">
        <v>355.59</v>
      </c>
      <c r="C505" s="4" cm="1">
        <f t="array" aca="1" ref="C505" ca="1">INDIRECT(ADDRESS(ROW()-C$3,2))-INDIRECT(ADDRESS(ROW()-C$2,2))</f>
        <v>0.25999999999999091</v>
      </c>
      <c r="D505" s="4" cm="1">
        <f t="array" aca="1" ref="D505" ca="1">INDIRECT(ADDRESS(ROW()-D$3,2))-INDIRECT(ADDRESS(ROW()-D$2,2))</f>
        <v>10.339999999999975</v>
      </c>
      <c r="E505" s="4">
        <f t="shared" ca="1" si="15"/>
        <v>348.97500000000002</v>
      </c>
      <c r="F505" s="3">
        <v>167.32999999993029</v>
      </c>
      <c r="G505" s="3">
        <v>13868.009999999998</v>
      </c>
      <c r="H505" s="3">
        <f t="shared" si="14"/>
        <v>14035.339999999929</v>
      </c>
      <c r="I505" s="3">
        <v>39</v>
      </c>
      <c r="J505" s="3"/>
      <c r="K505" s="3"/>
      <c r="L505" s="3"/>
    </row>
    <row r="506" spans="1:12">
      <c r="A506" s="3">
        <v>43019</v>
      </c>
      <c r="B506" s="3">
        <v>354.6</v>
      </c>
      <c r="C506" s="4" cm="1">
        <f t="array" aca="1" ref="C506" ca="1">INDIRECT(ADDRESS(ROW()-C$3,2))-INDIRECT(ADDRESS(ROW()-C$2,2))</f>
        <v>-2.2799999999999727</v>
      </c>
      <c r="D506" s="4" cm="1">
        <f t="array" aca="1" ref="D506" ca="1">INDIRECT(ADDRESS(ROW()-D$3,2))-INDIRECT(ADDRESS(ROW()-D$2,2))</f>
        <v>13.629999999999995</v>
      </c>
      <c r="E506" s="4">
        <f t="shared" ca="1" si="15"/>
        <v>355.46</v>
      </c>
      <c r="F506" s="3">
        <v>13996.729999999932</v>
      </c>
      <c r="G506" s="3">
        <v>0</v>
      </c>
      <c r="H506" s="3">
        <f t="shared" si="14"/>
        <v>13996.729999999932</v>
      </c>
      <c r="I506" s="3">
        <v>0</v>
      </c>
      <c r="J506" s="3"/>
      <c r="K506" s="3"/>
      <c r="L506" s="3"/>
    </row>
    <row r="507" spans="1:12">
      <c r="A507" s="3">
        <v>43020</v>
      </c>
      <c r="B507" s="3">
        <v>355.68</v>
      </c>
      <c r="C507" s="4" cm="1">
        <f t="array" aca="1" ref="C507" ca="1">INDIRECT(ADDRESS(ROW()-C$3,2))-INDIRECT(ADDRESS(ROW()-C$2,2))</f>
        <v>12.740000000000009</v>
      </c>
      <c r="D507" s="4" cm="1">
        <f t="array" aca="1" ref="D507" ca="1">INDIRECT(ADDRESS(ROW()-D$3,2))-INDIRECT(ADDRESS(ROW()-D$2,2))</f>
        <v>16.079999999999984</v>
      </c>
      <c r="E507" s="4">
        <f t="shared" ca="1" si="15"/>
        <v>355.74</v>
      </c>
      <c r="F507" s="3">
        <v>125.20999999992512</v>
      </c>
      <c r="G507" s="3">
        <v>13871.52</v>
      </c>
      <c r="H507" s="3">
        <f t="shared" si="14"/>
        <v>13996.729999999925</v>
      </c>
      <c r="I507" s="3">
        <v>39</v>
      </c>
      <c r="J507" s="3"/>
      <c r="K507" s="3"/>
      <c r="L507" s="3"/>
    </row>
    <row r="508" spans="1:12">
      <c r="A508" s="3">
        <v>43021</v>
      </c>
      <c r="B508" s="3">
        <v>355.57</v>
      </c>
      <c r="C508" s="4" cm="1">
        <f t="array" aca="1" ref="C508" ca="1">INDIRECT(ADDRESS(ROW()-C$3,2))-INDIRECT(ADDRESS(ROW()-C$2,2))</f>
        <v>-1.999999999998181E-2</v>
      </c>
      <c r="D508" s="4" cm="1">
        <f t="array" aca="1" ref="D508" ca="1">INDIRECT(ADDRESS(ROW()-D$3,2))-INDIRECT(ADDRESS(ROW()-D$2,2))</f>
        <v>14.46999999999997</v>
      </c>
      <c r="E508" s="4">
        <f t="shared" ca="1" si="15"/>
        <v>349.31</v>
      </c>
      <c r="F508" s="3">
        <v>13992.439999999924</v>
      </c>
      <c r="G508" s="3">
        <v>0</v>
      </c>
      <c r="H508" s="3">
        <f t="shared" si="14"/>
        <v>13992.439999999924</v>
      </c>
      <c r="I508" s="3">
        <v>0</v>
      </c>
      <c r="J508" s="3"/>
      <c r="K508" s="3"/>
      <c r="L508" s="3"/>
    </row>
    <row r="509" spans="1:12">
      <c r="A509" s="3">
        <v>43024</v>
      </c>
      <c r="B509" s="3">
        <v>350.6</v>
      </c>
      <c r="C509" s="4" cm="1">
        <f t="array" aca="1" ref="C509" ca="1">INDIRECT(ADDRESS(ROW()-C$3,2))-INDIRECT(ADDRESS(ROW()-C$2,2))</f>
        <v>-4</v>
      </c>
      <c r="D509" s="4" cm="1">
        <f t="array" aca="1" ref="D509" ca="1">INDIRECT(ADDRESS(ROW()-D$3,2))-INDIRECT(ADDRESS(ROW()-D$2,2))</f>
        <v>9.07000000000005</v>
      </c>
      <c r="E509" s="4">
        <f t="shared" ca="1" si="15"/>
        <v>355.58</v>
      </c>
      <c r="F509" s="3">
        <v>13992.439999999924</v>
      </c>
      <c r="G509" s="3">
        <v>0</v>
      </c>
      <c r="H509" s="3">
        <f t="shared" si="14"/>
        <v>13992.439999999924</v>
      </c>
      <c r="I509" s="3">
        <v>0</v>
      </c>
      <c r="J509" s="3"/>
      <c r="K509" s="3"/>
      <c r="L509" s="3"/>
    </row>
    <row r="510" spans="1:12">
      <c r="A510" s="3">
        <v>43025</v>
      </c>
      <c r="B510" s="3">
        <v>355.75</v>
      </c>
      <c r="C510" s="4" cm="1">
        <f t="array" aca="1" ref="C510" ca="1">INDIRECT(ADDRESS(ROW()-C$3,2))-INDIRECT(ADDRESS(ROW()-C$2,2))</f>
        <v>6.9999999999993179E-2</v>
      </c>
      <c r="D510" s="4" cm="1">
        <f t="array" aca="1" ref="D510" ca="1">INDIRECT(ADDRESS(ROW()-D$3,2))-INDIRECT(ADDRESS(ROW()-D$2,2))</f>
        <v>7.6100000000000136</v>
      </c>
      <c r="E510" s="4">
        <f t="shared" ca="1" si="15"/>
        <v>352.6</v>
      </c>
      <c r="F510" s="3">
        <v>118.18999999992411</v>
      </c>
      <c r="G510" s="3">
        <v>13874.25</v>
      </c>
      <c r="H510" s="3">
        <f t="shared" si="14"/>
        <v>13992.439999999924</v>
      </c>
      <c r="I510" s="3">
        <v>39</v>
      </c>
      <c r="J510" s="3"/>
      <c r="K510" s="3"/>
      <c r="L510" s="3"/>
    </row>
    <row r="511" spans="1:12">
      <c r="A511" s="3">
        <v>43026</v>
      </c>
      <c r="B511" s="3">
        <v>359.65</v>
      </c>
      <c r="C511" s="4" cm="1">
        <f t="array" aca="1" ref="C511" ca="1">INDIRECT(ADDRESS(ROW()-C$3,2))-INDIRECT(ADDRESS(ROW()-C$2,2))</f>
        <v>4.0799999999999841</v>
      </c>
      <c r="D511" s="4" cm="1">
        <f t="array" aca="1" ref="D511" ca="1">INDIRECT(ADDRESS(ROW()-D$3,2))-INDIRECT(ADDRESS(ROW()-D$2,2))</f>
        <v>4.6399999999999864</v>
      </c>
      <c r="E511" s="4">
        <f t="shared" ca="1" si="15"/>
        <v>355.71500000000003</v>
      </c>
      <c r="F511" s="3">
        <v>118.18999999992411</v>
      </c>
      <c r="G511" s="3">
        <v>14026.349999999999</v>
      </c>
      <c r="H511" s="3">
        <f t="shared" si="14"/>
        <v>14144.539999999923</v>
      </c>
      <c r="I511" s="3">
        <v>39</v>
      </c>
      <c r="J511" s="3"/>
      <c r="K511" s="3"/>
      <c r="L511" s="3"/>
    </row>
    <row r="512" spans="1:12">
      <c r="A512" s="3">
        <v>43027</v>
      </c>
      <c r="B512" s="3">
        <v>351.81</v>
      </c>
      <c r="C512" s="4" cm="1">
        <f t="array" aca="1" ref="C512" ca="1">INDIRECT(ADDRESS(ROW()-C$3,2))-INDIRECT(ADDRESS(ROW()-C$2,2))</f>
        <v>1.2099999999999795</v>
      </c>
      <c r="D512" s="4" cm="1">
        <f t="array" aca="1" ref="D512" ca="1">INDIRECT(ADDRESS(ROW()-D$3,2))-INDIRECT(ADDRESS(ROW()-D$2,2))</f>
        <v>-3.5199999999999818</v>
      </c>
      <c r="E512" s="4">
        <f t="shared" ca="1" si="15"/>
        <v>357.61</v>
      </c>
      <c r="F512" s="3">
        <v>118.18999999992411</v>
      </c>
      <c r="G512" s="3">
        <v>13720.59</v>
      </c>
      <c r="H512" s="3">
        <f t="shared" si="14"/>
        <v>13838.779999999924</v>
      </c>
      <c r="I512" s="3">
        <v>39</v>
      </c>
      <c r="J512" s="3"/>
      <c r="K512" s="3"/>
      <c r="L512" s="3"/>
    </row>
    <row r="513" spans="1:12">
      <c r="A513" s="3">
        <v>43028</v>
      </c>
      <c r="B513" s="3">
        <v>345.1</v>
      </c>
      <c r="C513" s="4" cm="1">
        <f t="array" aca="1" ref="C513" ca="1">INDIRECT(ADDRESS(ROW()-C$3,2))-INDIRECT(ADDRESS(ROW()-C$2,2))</f>
        <v>-10.649999999999977</v>
      </c>
      <c r="D513" s="4" cm="1">
        <f t="array" aca="1" ref="D513" ca="1">INDIRECT(ADDRESS(ROW()-D$3,2))-INDIRECT(ADDRESS(ROW()-D$2,2))</f>
        <v>-11.779999999999973</v>
      </c>
      <c r="E513" s="4">
        <f t="shared" ca="1" si="15"/>
        <v>351.20500000000004</v>
      </c>
      <c r="F513" s="3">
        <v>13577.089999999926</v>
      </c>
      <c r="G513" s="3">
        <v>0</v>
      </c>
      <c r="H513" s="3">
        <f t="shared" si="14"/>
        <v>13577.089999999926</v>
      </c>
      <c r="I513" s="3">
        <v>0</v>
      </c>
      <c r="J513" s="3"/>
      <c r="K513" s="3"/>
      <c r="L513" s="3"/>
    </row>
    <row r="514" spans="1:12">
      <c r="A514" s="3">
        <v>43031</v>
      </c>
      <c r="B514" s="3">
        <v>337.02</v>
      </c>
      <c r="C514" s="4" cm="1">
        <f t="array" aca="1" ref="C514" ca="1">INDIRECT(ADDRESS(ROW()-C$3,2))-INDIRECT(ADDRESS(ROW()-C$2,2))</f>
        <v>-22.629999999999995</v>
      </c>
      <c r="D514" s="4" cm="1">
        <f t="array" aca="1" ref="D514" ca="1">INDIRECT(ADDRESS(ROW()-D$3,2))-INDIRECT(ADDRESS(ROW()-D$2,2))</f>
        <v>-5.9200000000000159</v>
      </c>
      <c r="E514" s="4">
        <f t="shared" ca="1" si="15"/>
        <v>350.42500000000001</v>
      </c>
      <c r="F514" s="3">
        <v>13577.089999999926</v>
      </c>
      <c r="G514" s="3">
        <v>0</v>
      </c>
      <c r="H514" s="3">
        <f t="shared" si="14"/>
        <v>13577.089999999926</v>
      </c>
      <c r="I514" s="3">
        <v>0</v>
      </c>
      <c r="J514" s="3"/>
      <c r="K514" s="3"/>
      <c r="L514" s="3"/>
    </row>
    <row r="515" spans="1:12">
      <c r="A515" s="3">
        <v>43032</v>
      </c>
      <c r="B515" s="3">
        <v>337.34</v>
      </c>
      <c r="C515" s="4" cm="1">
        <f t="array" aca="1" ref="C515" ca="1">INDIRECT(ADDRESS(ROW()-C$3,2))-INDIRECT(ADDRESS(ROW()-C$2,2))</f>
        <v>-14.470000000000027</v>
      </c>
      <c r="D515" s="4" cm="1">
        <f t="array" aca="1" ref="D515" ca="1">INDIRECT(ADDRESS(ROW()-D$3,2))-INDIRECT(ADDRESS(ROW()-D$2,2))</f>
        <v>-18.25</v>
      </c>
      <c r="E515" s="4">
        <f t="shared" ca="1" si="15"/>
        <v>348.33499999999998</v>
      </c>
      <c r="F515" s="3">
        <v>13577.089999999926</v>
      </c>
      <c r="G515" s="3">
        <v>0</v>
      </c>
      <c r="H515" s="3">
        <f t="shared" si="14"/>
        <v>13577.089999999926</v>
      </c>
      <c r="I515" s="3">
        <v>0</v>
      </c>
      <c r="J515" s="3"/>
      <c r="K515" s="3"/>
      <c r="L515" s="3"/>
    </row>
    <row r="516" spans="1:12">
      <c r="A516" s="3">
        <v>43033</v>
      </c>
      <c r="B516" s="3">
        <v>325.83999999999997</v>
      </c>
      <c r="C516" s="4" cm="1">
        <f t="array" aca="1" ref="C516" ca="1">INDIRECT(ADDRESS(ROW()-C$3,2))-INDIRECT(ADDRESS(ROW()-C$2,2))</f>
        <v>-19.260000000000048</v>
      </c>
      <c r="D516" s="4" cm="1">
        <f t="array" aca="1" ref="D516" ca="1">INDIRECT(ADDRESS(ROW()-D$3,2))-INDIRECT(ADDRESS(ROW()-D$2,2))</f>
        <v>-28.760000000000048</v>
      </c>
      <c r="E516" s="4">
        <f t="shared" ca="1" si="15"/>
        <v>344.57499999999999</v>
      </c>
      <c r="F516" s="3">
        <v>13577.089999999926</v>
      </c>
      <c r="G516" s="3">
        <v>0</v>
      </c>
      <c r="H516" s="3">
        <f t="shared" si="14"/>
        <v>13577.089999999926</v>
      </c>
      <c r="I516" s="3">
        <v>0</v>
      </c>
      <c r="J516" s="3"/>
      <c r="K516" s="3"/>
      <c r="L516" s="3"/>
    </row>
    <row r="517" spans="1:12">
      <c r="A517" s="3">
        <v>43034</v>
      </c>
      <c r="B517" s="3">
        <v>326.17</v>
      </c>
      <c r="C517" s="4" cm="1">
        <f t="array" aca="1" ref="C517" ca="1">INDIRECT(ADDRESS(ROW()-C$3,2))-INDIRECT(ADDRESS(ROW()-C$2,2))</f>
        <v>-10.849999999999966</v>
      </c>
      <c r="D517" s="4" cm="1">
        <f t="array" aca="1" ref="D517" ca="1">INDIRECT(ADDRESS(ROW()-D$3,2))-INDIRECT(ADDRESS(ROW()-D$2,2))</f>
        <v>-29.509999999999991</v>
      </c>
      <c r="E517" s="4">
        <f t="shared" ca="1" si="15"/>
        <v>335.47</v>
      </c>
      <c r="F517" s="3">
        <v>13577.089999999926</v>
      </c>
      <c r="G517" s="3">
        <v>0</v>
      </c>
      <c r="H517" s="3">
        <f t="shared" si="14"/>
        <v>13577.089999999926</v>
      </c>
      <c r="I517" s="3">
        <v>0</v>
      </c>
      <c r="J517" s="3"/>
      <c r="K517" s="3"/>
      <c r="L517" s="3"/>
    </row>
    <row r="518" spans="1:12">
      <c r="A518" s="3">
        <v>43035</v>
      </c>
      <c r="B518" s="3">
        <v>320.87</v>
      </c>
      <c r="C518" s="4" cm="1">
        <f t="array" aca="1" ref="C518" ca="1">INDIRECT(ADDRESS(ROW()-C$3,2))-INDIRECT(ADDRESS(ROW()-C$2,2))</f>
        <v>-16.46999999999997</v>
      </c>
      <c r="D518" s="4" cm="1">
        <f t="array" aca="1" ref="D518" ca="1">INDIRECT(ADDRESS(ROW()-D$3,2))-INDIRECT(ADDRESS(ROW()-D$2,2))</f>
        <v>-34.699999999999989</v>
      </c>
      <c r="E518" s="4">
        <f t="shared" ca="1" si="15"/>
        <v>331.59500000000003</v>
      </c>
      <c r="F518" s="3">
        <v>13577.089999999926</v>
      </c>
      <c r="G518" s="3">
        <v>0</v>
      </c>
      <c r="H518" s="3">
        <f t="shared" si="14"/>
        <v>13577.089999999926</v>
      </c>
      <c r="I518" s="3">
        <v>0</v>
      </c>
      <c r="J518" s="3"/>
      <c r="K518" s="3"/>
      <c r="L518" s="3"/>
    </row>
    <row r="519" spans="1:12">
      <c r="A519" s="3">
        <v>43038</v>
      </c>
      <c r="B519" s="3">
        <v>320.08</v>
      </c>
      <c r="C519" s="4" cm="1">
        <f t="array" aca="1" ref="C519" ca="1">INDIRECT(ADDRESS(ROW()-C$3,2))-INDIRECT(ADDRESS(ROW()-C$2,2))</f>
        <v>-5.7599999999999909</v>
      </c>
      <c r="D519" s="4" cm="1">
        <f t="array" aca="1" ref="D519" ca="1">INDIRECT(ADDRESS(ROW()-D$3,2))-INDIRECT(ADDRESS(ROW()-D$2,2))</f>
        <v>-30.520000000000039</v>
      </c>
      <c r="E519" s="4">
        <f t="shared" ca="1" si="15"/>
        <v>329.10500000000002</v>
      </c>
      <c r="F519" s="3">
        <v>13577.089999999926</v>
      </c>
      <c r="G519" s="3">
        <v>0</v>
      </c>
      <c r="H519" s="3">
        <f t="shared" si="14"/>
        <v>13577.089999999926</v>
      </c>
      <c r="I519" s="3">
        <v>0</v>
      </c>
      <c r="J519" s="3"/>
      <c r="K519" s="3"/>
      <c r="L519" s="3"/>
    </row>
    <row r="520" spans="1:12">
      <c r="A520" s="3">
        <v>43039</v>
      </c>
      <c r="B520" s="3">
        <v>331.53</v>
      </c>
      <c r="C520" s="4" cm="1">
        <f t="array" aca="1" ref="C520" ca="1">INDIRECT(ADDRESS(ROW()-C$3,2))-INDIRECT(ADDRESS(ROW()-C$2,2))</f>
        <v>5.3599999999999568</v>
      </c>
      <c r="D520" s="4" cm="1">
        <f t="array" aca="1" ref="D520" ca="1">INDIRECT(ADDRESS(ROW()-D$3,2))-INDIRECT(ADDRESS(ROW()-D$2,2))</f>
        <v>-24.220000000000027</v>
      </c>
      <c r="E520" s="4">
        <f t="shared" ca="1" si="15"/>
        <v>322.95999999999998</v>
      </c>
      <c r="F520" s="3">
        <v>315.88999999991984</v>
      </c>
      <c r="G520" s="3">
        <v>13261.199999999999</v>
      </c>
      <c r="H520" s="3">
        <f t="shared" si="14"/>
        <v>13577.089999999918</v>
      </c>
      <c r="I520" s="3">
        <v>40</v>
      </c>
      <c r="J520" s="3"/>
      <c r="K520" s="3"/>
      <c r="L520" s="3"/>
    </row>
    <row r="521" spans="1:12">
      <c r="A521" s="3">
        <v>43040</v>
      </c>
      <c r="B521" s="3">
        <v>321.08</v>
      </c>
      <c r="C521" s="4" cm="1">
        <f t="array" aca="1" ref="C521" ca="1">INDIRECT(ADDRESS(ROW()-C$3,2))-INDIRECT(ADDRESS(ROW()-C$2,2))</f>
        <v>0.20999999999997954</v>
      </c>
      <c r="D521" s="4" cm="1">
        <f t="array" aca="1" ref="D521" ca="1">INDIRECT(ADDRESS(ROW()-D$3,2))-INDIRECT(ADDRESS(ROW()-D$2,2))</f>
        <v>-38.569999999999993</v>
      </c>
      <c r="E521" s="4">
        <f t="shared" ca="1" si="15"/>
        <v>328.85</v>
      </c>
      <c r="F521" s="3">
        <v>315.88999999991984</v>
      </c>
      <c r="G521" s="3">
        <v>12843.199999999999</v>
      </c>
      <c r="H521" s="3">
        <f t="shared" si="14"/>
        <v>13159.089999999918</v>
      </c>
      <c r="I521" s="3">
        <v>40</v>
      </c>
      <c r="J521" s="3"/>
      <c r="K521" s="3"/>
      <c r="L521" s="3"/>
    </row>
    <row r="522" spans="1:12">
      <c r="A522" s="3">
        <v>43041</v>
      </c>
      <c r="B522" s="3">
        <v>299.26</v>
      </c>
      <c r="C522" s="4" cm="1">
        <f t="array" aca="1" ref="C522" ca="1">INDIRECT(ADDRESS(ROW()-C$3,2))-INDIRECT(ADDRESS(ROW()-C$2,2))</f>
        <v>-20.819999999999993</v>
      </c>
      <c r="D522" s="4" cm="1">
        <f t="array" aca="1" ref="D522" ca="1">INDIRECT(ADDRESS(ROW()-D$3,2))-INDIRECT(ADDRESS(ROW()-D$2,2))</f>
        <v>-52.550000000000011</v>
      </c>
      <c r="E522" s="4">
        <f t="shared" ca="1" si="15"/>
        <v>320.97500000000002</v>
      </c>
      <c r="F522" s="3">
        <v>12286.289999999919</v>
      </c>
      <c r="G522" s="3">
        <v>0</v>
      </c>
      <c r="H522" s="3">
        <f t="shared" si="14"/>
        <v>12286.289999999919</v>
      </c>
      <c r="I522" s="3">
        <v>0</v>
      </c>
      <c r="J522" s="3"/>
      <c r="K522" s="3"/>
      <c r="L522" s="3"/>
    </row>
    <row r="523" spans="1:12">
      <c r="A523" s="3">
        <v>43042</v>
      </c>
      <c r="B523" s="3">
        <v>306.08999999999997</v>
      </c>
      <c r="C523" s="4" cm="1">
        <f t="array" aca="1" ref="C523" ca="1">INDIRECT(ADDRESS(ROW()-C$3,2))-INDIRECT(ADDRESS(ROW()-C$2,2))</f>
        <v>-25.439999999999998</v>
      </c>
      <c r="D523" s="4" cm="1">
        <f t="array" aca="1" ref="D523" ca="1">INDIRECT(ADDRESS(ROW()-D$3,2))-INDIRECT(ADDRESS(ROW()-D$2,2))</f>
        <v>-39.010000000000048</v>
      </c>
      <c r="E523" s="4">
        <f t="shared" ca="1" si="15"/>
        <v>309.66999999999996</v>
      </c>
      <c r="F523" s="3">
        <v>12286.289999999919</v>
      </c>
      <c r="G523" s="3">
        <v>0</v>
      </c>
      <c r="H523" s="3">
        <f t="shared" si="14"/>
        <v>12286.289999999919</v>
      </c>
      <c r="I523" s="3">
        <v>0</v>
      </c>
      <c r="J523" s="3"/>
      <c r="K523" s="3"/>
      <c r="L523" s="3"/>
    </row>
    <row r="524" spans="1:12">
      <c r="A524" s="3">
        <v>43045</v>
      </c>
      <c r="B524" s="3">
        <v>302.77999999999997</v>
      </c>
      <c r="C524" s="4" cm="1">
        <f t="array" aca="1" ref="C524" ca="1">INDIRECT(ADDRESS(ROW()-C$3,2))-INDIRECT(ADDRESS(ROW()-C$2,2))</f>
        <v>-18.300000000000011</v>
      </c>
      <c r="D524" s="4" cm="1">
        <f t="array" aca="1" ref="D524" ca="1">INDIRECT(ADDRESS(ROW()-D$3,2))-INDIRECT(ADDRESS(ROW()-D$2,2))</f>
        <v>-34.240000000000009</v>
      </c>
      <c r="E524" s="4">
        <f t="shared" ca="1" si="15"/>
        <v>318.80999999999995</v>
      </c>
      <c r="F524" s="3">
        <v>12286.289999999919</v>
      </c>
      <c r="G524" s="3">
        <v>0</v>
      </c>
      <c r="H524" s="3">
        <f t="shared" si="14"/>
        <v>12286.289999999919</v>
      </c>
      <c r="I524" s="3">
        <v>0</v>
      </c>
      <c r="J524" s="3"/>
      <c r="K524" s="3"/>
      <c r="L524" s="3"/>
    </row>
    <row r="525" spans="1:12">
      <c r="A525" s="3">
        <v>43046</v>
      </c>
      <c r="B525" s="3">
        <v>306.05</v>
      </c>
      <c r="C525" s="4" cm="1">
        <f t="array" aca="1" ref="C525" ca="1">INDIRECT(ADDRESS(ROW()-C$3,2))-INDIRECT(ADDRESS(ROW()-C$2,2))</f>
        <v>6.7900000000000205</v>
      </c>
      <c r="D525" s="4" cm="1">
        <f t="array" aca="1" ref="D525" ca="1">INDIRECT(ADDRESS(ROW()-D$3,2))-INDIRECT(ADDRESS(ROW()-D$2,2))</f>
        <v>-31.289999999999964</v>
      </c>
      <c r="E525" s="4">
        <f t="shared" ca="1" si="15"/>
        <v>311.92999999999995</v>
      </c>
      <c r="F525" s="3">
        <v>44.289999999925044</v>
      </c>
      <c r="G525" s="3">
        <v>12242</v>
      </c>
      <c r="H525" s="3">
        <f t="shared" si="14"/>
        <v>12286.289999999924</v>
      </c>
      <c r="I525" s="3">
        <v>40</v>
      </c>
      <c r="J525" s="3"/>
      <c r="K525" s="3"/>
      <c r="L525" s="3"/>
    </row>
    <row r="526" spans="1:12">
      <c r="A526" s="3">
        <v>43047</v>
      </c>
      <c r="B526" s="3">
        <v>304.39</v>
      </c>
      <c r="C526" s="4" cm="1">
        <f t="array" aca="1" ref="C526" ca="1">INDIRECT(ADDRESS(ROW()-C$3,2))-INDIRECT(ADDRESS(ROW()-C$2,2))</f>
        <v>-1.6999999999999886</v>
      </c>
      <c r="D526" s="4" cm="1">
        <f t="array" aca="1" ref="D526" ca="1">INDIRECT(ADDRESS(ROW()-D$3,2))-INDIRECT(ADDRESS(ROW()-D$2,2))</f>
        <v>-21.449999999999989</v>
      </c>
      <c r="E526" s="4">
        <f t="shared" ca="1" si="15"/>
        <v>302.65499999999997</v>
      </c>
      <c r="F526" s="3">
        <v>12219.889999999923</v>
      </c>
      <c r="G526" s="3">
        <v>0</v>
      </c>
      <c r="H526" s="3">
        <f t="shared" si="14"/>
        <v>12219.889999999923</v>
      </c>
      <c r="I526" s="3">
        <v>0</v>
      </c>
      <c r="J526" s="3"/>
      <c r="K526" s="3"/>
      <c r="L526" s="3"/>
    </row>
    <row r="527" spans="1:12">
      <c r="A527" s="3">
        <v>43048</v>
      </c>
      <c r="B527" s="3">
        <v>302.99</v>
      </c>
      <c r="C527" s="4" cm="1">
        <f t="array" aca="1" ref="C527" ca="1">INDIRECT(ADDRESS(ROW()-C$3,2))-INDIRECT(ADDRESS(ROW()-C$2,2))</f>
        <v>0.21000000000003638</v>
      </c>
      <c r="D527" s="4" cm="1">
        <f t="array" aca="1" ref="D527" ca="1">INDIRECT(ADDRESS(ROW()-D$3,2))-INDIRECT(ADDRESS(ROW()-D$2,2))</f>
        <v>-23.180000000000007</v>
      </c>
      <c r="E527" s="4">
        <f t="shared" ca="1" si="15"/>
        <v>305.24</v>
      </c>
      <c r="F527" s="3">
        <v>100.28999999993016</v>
      </c>
      <c r="G527" s="3">
        <v>12119.6</v>
      </c>
      <c r="H527" s="3">
        <f t="shared" si="14"/>
        <v>12219.88999999993</v>
      </c>
      <c r="I527" s="3">
        <v>40</v>
      </c>
      <c r="J527" s="3"/>
      <c r="K527" s="3"/>
      <c r="L527" s="3"/>
    </row>
    <row r="528" spans="1:12">
      <c r="A528" s="3">
        <v>43049</v>
      </c>
      <c r="B528" s="3">
        <v>302.99</v>
      </c>
      <c r="C528" s="4" cm="1">
        <f t="array" aca="1" ref="C528" ca="1">INDIRECT(ADDRESS(ROW()-C$3,2))-INDIRECT(ADDRESS(ROW()-C$2,2))</f>
        <v>-3.0600000000000023</v>
      </c>
      <c r="D528" s="4" cm="1">
        <f t="array" aca="1" ref="D528" ca="1">INDIRECT(ADDRESS(ROW()-D$3,2))-INDIRECT(ADDRESS(ROW()-D$2,2))</f>
        <v>-17.879999999999995</v>
      </c>
      <c r="E528" s="4">
        <f t="shared" ca="1" si="15"/>
        <v>302.88499999999999</v>
      </c>
      <c r="F528" s="3">
        <v>12219.88999999993</v>
      </c>
      <c r="G528" s="3">
        <v>0</v>
      </c>
      <c r="H528" s="3">
        <f t="shared" si="14"/>
        <v>12219.88999999993</v>
      </c>
      <c r="I528" s="3">
        <v>0</v>
      </c>
      <c r="J528" s="3"/>
      <c r="K528" s="3"/>
      <c r="L528" s="3"/>
    </row>
    <row r="529" spans="1:12">
      <c r="A529" s="3">
        <v>43052</v>
      </c>
      <c r="B529" s="3">
        <v>315.39999999999998</v>
      </c>
      <c r="C529" s="4" cm="1">
        <f t="array" aca="1" ref="C529" ca="1">INDIRECT(ADDRESS(ROW()-C$3,2))-INDIRECT(ADDRESS(ROW()-C$2,2))</f>
        <v>11.009999999999991</v>
      </c>
      <c r="D529" s="4" cm="1">
        <f t="array" aca="1" ref="D529" ca="1">INDIRECT(ADDRESS(ROW()-D$3,2))-INDIRECT(ADDRESS(ROW()-D$2,2))</f>
        <v>-4.6800000000000068</v>
      </c>
      <c r="E529" s="4">
        <f t="shared" ca="1" si="15"/>
        <v>304.52</v>
      </c>
      <c r="F529" s="3">
        <v>234.68999999993855</v>
      </c>
      <c r="G529" s="3">
        <v>11985.199999999999</v>
      </c>
      <c r="H529" s="3">
        <f t="shared" si="14"/>
        <v>12219.889999999938</v>
      </c>
      <c r="I529" s="3">
        <v>38</v>
      </c>
      <c r="J529" s="3"/>
      <c r="K529" s="3"/>
      <c r="L529" s="3"/>
    </row>
    <row r="530" spans="1:12">
      <c r="A530" s="3">
        <v>43053</v>
      </c>
      <c r="B530" s="3">
        <v>308.7</v>
      </c>
      <c r="C530" s="4" cm="1">
        <f t="array" aca="1" ref="C530" ca="1">INDIRECT(ADDRESS(ROW()-C$3,2))-INDIRECT(ADDRESS(ROW()-C$2,2))</f>
        <v>5.7099999999999795</v>
      </c>
      <c r="D530" s="4" cm="1">
        <f t="array" aca="1" ref="D530" ca="1">INDIRECT(ADDRESS(ROW()-D$3,2))-INDIRECT(ADDRESS(ROW()-D$2,2))</f>
        <v>-22.829999999999984</v>
      </c>
      <c r="E530" s="4">
        <f t="shared" ca="1" si="15"/>
        <v>309.89499999999998</v>
      </c>
      <c r="F530" s="3">
        <v>234.68999999993855</v>
      </c>
      <c r="G530" s="3">
        <v>11730.6</v>
      </c>
      <c r="H530" s="3">
        <f t="shared" si="14"/>
        <v>11965.289999999939</v>
      </c>
      <c r="I530" s="3">
        <v>38</v>
      </c>
      <c r="J530" s="3"/>
      <c r="K530" s="3"/>
      <c r="L530" s="3"/>
    </row>
    <row r="531" spans="1:12">
      <c r="A531" s="3">
        <v>43054</v>
      </c>
      <c r="B531" s="3">
        <v>311.3</v>
      </c>
      <c r="C531" s="4" cm="1">
        <f t="array" aca="1" ref="C531" ca="1">INDIRECT(ADDRESS(ROW()-C$3,2))-INDIRECT(ADDRESS(ROW()-C$2,2))</f>
        <v>8.3100000000000023</v>
      </c>
      <c r="D531" s="4" cm="1">
        <f t="array" aca="1" ref="D531" ca="1">INDIRECT(ADDRESS(ROW()-D$3,2))-INDIRECT(ADDRESS(ROW()-D$2,2))</f>
        <v>-9.7799999999999727</v>
      </c>
      <c r="E531" s="4">
        <f t="shared" ca="1" si="15"/>
        <v>305.84500000000003</v>
      </c>
      <c r="F531" s="3">
        <v>234.68999999993855</v>
      </c>
      <c r="G531" s="3">
        <v>11829.4</v>
      </c>
      <c r="H531" s="3">
        <f t="shared" si="14"/>
        <v>12064.089999999938</v>
      </c>
      <c r="I531" s="3">
        <v>38</v>
      </c>
      <c r="J531" s="3"/>
      <c r="K531" s="3"/>
      <c r="L531" s="3"/>
    </row>
    <row r="532" spans="1:12">
      <c r="A532" s="3">
        <v>43055</v>
      </c>
      <c r="B532" s="3">
        <v>312.5</v>
      </c>
      <c r="C532" s="4" cm="1">
        <f t="array" aca="1" ref="C532" ca="1">INDIRECT(ADDRESS(ROW()-C$3,2))-INDIRECT(ADDRESS(ROW()-C$2,2))</f>
        <v>-2.8999999999999773</v>
      </c>
      <c r="D532" s="4" cm="1">
        <f t="array" aca="1" ref="D532" ca="1">INDIRECT(ADDRESS(ROW()-D$3,2))-INDIRECT(ADDRESS(ROW()-D$2,2))</f>
        <v>13.240000000000009</v>
      </c>
      <c r="E532" s="4">
        <f t="shared" ca="1" si="15"/>
        <v>307.14499999999998</v>
      </c>
      <c r="F532" s="3">
        <v>12109.689999999939</v>
      </c>
      <c r="G532" s="3">
        <v>0</v>
      </c>
      <c r="H532" s="3">
        <f t="shared" si="14"/>
        <v>12109.689999999939</v>
      </c>
      <c r="I532" s="3">
        <v>0</v>
      </c>
      <c r="J532" s="3"/>
      <c r="K532" s="3"/>
      <c r="L532" s="3"/>
    </row>
    <row r="533" spans="1:12">
      <c r="A533" s="3">
        <v>43056</v>
      </c>
      <c r="B533" s="3">
        <v>315.05</v>
      </c>
      <c r="C533" s="4" cm="1">
        <f t="array" aca="1" ref="C533" ca="1">INDIRECT(ADDRESS(ROW()-C$3,2))-INDIRECT(ADDRESS(ROW()-C$2,2))</f>
        <v>6.3500000000000227</v>
      </c>
      <c r="D533" s="4" cm="1">
        <f t="array" aca="1" ref="D533" ca="1">INDIRECT(ADDRESS(ROW()-D$3,2))-INDIRECT(ADDRESS(ROW()-D$2,2))</f>
        <v>8.9600000000000364</v>
      </c>
      <c r="E533" s="4">
        <f t="shared" ca="1" si="15"/>
        <v>313.95</v>
      </c>
      <c r="F533" s="3">
        <v>137.78999999994414</v>
      </c>
      <c r="G533" s="3">
        <v>11971.9</v>
      </c>
      <c r="H533" s="3">
        <f t="shared" si="14"/>
        <v>12109.689999999944</v>
      </c>
      <c r="I533" s="3">
        <v>38</v>
      </c>
      <c r="J533" s="3"/>
      <c r="K533" s="3"/>
      <c r="L533" s="3"/>
    </row>
    <row r="534" spans="1:12">
      <c r="A534" s="3">
        <v>43059</v>
      </c>
      <c r="B534" s="3">
        <v>308.74</v>
      </c>
      <c r="C534" s="4" cm="1">
        <f t="array" aca="1" ref="C534" ca="1">INDIRECT(ADDRESS(ROW()-C$3,2))-INDIRECT(ADDRESS(ROW()-C$2,2))</f>
        <v>-2.5600000000000023</v>
      </c>
      <c r="D534" s="4" cm="1">
        <f t="array" aca="1" ref="D534" ca="1">INDIRECT(ADDRESS(ROW()-D$3,2))-INDIRECT(ADDRESS(ROW()-D$2,2))</f>
        <v>5.9600000000000364</v>
      </c>
      <c r="E534" s="4">
        <f t="shared" ca="1" si="15"/>
        <v>311.875</v>
      </c>
      <c r="F534" s="3">
        <v>11869.909999999945</v>
      </c>
      <c r="G534" s="3">
        <v>0</v>
      </c>
      <c r="H534" s="3">
        <f t="shared" si="14"/>
        <v>11869.909999999945</v>
      </c>
      <c r="I534" s="3">
        <v>0</v>
      </c>
      <c r="J534" s="3"/>
      <c r="K534" s="3"/>
      <c r="L534" s="3"/>
    </row>
    <row r="535" spans="1:12">
      <c r="A535" s="3">
        <v>43060</v>
      </c>
      <c r="B535" s="3">
        <v>317.81</v>
      </c>
      <c r="C535" s="4" cm="1">
        <f t="array" aca="1" ref="C535" ca="1">INDIRECT(ADDRESS(ROW()-C$3,2))-INDIRECT(ADDRESS(ROW()-C$2,2))</f>
        <v>5.3100000000000023</v>
      </c>
      <c r="D535" s="4" cm="1">
        <f t="array" aca="1" ref="D535" ca="1">INDIRECT(ADDRESS(ROW()-D$3,2))-INDIRECT(ADDRESS(ROW()-D$2,2))</f>
        <v>11.759999999999991</v>
      </c>
      <c r="E535" s="4">
        <f t="shared" ca="1" si="15"/>
        <v>310.02</v>
      </c>
      <c r="F535" s="3">
        <v>110.93999999994628</v>
      </c>
      <c r="G535" s="3">
        <v>11758.97</v>
      </c>
      <c r="H535" s="3">
        <f t="shared" ref="H535:H598" si="16">G535+F535</f>
        <v>11869.909999999945</v>
      </c>
      <c r="I535" s="3">
        <v>37</v>
      </c>
      <c r="J535" s="3"/>
      <c r="K535" s="3"/>
      <c r="L535" s="3"/>
    </row>
    <row r="536" spans="1:12">
      <c r="A536" s="3">
        <v>43061</v>
      </c>
      <c r="B536" s="3">
        <v>312.60000000000002</v>
      </c>
      <c r="C536" s="4" cm="1">
        <f t="array" aca="1" ref="C536" ca="1">INDIRECT(ADDRESS(ROW()-C$3,2))-INDIRECT(ADDRESS(ROW()-C$2,2))</f>
        <v>-2.4499999999999886</v>
      </c>
      <c r="D536" s="4" cm="1">
        <f t="array" aca="1" ref="D536" ca="1">INDIRECT(ADDRESS(ROW()-D$3,2))-INDIRECT(ADDRESS(ROW()-D$2,2))</f>
        <v>8.2100000000000364</v>
      </c>
      <c r="E536" s="4">
        <f t="shared" ref="E536:E599" ca="1" si="17">AVERAGE(INDIRECT(ADDRESS(ROW()-E$3,2)),INDIRECT(ADDRESS(ROW()-E$2,2)))</f>
        <v>315.15499999999997</v>
      </c>
      <c r="F536" s="3">
        <v>11677.139999999947</v>
      </c>
      <c r="G536" s="3">
        <v>0</v>
      </c>
      <c r="H536" s="3">
        <f t="shared" si="16"/>
        <v>11677.139999999947</v>
      </c>
      <c r="I536" s="3">
        <v>0</v>
      </c>
      <c r="J536" s="3"/>
      <c r="K536" s="3"/>
      <c r="L536" s="3"/>
    </row>
    <row r="537" spans="1:12">
      <c r="A537" s="3">
        <v>43063</v>
      </c>
      <c r="B537" s="3">
        <v>315.55</v>
      </c>
      <c r="C537" s="4" cm="1">
        <f t="array" aca="1" ref="C537" ca="1">INDIRECT(ADDRESS(ROW()-C$3,2))-INDIRECT(ADDRESS(ROW()-C$2,2))</f>
        <v>6.8100000000000023</v>
      </c>
      <c r="D537" s="4" cm="1">
        <f t="array" aca="1" ref="D537" ca="1">INDIRECT(ADDRESS(ROW()-D$3,2))-INDIRECT(ADDRESS(ROW()-D$2,2))</f>
        <v>12.560000000000002</v>
      </c>
      <c r="E537" s="4">
        <f t="shared" ca="1" si="17"/>
        <v>313.82500000000005</v>
      </c>
      <c r="F537" s="3">
        <v>1.7899999999514193</v>
      </c>
      <c r="G537" s="3">
        <v>11675.35</v>
      </c>
      <c r="H537" s="3">
        <f t="shared" si="16"/>
        <v>11677.139999999952</v>
      </c>
      <c r="I537" s="3">
        <v>37</v>
      </c>
      <c r="J537" s="3"/>
      <c r="K537" s="3"/>
      <c r="L537" s="3"/>
    </row>
    <row r="538" spans="1:12">
      <c r="A538" s="3">
        <v>43066</v>
      </c>
      <c r="B538" s="3">
        <v>316.81</v>
      </c>
      <c r="C538" s="4" cm="1">
        <f t="array" aca="1" ref="C538" ca="1">INDIRECT(ADDRESS(ROW()-C$3,2))-INDIRECT(ADDRESS(ROW()-C$2,2))</f>
        <v>-1</v>
      </c>
      <c r="D538" s="4" cm="1">
        <f t="array" aca="1" ref="D538" ca="1">INDIRECT(ADDRESS(ROW()-D$3,2))-INDIRECT(ADDRESS(ROW()-D$2,2))</f>
        <v>13.819999999999993</v>
      </c>
      <c r="E538" s="4">
        <f t="shared" ca="1" si="17"/>
        <v>312.14499999999998</v>
      </c>
      <c r="F538" s="3">
        <v>11723.759999999951</v>
      </c>
      <c r="G538" s="3">
        <v>0</v>
      </c>
      <c r="H538" s="3">
        <f t="shared" si="16"/>
        <v>11723.759999999951</v>
      </c>
      <c r="I538" s="3">
        <v>0</v>
      </c>
      <c r="J538" s="3"/>
      <c r="K538" s="3"/>
      <c r="L538" s="3"/>
    </row>
    <row r="539" spans="1:12">
      <c r="A539" s="3">
        <v>43067</v>
      </c>
      <c r="B539" s="3">
        <v>317.55</v>
      </c>
      <c r="C539" s="4" cm="1">
        <f t="array" aca="1" ref="C539" ca="1">INDIRECT(ADDRESS(ROW()-C$3,2))-INDIRECT(ADDRESS(ROW()-C$2,2))</f>
        <v>4.9499999999999886</v>
      </c>
      <c r="D539" s="4" cm="1">
        <f t="array" aca="1" ref="D539" ca="1">INDIRECT(ADDRESS(ROW()-D$3,2))-INDIRECT(ADDRESS(ROW()-D$2,2))</f>
        <v>2.1500000000000341</v>
      </c>
      <c r="E539" s="4">
        <f t="shared" ca="1" si="17"/>
        <v>317.31</v>
      </c>
      <c r="F539" s="3">
        <v>291.95999999995587</v>
      </c>
      <c r="G539" s="3">
        <v>11431.800000000001</v>
      </c>
      <c r="H539" s="3">
        <f t="shared" si="16"/>
        <v>11723.759999999957</v>
      </c>
      <c r="I539" s="3">
        <v>36</v>
      </c>
      <c r="J539" s="3"/>
      <c r="K539" s="3"/>
      <c r="L539" s="3"/>
    </row>
    <row r="540" spans="1:12">
      <c r="A540" s="3">
        <v>43068</v>
      </c>
      <c r="B540" s="3">
        <v>307.54000000000002</v>
      </c>
      <c r="C540" s="4" cm="1">
        <f t="array" aca="1" ref="C540" ca="1">INDIRECT(ADDRESS(ROW()-C$3,2))-INDIRECT(ADDRESS(ROW()-C$2,2))</f>
        <v>-8.0099999999999909</v>
      </c>
      <c r="D540" s="4" cm="1">
        <f t="array" aca="1" ref="D540" ca="1">INDIRECT(ADDRESS(ROW()-D$3,2))-INDIRECT(ADDRESS(ROW()-D$2,2))</f>
        <v>-1.1599999999999682</v>
      </c>
      <c r="E540" s="4">
        <f t="shared" ca="1" si="17"/>
        <v>315.07500000000005</v>
      </c>
      <c r="F540" s="3">
        <v>11363.399999999956</v>
      </c>
      <c r="G540" s="3">
        <v>0</v>
      </c>
      <c r="H540" s="3">
        <f t="shared" si="16"/>
        <v>11363.399999999956</v>
      </c>
      <c r="I540" s="3">
        <v>0</v>
      </c>
      <c r="J540" s="3"/>
      <c r="K540" s="3"/>
      <c r="L540" s="3"/>
    </row>
    <row r="541" spans="1:12">
      <c r="A541" s="3">
        <v>43069</v>
      </c>
      <c r="B541" s="3">
        <v>308.85000000000002</v>
      </c>
      <c r="C541" s="4" cm="1">
        <f t="array" aca="1" ref="C541" ca="1">INDIRECT(ADDRESS(ROW()-C$3,2))-INDIRECT(ADDRESS(ROW()-C$2,2))</f>
        <v>-7.9599999999999795</v>
      </c>
      <c r="D541" s="4" cm="1">
        <f t="array" aca="1" ref="D541" ca="1">INDIRECT(ADDRESS(ROW()-D$3,2))-INDIRECT(ADDRESS(ROW()-D$2,2))</f>
        <v>-2.4499999999999886</v>
      </c>
      <c r="E541" s="4">
        <f t="shared" ca="1" si="17"/>
        <v>311.54500000000002</v>
      </c>
      <c r="F541" s="3">
        <v>11363.399999999956</v>
      </c>
      <c r="G541" s="3">
        <v>0</v>
      </c>
      <c r="H541" s="3">
        <f t="shared" si="16"/>
        <v>11363.399999999956</v>
      </c>
      <c r="I541" s="3">
        <v>0</v>
      </c>
      <c r="J541" s="3"/>
      <c r="K541" s="3"/>
      <c r="L541" s="3"/>
    </row>
    <row r="542" spans="1:12">
      <c r="A542" s="3">
        <v>43070</v>
      </c>
      <c r="B542" s="3">
        <v>306.52999999999997</v>
      </c>
      <c r="C542" s="4" cm="1">
        <f t="array" aca="1" ref="C542" ca="1">INDIRECT(ADDRESS(ROW()-C$3,2))-INDIRECT(ADDRESS(ROW()-C$2,2))</f>
        <v>-11.020000000000039</v>
      </c>
      <c r="D542" s="4" cm="1">
        <f t="array" aca="1" ref="D542" ca="1">INDIRECT(ADDRESS(ROW()-D$3,2))-INDIRECT(ADDRESS(ROW()-D$2,2))</f>
        <v>-5.9700000000000273</v>
      </c>
      <c r="E542" s="4">
        <f t="shared" ca="1" si="17"/>
        <v>312.83000000000004</v>
      </c>
      <c r="F542" s="3">
        <v>11363.399999999956</v>
      </c>
      <c r="G542" s="3">
        <v>0</v>
      </c>
      <c r="H542" s="3">
        <f t="shared" si="16"/>
        <v>11363.399999999956</v>
      </c>
      <c r="I542" s="3">
        <v>0</v>
      </c>
      <c r="J542" s="3"/>
      <c r="K542" s="3"/>
      <c r="L542" s="3"/>
    </row>
    <row r="543" spans="1:12">
      <c r="A543" s="3">
        <v>43073</v>
      </c>
      <c r="B543" s="3">
        <v>305.2</v>
      </c>
      <c r="C543" s="4" cm="1">
        <f t="array" aca="1" ref="C543" ca="1">INDIRECT(ADDRESS(ROW()-C$3,2))-INDIRECT(ADDRESS(ROW()-C$2,2))</f>
        <v>-2.3400000000000318</v>
      </c>
      <c r="D543" s="4" cm="1">
        <f t="array" aca="1" ref="D543" ca="1">INDIRECT(ADDRESS(ROW()-D$3,2))-INDIRECT(ADDRESS(ROW()-D$2,2))</f>
        <v>-9.8500000000000227</v>
      </c>
      <c r="E543" s="4">
        <f t="shared" ca="1" si="17"/>
        <v>312.03999999999996</v>
      </c>
      <c r="F543" s="3">
        <v>11363.399999999956</v>
      </c>
      <c r="G543" s="3">
        <v>0</v>
      </c>
      <c r="H543" s="3">
        <f t="shared" si="16"/>
        <v>11363.399999999956</v>
      </c>
      <c r="I543" s="3">
        <v>0</v>
      </c>
      <c r="J543" s="3"/>
      <c r="K543" s="3"/>
      <c r="L543" s="3"/>
    </row>
    <row r="544" spans="1:12">
      <c r="A544" s="3">
        <v>43074</v>
      </c>
      <c r="B544" s="3">
        <v>303.7</v>
      </c>
      <c r="C544" s="4" cm="1">
        <f t="array" aca="1" ref="C544" ca="1">INDIRECT(ADDRESS(ROW()-C$3,2))-INDIRECT(ADDRESS(ROW()-C$2,2))</f>
        <v>-5.1500000000000341</v>
      </c>
      <c r="D544" s="4" cm="1">
        <f t="array" aca="1" ref="D544" ca="1">INDIRECT(ADDRESS(ROW()-D$3,2))-INDIRECT(ADDRESS(ROW()-D$2,2))</f>
        <v>-5.0400000000000205</v>
      </c>
      <c r="E544" s="4">
        <f t="shared" ca="1" si="17"/>
        <v>306.37</v>
      </c>
      <c r="F544" s="3">
        <v>11363.399999999956</v>
      </c>
      <c r="G544" s="3">
        <v>0</v>
      </c>
      <c r="H544" s="3">
        <f t="shared" si="16"/>
        <v>11363.399999999956</v>
      </c>
      <c r="I544" s="3">
        <v>0</v>
      </c>
      <c r="J544" s="3"/>
      <c r="K544" s="3"/>
      <c r="L544" s="3"/>
    </row>
    <row r="545" spans="1:12">
      <c r="A545" s="3">
        <v>43075</v>
      </c>
      <c r="B545" s="3">
        <v>313.26</v>
      </c>
      <c r="C545" s="4" cm="1">
        <f t="array" aca="1" ref="C545" ca="1">INDIRECT(ADDRESS(ROW()-C$3,2))-INDIRECT(ADDRESS(ROW()-C$2,2))</f>
        <v>6.7300000000000182</v>
      </c>
      <c r="D545" s="4" cm="1">
        <f t="array" aca="1" ref="D545" ca="1">INDIRECT(ADDRESS(ROW()-D$3,2))-INDIRECT(ADDRESS(ROW()-D$2,2))</f>
        <v>-4.5500000000000114</v>
      </c>
      <c r="E545" s="4">
        <f t="shared" ca="1" si="17"/>
        <v>306.27499999999998</v>
      </c>
      <c r="F545" s="3">
        <v>86.039999999949714</v>
      </c>
      <c r="G545" s="3">
        <v>11277.36</v>
      </c>
      <c r="H545" s="3">
        <f t="shared" si="16"/>
        <v>11363.399999999951</v>
      </c>
      <c r="I545" s="3">
        <v>36</v>
      </c>
      <c r="J545" s="3"/>
      <c r="K545" s="3"/>
      <c r="L545" s="3"/>
    </row>
    <row r="546" spans="1:12">
      <c r="A546" s="3">
        <v>43076</v>
      </c>
      <c r="B546" s="3">
        <v>311.24</v>
      </c>
      <c r="C546" s="4" cm="1">
        <f t="array" aca="1" ref="C546" ca="1">INDIRECT(ADDRESS(ROW()-C$3,2))-INDIRECT(ADDRESS(ROW()-C$2,2))</f>
        <v>6.0400000000000205</v>
      </c>
      <c r="D546" s="4" cm="1">
        <f t="array" aca="1" ref="D546" ca="1">INDIRECT(ADDRESS(ROW()-D$3,2))-INDIRECT(ADDRESS(ROW()-D$2,2))</f>
        <v>-1.3600000000000136</v>
      </c>
      <c r="E546" s="4">
        <f t="shared" ca="1" si="17"/>
        <v>309.89499999999998</v>
      </c>
      <c r="F546" s="3">
        <v>86.039999999949714</v>
      </c>
      <c r="G546" s="3">
        <v>11204.64</v>
      </c>
      <c r="H546" s="3">
        <f t="shared" si="16"/>
        <v>11290.679999999949</v>
      </c>
      <c r="I546" s="3">
        <v>36</v>
      </c>
      <c r="J546" s="3"/>
      <c r="K546" s="3"/>
      <c r="L546" s="3"/>
    </row>
    <row r="547" spans="1:12">
      <c r="A547" s="3">
        <v>43077</v>
      </c>
      <c r="B547" s="3">
        <v>315.13</v>
      </c>
      <c r="C547" s="4" cm="1">
        <f t="array" aca="1" ref="C547" ca="1">INDIRECT(ADDRESS(ROW()-C$3,2))-INDIRECT(ADDRESS(ROW()-C$2,2))</f>
        <v>11.430000000000007</v>
      </c>
      <c r="D547" s="4" cm="1">
        <f t="array" aca="1" ref="D547" ca="1">INDIRECT(ADDRESS(ROW()-D$3,2))-INDIRECT(ADDRESS(ROW()-D$2,2))</f>
        <v>-0.42000000000001592</v>
      </c>
      <c r="E547" s="4">
        <f t="shared" ca="1" si="17"/>
        <v>308.22000000000003</v>
      </c>
      <c r="F547" s="3">
        <v>86.039999999949714</v>
      </c>
      <c r="G547" s="3">
        <v>11344.68</v>
      </c>
      <c r="H547" s="3">
        <f t="shared" si="16"/>
        <v>11430.71999999995</v>
      </c>
      <c r="I547" s="3">
        <v>36</v>
      </c>
      <c r="J547" s="3"/>
      <c r="K547" s="3"/>
      <c r="L547" s="3"/>
    </row>
    <row r="548" spans="1:12">
      <c r="A548" s="3">
        <v>43080</v>
      </c>
      <c r="B548" s="3">
        <v>328.91</v>
      </c>
      <c r="C548" s="4" cm="1">
        <f t="array" aca="1" ref="C548" ca="1">INDIRECT(ADDRESS(ROW()-C$3,2))-INDIRECT(ADDRESS(ROW()-C$2,2))</f>
        <v>15.650000000000034</v>
      </c>
      <c r="D548" s="4" cm="1">
        <f t="array" aca="1" ref="D548" ca="1">INDIRECT(ADDRESS(ROW()-D$3,2))-INDIRECT(ADDRESS(ROW()-D$2,2))</f>
        <v>12.100000000000023</v>
      </c>
      <c r="E548" s="4">
        <f t="shared" ca="1" si="17"/>
        <v>309.41499999999996</v>
      </c>
      <c r="F548" s="3">
        <v>86.039999999949714</v>
      </c>
      <c r="G548" s="3">
        <v>11840.76</v>
      </c>
      <c r="H548" s="3">
        <f t="shared" si="16"/>
        <v>11926.79999999995</v>
      </c>
      <c r="I548" s="3">
        <v>36</v>
      </c>
      <c r="J548" s="3"/>
      <c r="K548" s="3"/>
      <c r="L548" s="3"/>
    </row>
    <row r="549" spans="1:12">
      <c r="A549" s="3">
        <v>43081</v>
      </c>
      <c r="B549" s="3">
        <v>341.03</v>
      </c>
      <c r="C549" s="4" cm="1">
        <f t="array" aca="1" ref="C549" ca="1">INDIRECT(ADDRESS(ROW()-C$3,2))-INDIRECT(ADDRESS(ROW()-C$2,2))</f>
        <v>29.789999999999964</v>
      </c>
      <c r="D549" s="4" cm="1">
        <f t="array" aca="1" ref="D549" ca="1">INDIRECT(ADDRESS(ROW()-D$3,2))-INDIRECT(ADDRESS(ROW()-D$2,2))</f>
        <v>23.479999999999961</v>
      </c>
      <c r="E549" s="4">
        <f t="shared" ca="1" si="17"/>
        <v>321.08500000000004</v>
      </c>
      <c r="F549" s="3">
        <v>86.039999999949714</v>
      </c>
      <c r="G549" s="3">
        <v>12277.079999999998</v>
      </c>
      <c r="H549" s="3">
        <f t="shared" si="16"/>
        <v>12363.119999999948</v>
      </c>
      <c r="I549" s="3">
        <v>36</v>
      </c>
      <c r="J549" s="3"/>
      <c r="K549" s="3"/>
      <c r="L549" s="3"/>
    </row>
    <row r="550" spans="1:12">
      <c r="A550" s="3">
        <v>43082</v>
      </c>
      <c r="B550" s="3">
        <v>339.03</v>
      </c>
      <c r="C550" s="4" cm="1">
        <f t="array" aca="1" ref="C550" ca="1">INDIRECT(ADDRESS(ROW()-C$3,2))-INDIRECT(ADDRESS(ROW()-C$2,2))</f>
        <v>23.899999999999977</v>
      </c>
      <c r="D550" s="4" cm="1">
        <f t="array" aca="1" ref="D550" ca="1">INDIRECT(ADDRESS(ROW()-D$3,2))-INDIRECT(ADDRESS(ROW()-D$2,2))</f>
        <v>31.489999999999952</v>
      </c>
      <c r="E550" s="4">
        <f t="shared" ca="1" si="17"/>
        <v>326.13499999999999</v>
      </c>
      <c r="F550" s="3">
        <v>86.039999999949714</v>
      </c>
      <c r="G550" s="3">
        <v>12205.079999999998</v>
      </c>
      <c r="H550" s="3">
        <f t="shared" si="16"/>
        <v>12291.119999999948</v>
      </c>
      <c r="I550" s="3">
        <v>36</v>
      </c>
      <c r="J550" s="3"/>
      <c r="K550" s="3"/>
      <c r="L550" s="3"/>
    </row>
    <row r="551" spans="1:12">
      <c r="A551" s="3">
        <v>43083</v>
      </c>
      <c r="B551" s="3">
        <v>337.89</v>
      </c>
      <c r="C551" s="4" cm="1">
        <f t="array" aca="1" ref="C551" ca="1">INDIRECT(ADDRESS(ROW()-C$3,2))-INDIRECT(ADDRESS(ROW()-C$2,2))</f>
        <v>8.9799999999999613</v>
      </c>
      <c r="D551" s="4" cm="1">
        <f t="array" aca="1" ref="D551" ca="1">INDIRECT(ADDRESS(ROW()-D$3,2))-INDIRECT(ADDRESS(ROW()-D$2,2))</f>
        <v>29.039999999999964</v>
      </c>
      <c r="E551" s="4">
        <f t="shared" ca="1" si="17"/>
        <v>327.08</v>
      </c>
      <c r="F551" s="3">
        <v>86.039999999949714</v>
      </c>
      <c r="G551" s="3">
        <v>12164.039999999999</v>
      </c>
      <c r="H551" s="3">
        <f t="shared" si="16"/>
        <v>12250.079999999949</v>
      </c>
      <c r="I551" s="3">
        <v>36</v>
      </c>
      <c r="J551" s="3"/>
      <c r="K551" s="3"/>
      <c r="L551" s="3"/>
    </row>
    <row r="552" spans="1:12">
      <c r="A552" s="3">
        <v>43084</v>
      </c>
      <c r="B552" s="3">
        <v>343.45</v>
      </c>
      <c r="C552" s="4" cm="1">
        <f t="array" aca="1" ref="C552" ca="1">INDIRECT(ADDRESS(ROW()-C$3,2))-INDIRECT(ADDRESS(ROW()-C$2,2))</f>
        <v>2.4200000000000159</v>
      </c>
      <c r="D552" s="4" cm="1">
        <f t="array" aca="1" ref="D552" ca="1">INDIRECT(ADDRESS(ROW()-D$3,2))-INDIRECT(ADDRESS(ROW()-D$2,2))</f>
        <v>36.920000000000016</v>
      </c>
      <c r="E552" s="4">
        <f t="shared" ca="1" si="17"/>
        <v>333.4</v>
      </c>
      <c r="F552" s="3">
        <v>86.039999999949714</v>
      </c>
      <c r="G552" s="3">
        <v>12364.199999999999</v>
      </c>
      <c r="H552" s="3">
        <f t="shared" si="16"/>
        <v>12450.239999999949</v>
      </c>
      <c r="I552" s="3">
        <v>36</v>
      </c>
      <c r="J552" s="3"/>
      <c r="K552" s="3"/>
      <c r="L552" s="3"/>
    </row>
    <row r="553" spans="1:12">
      <c r="A553" s="3">
        <v>43087</v>
      </c>
      <c r="B553" s="3">
        <v>338.87</v>
      </c>
      <c r="C553" s="4" cm="1">
        <f t="array" aca="1" ref="C553" ca="1">INDIRECT(ADDRESS(ROW()-C$3,2))-INDIRECT(ADDRESS(ROW()-C$2,2))</f>
        <v>-0.15999999999996817</v>
      </c>
      <c r="D553" s="4" cm="1">
        <f t="array" aca="1" ref="D553" ca="1">INDIRECT(ADDRESS(ROW()-D$3,2))-INDIRECT(ADDRESS(ROW()-D$2,2))</f>
        <v>33.670000000000016</v>
      </c>
      <c r="E553" s="4">
        <f t="shared" ca="1" si="17"/>
        <v>342.24</v>
      </c>
      <c r="F553" s="3">
        <v>12285.35999999995</v>
      </c>
      <c r="G553" s="3">
        <v>0</v>
      </c>
      <c r="H553" s="3">
        <f t="shared" si="16"/>
        <v>12285.35999999995</v>
      </c>
      <c r="I553" s="3">
        <v>0</v>
      </c>
      <c r="J553" s="3"/>
      <c r="K553" s="3"/>
      <c r="L553" s="3"/>
    </row>
    <row r="554" spans="1:12">
      <c r="A554" s="3">
        <v>43088</v>
      </c>
      <c r="B554" s="3">
        <v>331.1</v>
      </c>
      <c r="C554" s="4" cm="1">
        <f t="array" aca="1" ref="C554" ca="1">INDIRECT(ADDRESS(ROW()-C$3,2))-INDIRECT(ADDRESS(ROW()-C$2,2))</f>
        <v>-6.7899999999999636</v>
      </c>
      <c r="D554" s="4" cm="1">
        <f t="array" aca="1" ref="D554" ca="1">INDIRECT(ADDRESS(ROW()-D$3,2))-INDIRECT(ADDRESS(ROW()-D$2,2))</f>
        <v>27.400000000000034</v>
      </c>
      <c r="E554" s="4">
        <f t="shared" ca="1" si="17"/>
        <v>338.95</v>
      </c>
      <c r="F554" s="3">
        <v>12285.35999999995</v>
      </c>
      <c r="G554" s="3">
        <v>0</v>
      </c>
      <c r="H554" s="3">
        <f t="shared" si="16"/>
        <v>12285.35999999995</v>
      </c>
      <c r="I554" s="3">
        <v>0</v>
      </c>
      <c r="J554" s="3"/>
      <c r="K554" s="3"/>
      <c r="L554" s="3"/>
    </row>
    <row r="555" spans="1:12">
      <c r="A555" s="3">
        <v>43089</v>
      </c>
      <c r="B555" s="3">
        <v>328.98</v>
      </c>
      <c r="C555" s="4" cm="1">
        <f t="array" aca="1" ref="C555" ca="1">INDIRECT(ADDRESS(ROW()-C$3,2))-INDIRECT(ADDRESS(ROW()-C$2,2))</f>
        <v>-14.46999999999997</v>
      </c>
      <c r="D555" s="4" cm="1">
        <f t="array" aca="1" ref="D555" ca="1">INDIRECT(ADDRESS(ROW()-D$3,2))-INDIRECT(ADDRESS(ROW()-D$2,2))</f>
        <v>15.720000000000027</v>
      </c>
      <c r="E555" s="4">
        <f t="shared" ca="1" si="17"/>
        <v>334.495</v>
      </c>
      <c r="F555" s="3">
        <v>12285.35999999995</v>
      </c>
      <c r="G555" s="3">
        <v>0</v>
      </c>
      <c r="H555" s="3">
        <f t="shared" si="16"/>
        <v>12285.35999999995</v>
      </c>
      <c r="I555" s="3">
        <v>0</v>
      </c>
      <c r="J555" s="3"/>
      <c r="K555" s="3"/>
      <c r="L555" s="3"/>
    </row>
    <row r="556" spans="1:12">
      <c r="A556" s="3">
        <v>43090</v>
      </c>
      <c r="B556" s="3">
        <v>331.66</v>
      </c>
      <c r="C556" s="4" cm="1">
        <f t="array" aca="1" ref="C556" ca="1">INDIRECT(ADDRESS(ROW()-C$3,2))-INDIRECT(ADDRESS(ROW()-C$2,2))</f>
        <v>-7.2099999999999795</v>
      </c>
      <c r="D556" s="4" cm="1">
        <f t="array" aca="1" ref="D556" ca="1">INDIRECT(ADDRESS(ROW()-D$3,2))-INDIRECT(ADDRESS(ROW()-D$2,2))</f>
        <v>20.420000000000016</v>
      </c>
      <c r="E556" s="4">
        <f t="shared" ca="1" si="17"/>
        <v>336.21500000000003</v>
      </c>
      <c r="F556" s="3">
        <v>12285.35999999995</v>
      </c>
      <c r="G556" s="3">
        <v>0</v>
      </c>
      <c r="H556" s="3">
        <f t="shared" si="16"/>
        <v>12285.35999999995</v>
      </c>
      <c r="I556" s="3">
        <v>0</v>
      </c>
      <c r="J556" s="3"/>
      <c r="K556" s="3"/>
      <c r="L556" s="3"/>
    </row>
    <row r="557" spans="1:12">
      <c r="A557" s="3">
        <v>43091</v>
      </c>
      <c r="B557" s="3">
        <v>325.2</v>
      </c>
      <c r="C557" s="4" cm="1">
        <f t="array" aca="1" ref="C557" ca="1">INDIRECT(ADDRESS(ROW()-C$3,2))-INDIRECT(ADDRESS(ROW()-C$2,2))</f>
        <v>-5.9000000000000341</v>
      </c>
      <c r="D557" s="4" cm="1">
        <f t="array" aca="1" ref="D557" ca="1">INDIRECT(ADDRESS(ROW()-D$3,2))-INDIRECT(ADDRESS(ROW()-D$2,2))</f>
        <v>10.069999999999993</v>
      </c>
      <c r="E557" s="4">
        <f t="shared" ca="1" si="17"/>
        <v>335.26499999999999</v>
      </c>
      <c r="F557" s="3">
        <v>12285.35999999995</v>
      </c>
      <c r="G557" s="3">
        <v>0</v>
      </c>
      <c r="H557" s="3">
        <f t="shared" si="16"/>
        <v>12285.35999999995</v>
      </c>
      <c r="I557" s="3">
        <v>0</v>
      </c>
      <c r="J557" s="3"/>
      <c r="K557" s="3"/>
      <c r="L557" s="3"/>
    </row>
    <row r="558" spans="1:12">
      <c r="A558" s="3">
        <v>43095</v>
      </c>
      <c r="B558" s="3">
        <v>317.29000000000002</v>
      </c>
      <c r="C558" s="4" cm="1">
        <f t="array" aca="1" ref="C558" ca="1">INDIRECT(ADDRESS(ROW()-C$3,2))-INDIRECT(ADDRESS(ROW()-C$2,2))</f>
        <v>-11.689999999999998</v>
      </c>
      <c r="D558" s="4" cm="1">
        <f t="array" aca="1" ref="D558" ca="1">INDIRECT(ADDRESS(ROW()-D$3,2))-INDIRECT(ADDRESS(ROW()-D$2,2))</f>
        <v>-11.620000000000005</v>
      </c>
      <c r="E558" s="4">
        <f t="shared" ca="1" si="17"/>
        <v>328.15</v>
      </c>
      <c r="F558" s="3">
        <v>12285.35999999995</v>
      </c>
      <c r="G558" s="3">
        <v>0</v>
      </c>
      <c r="H558" s="3">
        <f t="shared" si="16"/>
        <v>12285.35999999995</v>
      </c>
      <c r="I558" s="3">
        <v>0</v>
      </c>
      <c r="J558" s="3"/>
      <c r="K558" s="3"/>
      <c r="L558" s="3"/>
    </row>
    <row r="559" spans="1:12">
      <c r="A559" s="3">
        <v>43096</v>
      </c>
      <c r="B559" s="3">
        <v>311.64</v>
      </c>
      <c r="C559" s="4" cm="1">
        <f t="array" aca="1" ref="C559" ca="1">INDIRECT(ADDRESS(ROW()-C$3,2))-INDIRECT(ADDRESS(ROW()-C$2,2))</f>
        <v>-20.020000000000039</v>
      </c>
      <c r="D559" s="4" cm="1">
        <f t="array" aca="1" ref="D559" ca="1">INDIRECT(ADDRESS(ROW()-D$3,2))-INDIRECT(ADDRESS(ROW()-D$2,2))</f>
        <v>-29.389999999999986</v>
      </c>
      <c r="E559" s="4">
        <f t="shared" ca="1" si="17"/>
        <v>323.13499999999999</v>
      </c>
      <c r="F559" s="3">
        <v>12285.35999999995</v>
      </c>
      <c r="G559" s="3">
        <v>0</v>
      </c>
      <c r="H559" s="3">
        <f t="shared" si="16"/>
        <v>12285.35999999995</v>
      </c>
      <c r="I559" s="3">
        <v>0</v>
      </c>
      <c r="J559" s="3"/>
      <c r="K559" s="3"/>
      <c r="L559" s="3"/>
    </row>
    <row r="560" spans="1:12">
      <c r="A560" s="3">
        <v>43097</v>
      </c>
      <c r="B560" s="3">
        <v>315.36</v>
      </c>
      <c r="C560" s="4" cm="1">
        <f t="array" aca="1" ref="C560" ca="1">INDIRECT(ADDRESS(ROW()-C$3,2))-INDIRECT(ADDRESS(ROW()-C$2,2))</f>
        <v>-9.839999999999975</v>
      </c>
      <c r="D560" s="4" cm="1">
        <f t="array" aca="1" ref="D560" ca="1">INDIRECT(ADDRESS(ROW()-D$3,2))-INDIRECT(ADDRESS(ROW()-D$2,2))</f>
        <v>-23.669999999999959</v>
      </c>
      <c r="E560" s="4">
        <f t="shared" ca="1" si="17"/>
        <v>321.64999999999998</v>
      </c>
      <c r="F560" s="3">
        <v>12285.35999999995</v>
      </c>
      <c r="G560" s="3">
        <v>0</v>
      </c>
      <c r="H560" s="3">
        <f t="shared" si="16"/>
        <v>12285.35999999995</v>
      </c>
      <c r="I560" s="3">
        <v>0</v>
      </c>
      <c r="J560" s="3"/>
      <c r="K560" s="3"/>
      <c r="L560" s="3"/>
    </row>
    <row r="561" spans="1:12">
      <c r="A561" s="3">
        <v>43098</v>
      </c>
      <c r="B561" s="3">
        <v>311.35000000000002</v>
      </c>
      <c r="C561" s="4" cm="1">
        <f t="array" aca="1" ref="C561" ca="1">INDIRECT(ADDRESS(ROW()-C$3,2))-INDIRECT(ADDRESS(ROW()-C$2,2))</f>
        <v>-5.9399999999999977</v>
      </c>
      <c r="D561" s="4" cm="1">
        <f t="array" aca="1" ref="D561" ca="1">INDIRECT(ADDRESS(ROW()-D$3,2))-INDIRECT(ADDRESS(ROW()-D$2,2))</f>
        <v>-26.539999999999964</v>
      </c>
      <c r="E561" s="4">
        <f t="shared" ca="1" si="17"/>
        <v>320.27999999999997</v>
      </c>
      <c r="F561" s="3">
        <v>12285.35999999995</v>
      </c>
      <c r="G561" s="3">
        <v>0</v>
      </c>
      <c r="H561" s="3">
        <f t="shared" si="16"/>
        <v>12285.35999999995</v>
      </c>
      <c r="I561" s="3">
        <v>0</v>
      </c>
      <c r="J561" s="3"/>
      <c r="K561" s="3"/>
      <c r="L561" s="3"/>
    </row>
    <row r="562" spans="1:12">
      <c r="A562" s="3">
        <v>43102</v>
      </c>
      <c r="B562" s="3">
        <v>320.52999999999997</v>
      </c>
      <c r="C562" s="4" cm="1">
        <f t="array" aca="1" ref="C562" ca="1">INDIRECT(ADDRESS(ROW()-C$3,2))-INDIRECT(ADDRESS(ROW()-C$2,2))</f>
        <v>8.8899999999999864</v>
      </c>
      <c r="D562" s="4" cm="1">
        <f t="array" aca="1" ref="D562" ca="1">INDIRECT(ADDRESS(ROW()-D$3,2))-INDIRECT(ADDRESS(ROW()-D$2,2))</f>
        <v>-22.920000000000016</v>
      </c>
      <c r="E562" s="4">
        <f t="shared" ca="1" si="17"/>
        <v>314.32000000000005</v>
      </c>
      <c r="F562" s="3">
        <v>105.21999999994682</v>
      </c>
      <c r="G562" s="3">
        <v>12180.14</v>
      </c>
      <c r="H562" s="3">
        <f t="shared" si="16"/>
        <v>12285.359999999946</v>
      </c>
      <c r="I562" s="3">
        <v>38</v>
      </c>
      <c r="J562" s="3"/>
      <c r="K562" s="3"/>
      <c r="L562" s="3"/>
    </row>
    <row r="563" spans="1:12">
      <c r="A563" s="3">
        <v>43103</v>
      </c>
      <c r="B563" s="3">
        <v>317.25</v>
      </c>
      <c r="C563" s="4" cm="1">
        <f t="array" aca="1" ref="C563" ca="1">INDIRECT(ADDRESS(ROW()-C$3,2))-INDIRECT(ADDRESS(ROW()-C$2,2))</f>
        <v>1.8899999999999864</v>
      </c>
      <c r="D563" s="4" cm="1">
        <f t="array" aca="1" ref="D563" ca="1">INDIRECT(ADDRESS(ROW()-D$3,2))-INDIRECT(ADDRESS(ROW()-D$2,2))</f>
        <v>-21.620000000000005</v>
      </c>
      <c r="E563" s="4">
        <f t="shared" ca="1" si="17"/>
        <v>316.08499999999998</v>
      </c>
      <c r="F563" s="3">
        <v>105.21999999994682</v>
      </c>
      <c r="G563" s="3">
        <v>12055.5</v>
      </c>
      <c r="H563" s="3">
        <f t="shared" si="16"/>
        <v>12160.719999999947</v>
      </c>
      <c r="I563" s="3">
        <v>38</v>
      </c>
      <c r="J563" s="3"/>
      <c r="K563" s="3"/>
      <c r="L563" s="3"/>
    </row>
    <row r="564" spans="1:12">
      <c r="A564" s="3">
        <v>43104</v>
      </c>
      <c r="B564" s="3">
        <v>314.62</v>
      </c>
      <c r="C564" s="4" cm="1">
        <f t="array" aca="1" ref="C564" ca="1">INDIRECT(ADDRESS(ROW()-C$3,2))-INDIRECT(ADDRESS(ROW()-C$2,2))</f>
        <v>3.2699999999999818</v>
      </c>
      <c r="D564" s="4" cm="1">
        <f t="array" aca="1" ref="D564" ca="1">INDIRECT(ADDRESS(ROW()-D$3,2))-INDIRECT(ADDRESS(ROW()-D$2,2))</f>
        <v>-16.480000000000018</v>
      </c>
      <c r="E564" s="4">
        <f t="shared" ca="1" si="17"/>
        <v>316.30500000000001</v>
      </c>
      <c r="F564" s="3">
        <v>105.21999999994682</v>
      </c>
      <c r="G564" s="3">
        <v>11955.56</v>
      </c>
      <c r="H564" s="3">
        <f t="shared" si="16"/>
        <v>12060.779999999946</v>
      </c>
      <c r="I564" s="3">
        <v>38</v>
      </c>
      <c r="J564" s="3"/>
      <c r="K564" s="3"/>
      <c r="L564" s="3"/>
    </row>
    <row r="565" spans="1:12">
      <c r="A565" s="3">
        <v>43105</v>
      </c>
      <c r="B565" s="3">
        <v>316.58</v>
      </c>
      <c r="C565" s="4" cm="1">
        <f t="array" aca="1" ref="C565" ca="1">INDIRECT(ADDRESS(ROW()-C$3,2))-INDIRECT(ADDRESS(ROW()-C$2,2))</f>
        <v>-3.9499999999999886</v>
      </c>
      <c r="D565" s="4" cm="1">
        <f t="array" aca="1" ref="D565" ca="1">INDIRECT(ADDRESS(ROW()-D$3,2))-INDIRECT(ADDRESS(ROW()-D$2,2))</f>
        <v>-12.400000000000034</v>
      </c>
      <c r="E565" s="4">
        <f t="shared" ca="1" si="17"/>
        <v>312.98500000000001</v>
      </c>
      <c r="F565" s="3">
        <v>12135.259999999946</v>
      </c>
      <c r="G565" s="3">
        <v>0</v>
      </c>
      <c r="H565" s="3">
        <f t="shared" si="16"/>
        <v>12135.259999999946</v>
      </c>
      <c r="I565" s="3">
        <v>0</v>
      </c>
      <c r="J565" s="3"/>
      <c r="K565" s="3"/>
      <c r="L565" s="3"/>
    </row>
    <row r="566" spans="1:12">
      <c r="A566" s="3">
        <v>43108</v>
      </c>
      <c r="B566" s="3">
        <v>336.41</v>
      </c>
      <c r="C566" s="4" cm="1">
        <f t="array" aca="1" ref="C566" ca="1">INDIRECT(ADDRESS(ROW()-C$3,2))-INDIRECT(ADDRESS(ROW()-C$2,2))</f>
        <v>19.160000000000025</v>
      </c>
      <c r="D566" s="4" cm="1">
        <f t="array" aca="1" ref="D566" ca="1">INDIRECT(ADDRESS(ROW()-D$3,2))-INDIRECT(ADDRESS(ROW()-D$2,2))</f>
        <v>4.75</v>
      </c>
      <c r="E566" s="4">
        <f t="shared" ca="1" si="17"/>
        <v>318.55499999999995</v>
      </c>
      <c r="F566" s="3">
        <v>24.499999999949409</v>
      </c>
      <c r="G566" s="3">
        <v>12110.76</v>
      </c>
      <c r="H566" s="3">
        <f t="shared" si="16"/>
        <v>12135.259999999949</v>
      </c>
      <c r="I566" s="3">
        <v>36</v>
      </c>
      <c r="J566" s="3"/>
      <c r="K566" s="3"/>
      <c r="L566" s="3"/>
    </row>
    <row r="567" spans="1:12">
      <c r="A567" s="3">
        <v>43109</v>
      </c>
      <c r="B567" s="3">
        <v>333.69</v>
      </c>
      <c r="C567" s="4" cm="1">
        <f t="array" aca="1" ref="C567" ca="1">INDIRECT(ADDRESS(ROW()-C$3,2))-INDIRECT(ADDRESS(ROW()-C$2,2))</f>
        <v>19.069999999999993</v>
      </c>
      <c r="D567" s="4" cm="1">
        <f t="array" aca="1" ref="D567" ca="1">INDIRECT(ADDRESS(ROW()-D$3,2))-INDIRECT(ADDRESS(ROW()-D$2,2))</f>
        <v>8.4900000000000091</v>
      </c>
      <c r="E567" s="4">
        <f t="shared" ca="1" si="17"/>
        <v>326.83000000000004</v>
      </c>
      <c r="F567" s="3">
        <v>24.499999999949409</v>
      </c>
      <c r="G567" s="3">
        <v>12012.84</v>
      </c>
      <c r="H567" s="3">
        <f t="shared" si="16"/>
        <v>12037.339999999949</v>
      </c>
      <c r="I567" s="3">
        <v>36</v>
      </c>
      <c r="J567" s="3"/>
      <c r="K567" s="3"/>
      <c r="L567" s="3"/>
    </row>
    <row r="568" spans="1:12">
      <c r="A568" s="3">
        <v>43110</v>
      </c>
      <c r="B568" s="3">
        <v>334.8</v>
      </c>
      <c r="C568" s="4" cm="1">
        <f t="array" aca="1" ref="C568" ca="1">INDIRECT(ADDRESS(ROW()-C$3,2))-INDIRECT(ADDRESS(ROW()-C$2,2))</f>
        <v>18.220000000000027</v>
      </c>
      <c r="D568" s="4" cm="1">
        <f t="array" aca="1" ref="D568" ca="1">INDIRECT(ADDRESS(ROW()-D$3,2))-INDIRECT(ADDRESS(ROW()-D$2,2))</f>
        <v>17.509999999999991</v>
      </c>
      <c r="E568" s="4">
        <f t="shared" ca="1" si="17"/>
        <v>324.15499999999997</v>
      </c>
      <c r="F568" s="3">
        <v>24.499999999949409</v>
      </c>
      <c r="G568" s="3">
        <v>12052.800000000001</v>
      </c>
      <c r="H568" s="3">
        <f t="shared" si="16"/>
        <v>12077.29999999995</v>
      </c>
      <c r="I568" s="3">
        <v>36</v>
      </c>
      <c r="J568" s="3"/>
      <c r="K568" s="3"/>
      <c r="L568" s="3"/>
    </row>
    <row r="569" spans="1:12">
      <c r="A569" s="3">
        <v>43111</v>
      </c>
      <c r="B569" s="3">
        <v>337.95</v>
      </c>
      <c r="C569" s="4" cm="1">
        <f t="array" aca="1" ref="C569" ca="1">INDIRECT(ADDRESS(ROW()-C$3,2))-INDIRECT(ADDRESS(ROW()-C$2,2))</f>
        <v>1.5399999999999636</v>
      </c>
      <c r="D569" s="4" cm="1">
        <f t="array" aca="1" ref="D569" ca="1">INDIRECT(ADDRESS(ROW()-D$3,2))-INDIRECT(ADDRESS(ROW()-D$2,2))</f>
        <v>26.310000000000002</v>
      </c>
      <c r="E569" s="4">
        <f t="shared" ca="1" si="17"/>
        <v>325.69</v>
      </c>
      <c r="F569" s="3">
        <v>24.499999999949409</v>
      </c>
      <c r="G569" s="3">
        <v>12166.199999999999</v>
      </c>
      <c r="H569" s="3">
        <f t="shared" si="16"/>
        <v>12190.699999999948</v>
      </c>
      <c r="I569" s="3">
        <v>36</v>
      </c>
      <c r="J569" s="3"/>
      <c r="K569" s="3"/>
      <c r="L569" s="3"/>
    </row>
    <row r="570" spans="1:12">
      <c r="A570" s="3">
        <v>43112</v>
      </c>
      <c r="B570" s="3">
        <v>336.22</v>
      </c>
      <c r="C570" s="4" cm="1">
        <f t="array" aca="1" ref="C570" ca="1">INDIRECT(ADDRESS(ROW()-C$3,2))-INDIRECT(ADDRESS(ROW()-C$2,2))</f>
        <v>2.5300000000000296</v>
      </c>
      <c r="D570" s="4" cm="1">
        <f t="array" aca="1" ref="D570" ca="1">INDIRECT(ADDRESS(ROW()-D$3,2))-INDIRECT(ADDRESS(ROW()-D$2,2))</f>
        <v>20.860000000000014</v>
      </c>
      <c r="E570" s="4">
        <f t="shared" ca="1" si="17"/>
        <v>337.18</v>
      </c>
      <c r="F570" s="3">
        <v>24.499999999949409</v>
      </c>
      <c r="G570" s="3">
        <v>12103.920000000002</v>
      </c>
      <c r="H570" s="3">
        <f t="shared" si="16"/>
        <v>12128.419999999951</v>
      </c>
      <c r="I570" s="3">
        <v>36</v>
      </c>
      <c r="J570" s="3"/>
      <c r="K570" s="3"/>
      <c r="L570" s="3"/>
    </row>
    <row r="571" spans="1:12">
      <c r="A571" s="3">
        <v>43116</v>
      </c>
      <c r="B571" s="3">
        <v>340.06</v>
      </c>
      <c r="C571" s="4" cm="1">
        <f t="array" aca="1" ref="C571" ca="1">INDIRECT(ADDRESS(ROW()-C$3,2))-INDIRECT(ADDRESS(ROW()-C$2,2))</f>
        <v>5.2599999999999909</v>
      </c>
      <c r="D571" s="4" cm="1">
        <f t="array" aca="1" ref="D571" ca="1">INDIRECT(ADDRESS(ROW()-D$3,2))-INDIRECT(ADDRESS(ROW()-D$2,2))</f>
        <v>28.70999999999998</v>
      </c>
      <c r="E571" s="4">
        <f t="shared" ca="1" si="17"/>
        <v>334.95500000000004</v>
      </c>
      <c r="F571" s="3">
        <v>24.499999999949409</v>
      </c>
      <c r="G571" s="3">
        <v>12242.16</v>
      </c>
      <c r="H571" s="3">
        <f t="shared" si="16"/>
        <v>12266.659999999949</v>
      </c>
      <c r="I571" s="3">
        <v>36</v>
      </c>
      <c r="J571" s="3"/>
      <c r="K571" s="3"/>
      <c r="L571" s="3"/>
    </row>
    <row r="572" spans="1:12">
      <c r="A572" s="3">
        <v>43117</v>
      </c>
      <c r="B572" s="3">
        <v>347.16</v>
      </c>
      <c r="C572" s="4" cm="1">
        <f t="array" aca="1" ref="C572" ca="1">INDIRECT(ADDRESS(ROW()-C$3,2))-INDIRECT(ADDRESS(ROW()-C$2,2))</f>
        <v>9.2100000000000364</v>
      </c>
      <c r="D572" s="4" cm="1">
        <f t="array" aca="1" ref="D572" ca="1">INDIRECT(ADDRESS(ROW()-D$3,2))-INDIRECT(ADDRESS(ROW()-D$2,2))</f>
        <v>26.630000000000052</v>
      </c>
      <c r="E572" s="4">
        <f t="shared" ca="1" si="17"/>
        <v>337.43</v>
      </c>
      <c r="F572" s="3">
        <v>24.499999999949409</v>
      </c>
      <c r="G572" s="3">
        <v>12497.76</v>
      </c>
      <c r="H572" s="3">
        <f t="shared" si="16"/>
        <v>12522.259999999949</v>
      </c>
      <c r="I572" s="3">
        <v>36</v>
      </c>
      <c r="J572" s="3"/>
      <c r="K572" s="3"/>
      <c r="L572" s="3"/>
    </row>
    <row r="573" spans="1:12">
      <c r="A573" s="3">
        <v>43118</v>
      </c>
      <c r="B573" s="3">
        <v>344.57</v>
      </c>
      <c r="C573" s="4" cm="1">
        <f t="array" aca="1" ref="C573" ca="1">INDIRECT(ADDRESS(ROW()-C$3,2))-INDIRECT(ADDRESS(ROW()-C$2,2))</f>
        <v>8.3499999999999659</v>
      </c>
      <c r="D573" s="4" cm="1">
        <f t="array" aca="1" ref="D573" ca="1">INDIRECT(ADDRESS(ROW()-D$3,2))-INDIRECT(ADDRESS(ROW()-D$2,2))</f>
        <v>27.319999999999993</v>
      </c>
      <c r="E573" s="4">
        <f t="shared" ca="1" si="17"/>
        <v>342.55500000000001</v>
      </c>
      <c r="F573" s="3">
        <v>24.499999999949409</v>
      </c>
      <c r="G573" s="3">
        <v>12404.52</v>
      </c>
      <c r="H573" s="3">
        <f t="shared" si="16"/>
        <v>12429.01999999995</v>
      </c>
      <c r="I573" s="3">
        <v>36</v>
      </c>
      <c r="J573" s="3"/>
      <c r="K573" s="3"/>
      <c r="L573" s="3"/>
    </row>
    <row r="574" spans="1:12">
      <c r="A574" s="3">
        <v>43119</v>
      </c>
      <c r="B574" s="3">
        <v>350.02</v>
      </c>
      <c r="C574" s="4" cm="1">
        <f t="array" aca="1" ref="C574" ca="1">INDIRECT(ADDRESS(ROW()-C$3,2))-INDIRECT(ADDRESS(ROW()-C$2,2))</f>
        <v>9.9599999999999795</v>
      </c>
      <c r="D574" s="4" cm="1">
        <f t="array" aca="1" ref="D574" ca="1">INDIRECT(ADDRESS(ROW()-D$3,2))-INDIRECT(ADDRESS(ROW()-D$2,2))</f>
        <v>35.399999999999977</v>
      </c>
      <c r="E574" s="4">
        <f t="shared" ca="1" si="17"/>
        <v>340.39499999999998</v>
      </c>
      <c r="F574" s="3">
        <v>24.499999999949409</v>
      </c>
      <c r="G574" s="3">
        <v>12600.72</v>
      </c>
      <c r="H574" s="3">
        <f t="shared" si="16"/>
        <v>12625.219999999948</v>
      </c>
      <c r="I574" s="3">
        <v>36</v>
      </c>
      <c r="J574" s="3"/>
      <c r="K574" s="3"/>
      <c r="L574" s="3"/>
    </row>
    <row r="575" spans="1:12">
      <c r="A575" s="3">
        <v>43122</v>
      </c>
      <c r="B575" s="3">
        <v>351.56</v>
      </c>
      <c r="C575" s="4" cm="1">
        <f t="array" aca="1" ref="C575" ca="1">INDIRECT(ADDRESS(ROW()-C$3,2))-INDIRECT(ADDRESS(ROW()-C$2,2))</f>
        <v>4.3999999999999773</v>
      </c>
      <c r="D575" s="4" cm="1">
        <f t="array" aca="1" ref="D575" ca="1">INDIRECT(ADDRESS(ROW()-D$3,2))-INDIRECT(ADDRESS(ROW()-D$2,2))</f>
        <v>34.980000000000018</v>
      </c>
      <c r="E575" s="4">
        <f t="shared" ca="1" si="17"/>
        <v>345.03999999999996</v>
      </c>
      <c r="F575" s="3">
        <v>24.499999999949409</v>
      </c>
      <c r="G575" s="3">
        <v>12656.16</v>
      </c>
      <c r="H575" s="3">
        <f t="shared" si="16"/>
        <v>12680.659999999949</v>
      </c>
      <c r="I575" s="3">
        <v>36</v>
      </c>
      <c r="J575" s="3"/>
      <c r="K575" s="3"/>
      <c r="L575" s="3"/>
    </row>
    <row r="576" spans="1:12">
      <c r="A576" s="3">
        <v>43123</v>
      </c>
      <c r="B576" s="3">
        <v>352.79</v>
      </c>
      <c r="C576" s="4" cm="1">
        <f t="array" aca="1" ref="C576" ca="1">INDIRECT(ADDRESS(ROW()-C$3,2))-INDIRECT(ADDRESS(ROW()-C$2,2))</f>
        <v>8.2200000000000273</v>
      </c>
      <c r="D576" s="4" cm="1">
        <f t="array" aca="1" ref="D576" ca="1">INDIRECT(ADDRESS(ROW()-D$3,2))-INDIRECT(ADDRESS(ROW()-D$2,2))</f>
        <v>16.379999999999995</v>
      </c>
      <c r="E576" s="4">
        <f t="shared" ca="1" si="17"/>
        <v>349.36</v>
      </c>
      <c r="F576" s="3">
        <v>24.499999999949409</v>
      </c>
      <c r="G576" s="3">
        <v>12700.44</v>
      </c>
      <c r="H576" s="3">
        <f t="shared" si="16"/>
        <v>12724.93999999995</v>
      </c>
      <c r="I576" s="3">
        <v>36</v>
      </c>
      <c r="J576" s="3"/>
      <c r="K576" s="3"/>
      <c r="L576" s="3"/>
    </row>
    <row r="577" spans="1:12">
      <c r="A577" s="3">
        <v>43124</v>
      </c>
      <c r="B577" s="3">
        <v>345.89</v>
      </c>
      <c r="C577" s="4" cm="1">
        <f t="array" aca="1" ref="C577" ca="1">INDIRECT(ADDRESS(ROW()-C$3,2))-INDIRECT(ADDRESS(ROW()-C$2,2))</f>
        <v>-4.1299999999999955</v>
      </c>
      <c r="D577" s="4" cm="1">
        <f t="array" aca="1" ref="D577" ca="1">INDIRECT(ADDRESS(ROW()-D$3,2))-INDIRECT(ADDRESS(ROW()-D$2,2))</f>
        <v>12.199999999999989</v>
      </c>
      <c r="E577" s="4">
        <f t="shared" ca="1" si="17"/>
        <v>348.68</v>
      </c>
      <c r="F577" s="3">
        <v>12476.539999999948</v>
      </c>
      <c r="G577" s="3">
        <v>0</v>
      </c>
      <c r="H577" s="3">
        <f t="shared" si="16"/>
        <v>12476.539999999948</v>
      </c>
      <c r="I577" s="3">
        <v>0</v>
      </c>
      <c r="J577" s="3"/>
      <c r="K577" s="3"/>
      <c r="L577" s="3"/>
    </row>
    <row r="578" spans="1:12">
      <c r="A578" s="3">
        <v>43125</v>
      </c>
      <c r="B578" s="3">
        <v>337.64</v>
      </c>
      <c r="C578" s="4" cm="1">
        <f t="array" aca="1" ref="C578" ca="1">INDIRECT(ADDRESS(ROW()-C$3,2))-INDIRECT(ADDRESS(ROW()-C$2,2))</f>
        <v>-13.920000000000016</v>
      </c>
      <c r="D578" s="4" cm="1">
        <f t="array" aca="1" ref="D578" ca="1">INDIRECT(ADDRESS(ROW()-D$3,2))-INDIRECT(ADDRESS(ROW()-D$2,2))</f>
        <v>2.839999999999975</v>
      </c>
      <c r="E578" s="4">
        <f t="shared" ca="1" si="17"/>
        <v>347.95499999999998</v>
      </c>
      <c r="F578" s="3">
        <v>12476.539999999948</v>
      </c>
      <c r="G578" s="3">
        <v>0</v>
      </c>
      <c r="H578" s="3">
        <f t="shared" si="16"/>
        <v>12476.539999999948</v>
      </c>
      <c r="I578" s="3">
        <v>0</v>
      </c>
      <c r="J578" s="3"/>
      <c r="K578" s="3"/>
      <c r="L578" s="3"/>
    </row>
    <row r="579" spans="1:12">
      <c r="A579" s="3">
        <v>43126</v>
      </c>
      <c r="B579" s="3">
        <v>342.85</v>
      </c>
      <c r="C579" s="4" cm="1">
        <f t="array" aca="1" ref="C579" ca="1">INDIRECT(ADDRESS(ROW()-C$3,2))-INDIRECT(ADDRESS(ROW()-C$2,2))</f>
        <v>-9.9399999999999977</v>
      </c>
      <c r="D579" s="4" cm="1">
        <f t="array" aca="1" ref="D579" ca="1">INDIRECT(ADDRESS(ROW()-D$3,2))-INDIRECT(ADDRESS(ROW()-D$2,2))</f>
        <v>4.9000000000000341</v>
      </c>
      <c r="E579" s="4">
        <f t="shared" ca="1" si="17"/>
        <v>344.6</v>
      </c>
      <c r="F579" s="3">
        <v>12476.539999999948</v>
      </c>
      <c r="G579" s="3">
        <v>0</v>
      </c>
      <c r="H579" s="3">
        <f t="shared" si="16"/>
        <v>12476.539999999948</v>
      </c>
      <c r="I579" s="3">
        <v>0</v>
      </c>
      <c r="J579" s="3"/>
      <c r="K579" s="3"/>
      <c r="L579" s="3"/>
    </row>
    <row r="580" spans="1:12">
      <c r="A580" s="3">
        <v>43129</v>
      </c>
      <c r="B580" s="3">
        <v>349.53</v>
      </c>
      <c r="C580" s="4" cm="1">
        <f t="array" aca="1" ref="C580" ca="1">INDIRECT(ADDRESS(ROW()-C$3,2))-INDIRECT(ADDRESS(ROW()-C$2,2))</f>
        <v>3.6399999999999864</v>
      </c>
      <c r="D580" s="4" cm="1">
        <f t="array" aca="1" ref="D580" ca="1">INDIRECT(ADDRESS(ROW()-D$3,2))-INDIRECT(ADDRESS(ROW()-D$2,2))</f>
        <v>13.309999999999945</v>
      </c>
      <c r="E580" s="4">
        <f t="shared" ca="1" si="17"/>
        <v>347.82000000000005</v>
      </c>
      <c r="F580" s="3">
        <v>242.98999999994476</v>
      </c>
      <c r="G580" s="3">
        <v>12233.55</v>
      </c>
      <c r="H580" s="3">
        <f t="shared" si="16"/>
        <v>12476.539999999944</v>
      </c>
      <c r="I580" s="3">
        <v>35</v>
      </c>
      <c r="J580" s="3"/>
      <c r="K580" s="3"/>
      <c r="L580" s="3"/>
    </row>
    <row r="581" spans="1:12">
      <c r="A581" s="3">
        <v>43130</v>
      </c>
      <c r="B581" s="3">
        <v>345.82</v>
      </c>
      <c r="C581" s="4" cm="1">
        <f t="array" aca="1" ref="C581" ca="1">INDIRECT(ADDRESS(ROW()-C$3,2))-INDIRECT(ADDRESS(ROW()-C$2,2))</f>
        <v>8.1800000000000068</v>
      </c>
      <c r="D581" s="4" cm="1">
        <f t="array" aca="1" ref="D581" ca="1">INDIRECT(ADDRESS(ROW()-D$3,2))-INDIRECT(ADDRESS(ROW()-D$2,2))</f>
        <v>5.7599999999999909</v>
      </c>
      <c r="E581" s="4">
        <f t="shared" ca="1" si="17"/>
        <v>347.71</v>
      </c>
      <c r="F581" s="3">
        <v>242.98999999994476</v>
      </c>
      <c r="G581" s="3">
        <v>12103.699999999999</v>
      </c>
      <c r="H581" s="3">
        <f t="shared" si="16"/>
        <v>12346.689999999944</v>
      </c>
      <c r="I581" s="3">
        <v>35</v>
      </c>
      <c r="J581" s="3"/>
      <c r="K581" s="3"/>
      <c r="L581" s="3"/>
    </row>
    <row r="582" spans="1:12">
      <c r="A582" s="3">
        <v>43131</v>
      </c>
      <c r="B582" s="3">
        <v>354.31</v>
      </c>
      <c r="C582" s="4" cm="1">
        <f t="array" aca="1" ref="C582" ca="1">INDIRECT(ADDRESS(ROW()-C$3,2))-INDIRECT(ADDRESS(ROW()-C$2,2))</f>
        <v>11.45999999999998</v>
      </c>
      <c r="D582" s="4" cm="1">
        <f t="array" aca="1" ref="D582" ca="1">INDIRECT(ADDRESS(ROW()-D$3,2))-INDIRECT(ADDRESS(ROW()-D$2,2))</f>
        <v>7.1499999999999773</v>
      </c>
      <c r="E582" s="4">
        <f t="shared" ca="1" si="17"/>
        <v>341.73</v>
      </c>
      <c r="F582" s="3">
        <v>242.98999999994476</v>
      </c>
      <c r="G582" s="3">
        <v>12400.85</v>
      </c>
      <c r="H582" s="3">
        <f t="shared" si="16"/>
        <v>12643.839999999946</v>
      </c>
      <c r="I582" s="3">
        <v>35</v>
      </c>
      <c r="J582" s="3"/>
      <c r="K582" s="3"/>
      <c r="L582" s="3"/>
    </row>
    <row r="583" spans="1:12">
      <c r="A583" s="3">
        <v>43132</v>
      </c>
      <c r="B583" s="3">
        <v>349.25</v>
      </c>
      <c r="C583" s="4" cm="1">
        <f t="array" aca="1" ref="C583" ca="1">INDIRECT(ADDRESS(ROW()-C$3,2))-INDIRECT(ADDRESS(ROW()-C$2,2))</f>
        <v>-0.27999999999997272</v>
      </c>
      <c r="D583" s="4" cm="1">
        <f t="array" aca="1" ref="D583" ca="1">INDIRECT(ADDRESS(ROW()-D$3,2))-INDIRECT(ADDRESS(ROW()-D$2,2))</f>
        <v>4.6800000000000068</v>
      </c>
      <c r="E583" s="4">
        <f t="shared" ca="1" si="17"/>
        <v>348.58000000000004</v>
      </c>
      <c r="F583" s="3">
        <v>12466.739999999945</v>
      </c>
      <c r="G583" s="3">
        <v>0</v>
      </c>
      <c r="H583" s="3">
        <f t="shared" si="16"/>
        <v>12466.739999999945</v>
      </c>
      <c r="I583" s="3">
        <v>0</v>
      </c>
      <c r="J583" s="3"/>
      <c r="K583" s="3"/>
      <c r="L583" s="3"/>
    </row>
    <row r="584" spans="1:12">
      <c r="A584" s="3">
        <v>43133</v>
      </c>
      <c r="B584" s="3">
        <v>343.75</v>
      </c>
      <c r="C584" s="4" cm="1">
        <f t="array" aca="1" ref="C584" ca="1">INDIRECT(ADDRESS(ROW()-C$3,2))-INDIRECT(ADDRESS(ROW()-C$2,2))</f>
        <v>-2.0699999999999932</v>
      </c>
      <c r="D584" s="4" cm="1">
        <f t="array" aca="1" ref="D584" ca="1">INDIRECT(ADDRESS(ROW()-D$3,2))-INDIRECT(ADDRESS(ROW()-D$2,2))</f>
        <v>-6.2699999999999818</v>
      </c>
      <c r="E584" s="4">
        <f t="shared" ca="1" si="17"/>
        <v>349.39</v>
      </c>
      <c r="F584" s="3">
        <v>12466.739999999945</v>
      </c>
      <c r="G584" s="3">
        <v>0</v>
      </c>
      <c r="H584" s="3">
        <f t="shared" si="16"/>
        <v>12466.739999999945</v>
      </c>
      <c r="I584" s="3">
        <v>0</v>
      </c>
      <c r="J584" s="3"/>
      <c r="K584" s="3"/>
      <c r="L584" s="3"/>
    </row>
    <row r="585" spans="1:12">
      <c r="A585" s="3">
        <v>43136</v>
      </c>
      <c r="B585" s="3">
        <v>333.13</v>
      </c>
      <c r="C585" s="4" cm="1">
        <f t="array" aca="1" ref="C585" ca="1">INDIRECT(ADDRESS(ROW()-C$3,2))-INDIRECT(ADDRESS(ROW()-C$2,2))</f>
        <v>-21.180000000000007</v>
      </c>
      <c r="D585" s="4" cm="1">
        <f t="array" aca="1" ref="D585" ca="1">INDIRECT(ADDRESS(ROW()-D$3,2))-INDIRECT(ADDRESS(ROW()-D$2,2))</f>
        <v>-18.430000000000007</v>
      </c>
      <c r="E585" s="4">
        <f t="shared" ca="1" si="17"/>
        <v>344.78499999999997</v>
      </c>
      <c r="F585" s="3">
        <v>12466.739999999945</v>
      </c>
      <c r="G585" s="3">
        <v>0</v>
      </c>
      <c r="H585" s="3">
        <f t="shared" si="16"/>
        <v>12466.739999999945</v>
      </c>
      <c r="I585" s="3">
        <v>0</v>
      </c>
      <c r="J585" s="3"/>
      <c r="K585" s="3"/>
      <c r="L585" s="3"/>
    </row>
    <row r="586" spans="1:12">
      <c r="A586" s="3">
        <v>43137</v>
      </c>
      <c r="B586" s="3">
        <v>333.97</v>
      </c>
      <c r="C586" s="4" cm="1">
        <f t="array" aca="1" ref="C586" ca="1">INDIRECT(ADDRESS(ROW()-C$3,2))-INDIRECT(ADDRESS(ROW()-C$2,2))</f>
        <v>-15.279999999999973</v>
      </c>
      <c r="D586" s="4" cm="1">
        <f t="array" aca="1" ref="D586" ca="1">INDIRECT(ADDRESS(ROW()-D$3,2))-INDIRECT(ADDRESS(ROW()-D$2,2))</f>
        <v>-18.819999999999993</v>
      </c>
      <c r="E586" s="4">
        <f t="shared" ca="1" si="17"/>
        <v>343.72</v>
      </c>
      <c r="F586" s="3">
        <v>12466.739999999945</v>
      </c>
      <c r="G586" s="3">
        <v>0</v>
      </c>
      <c r="H586" s="3">
        <f t="shared" si="16"/>
        <v>12466.739999999945</v>
      </c>
      <c r="I586" s="3">
        <v>0</v>
      </c>
      <c r="J586" s="3"/>
      <c r="K586" s="3"/>
      <c r="L586" s="3"/>
    </row>
    <row r="587" spans="1:12">
      <c r="A587" s="3">
        <v>43138</v>
      </c>
      <c r="B587" s="3">
        <v>345</v>
      </c>
      <c r="C587" s="4" cm="1">
        <f t="array" aca="1" ref="C587" ca="1">INDIRECT(ADDRESS(ROW()-C$3,2))-INDIRECT(ADDRESS(ROW()-C$2,2))</f>
        <v>1.25</v>
      </c>
      <c r="D587" s="4" cm="1">
        <f t="array" aca="1" ref="D587" ca="1">INDIRECT(ADDRESS(ROW()-D$3,2))-INDIRECT(ADDRESS(ROW()-D$2,2))</f>
        <v>-0.88999999999998636</v>
      </c>
      <c r="E587" s="4">
        <f t="shared" ca="1" si="17"/>
        <v>341.61</v>
      </c>
      <c r="F587" s="3">
        <v>46.739999999945212</v>
      </c>
      <c r="G587" s="3">
        <v>12420</v>
      </c>
      <c r="H587" s="3">
        <f t="shared" si="16"/>
        <v>12466.739999999945</v>
      </c>
      <c r="I587" s="3">
        <v>36</v>
      </c>
      <c r="J587" s="3"/>
      <c r="K587" s="3"/>
      <c r="L587" s="3"/>
    </row>
    <row r="588" spans="1:12">
      <c r="A588" s="3">
        <v>43139</v>
      </c>
      <c r="B588" s="3">
        <v>315.23</v>
      </c>
      <c r="C588" s="4" cm="1">
        <f t="array" aca="1" ref="C588" ca="1">INDIRECT(ADDRESS(ROW()-C$3,2))-INDIRECT(ADDRESS(ROW()-C$2,2))</f>
        <v>-17.899999999999977</v>
      </c>
      <c r="D588" s="4" cm="1">
        <f t="array" aca="1" ref="D588" ca="1">INDIRECT(ADDRESS(ROW()-D$3,2))-INDIRECT(ADDRESS(ROW()-D$2,2))</f>
        <v>-22.409999999999968</v>
      </c>
      <c r="E588" s="4">
        <f t="shared" ca="1" si="17"/>
        <v>344.375</v>
      </c>
      <c r="F588" s="3">
        <v>11395.019999999946</v>
      </c>
      <c r="G588" s="3">
        <v>0</v>
      </c>
      <c r="H588" s="3">
        <f t="shared" si="16"/>
        <v>11395.019999999946</v>
      </c>
      <c r="I588" s="3">
        <v>0</v>
      </c>
      <c r="J588" s="3"/>
      <c r="K588" s="3"/>
      <c r="L588" s="3"/>
    </row>
    <row r="589" spans="1:12">
      <c r="A589" s="3">
        <v>43140</v>
      </c>
      <c r="B589" s="3">
        <v>310.42</v>
      </c>
      <c r="C589" s="4" cm="1">
        <f t="array" aca="1" ref="C589" ca="1">INDIRECT(ADDRESS(ROW()-C$3,2))-INDIRECT(ADDRESS(ROW()-C$2,2))</f>
        <v>-23.550000000000011</v>
      </c>
      <c r="D589" s="4" cm="1">
        <f t="array" aca="1" ref="D589" ca="1">INDIRECT(ADDRESS(ROW()-D$3,2))-INDIRECT(ADDRESS(ROW()-D$2,2))</f>
        <v>-32.430000000000007</v>
      </c>
      <c r="E589" s="4">
        <f t="shared" ca="1" si="17"/>
        <v>324.18</v>
      </c>
      <c r="F589" s="3">
        <v>11395.019999999946</v>
      </c>
      <c r="G589" s="3">
        <v>0</v>
      </c>
      <c r="H589" s="3">
        <f t="shared" si="16"/>
        <v>11395.019999999946</v>
      </c>
      <c r="I589" s="3">
        <v>0</v>
      </c>
      <c r="J589" s="3"/>
      <c r="K589" s="3"/>
      <c r="L589" s="3"/>
    </row>
    <row r="590" spans="1:12">
      <c r="A590" s="3">
        <v>43143</v>
      </c>
      <c r="B590" s="3">
        <v>315.73</v>
      </c>
      <c r="C590" s="4" cm="1">
        <f t="array" aca="1" ref="C590" ca="1">INDIRECT(ADDRESS(ROW()-C$3,2))-INDIRECT(ADDRESS(ROW()-C$2,2))</f>
        <v>-29.269999999999982</v>
      </c>
      <c r="D590" s="4" cm="1">
        <f t="array" aca="1" ref="D590" ca="1">INDIRECT(ADDRESS(ROW()-D$3,2))-INDIRECT(ADDRESS(ROW()-D$2,2))</f>
        <v>-33.799999999999955</v>
      </c>
      <c r="E590" s="4">
        <f t="shared" ca="1" si="17"/>
        <v>322.19500000000005</v>
      </c>
      <c r="F590" s="3">
        <v>11395.019999999946</v>
      </c>
      <c r="G590" s="3">
        <v>0</v>
      </c>
      <c r="H590" s="3">
        <f t="shared" si="16"/>
        <v>11395.019999999946</v>
      </c>
      <c r="I590" s="3">
        <v>0</v>
      </c>
      <c r="J590" s="3"/>
      <c r="K590" s="3"/>
      <c r="L590" s="3"/>
    </row>
    <row r="591" spans="1:12">
      <c r="A591" s="3">
        <v>43144</v>
      </c>
      <c r="B591" s="3">
        <v>323.66000000000003</v>
      </c>
      <c r="C591" s="4" cm="1">
        <f t="array" aca="1" ref="C591" ca="1">INDIRECT(ADDRESS(ROW()-C$3,2))-INDIRECT(ADDRESS(ROW()-C$2,2))</f>
        <v>8.4300000000000068</v>
      </c>
      <c r="D591" s="4" cm="1">
        <f t="array" aca="1" ref="D591" ca="1">INDIRECT(ADDRESS(ROW()-D$3,2))-INDIRECT(ADDRESS(ROW()-D$2,2))</f>
        <v>-22.159999999999968</v>
      </c>
      <c r="E591" s="4">
        <f t="shared" ca="1" si="17"/>
        <v>330.36500000000001</v>
      </c>
      <c r="F591" s="3">
        <v>66.919999999949482</v>
      </c>
      <c r="G591" s="3">
        <v>11328.1</v>
      </c>
      <c r="H591" s="3">
        <f t="shared" si="16"/>
        <v>11395.01999999995</v>
      </c>
      <c r="I591" s="3">
        <v>35</v>
      </c>
      <c r="J591" s="3"/>
      <c r="K591" s="3"/>
      <c r="L591" s="3"/>
    </row>
    <row r="592" spans="1:12">
      <c r="A592" s="3">
        <v>43145</v>
      </c>
      <c r="B592" s="3">
        <v>322.31</v>
      </c>
      <c r="C592" s="4" cm="1">
        <f t="array" aca="1" ref="C592" ca="1">INDIRECT(ADDRESS(ROW()-C$3,2))-INDIRECT(ADDRESS(ROW()-C$2,2))</f>
        <v>11.889999999999986</v>
      </c>
      <c r="D592" s="4" cm="1">
        <f t="array" aca="1" ref="D592" ca="1">INDIRECT(ADDRESS(ROW()-D$3,2))-INDIRECT(ADDRESS(ROW()-D$2,2))</f>
        <v>-32</v>
      </c>
      <c r="E592" s="4">
        <f t="shared" ca="1" si="17"/>
        <v>319.44500000000005</v>
      </c>
      <c r="F592" s="3">
        <v>66.919999999949482</v>
      </c>
      <c r="G592" s="3">
        <v>11280.85</v>
      </c>
      <c r="H592" s="3">
        <f t="shared" si="16"/>
        <v>11347.76999999995</v>
      </c>
      <c r="I592" s="3">
        <v>35</v>
      </c>
      <c r="J592" s="3"/>
      <c r="K592" s="3"/>
      <c r="L592" s="3"/>
    </row>
    <row r="593" spans="1:12">
      <c r="A593" s="3">
        <v>43146</v>
      </c>
      <c r="B593" s="3">
        <v>334.065</v>
      </c>
      <c r="C593" s="4" cm="1">
        <f t="array" aca="1" ref="C593" ca="1">INDIRECT(ADDRESS(ROW()-C$3,2))-INDIRECT(ADDRESS(ROW()-C$2,2))</f>
        <v>18.33499999999998</v>
      </c>
      <c r="D593" s="4" cm="1">
        <f t="array" aca="1" ref="D593" ca="1">INDIRECT(ADDRESS(ROW()-D$3,2))-INDIRECT(ADDRESS(ROW()-D$2,2))</f>
        <v>-15.185000000000002</v>
      </c>
      <c r="E593" s="4">
        <f t="shared" ca="1" si="17"/>
        <v>316.36500000000001</v>
      </c>
      <c r="F593" s="3">
        <v>66.919999999949482</v>
      </c>
      <c r="G593" s="3">
        <v>11692.275</v>
      </c>
      <c r="H593" s="3">
        <f t="shared" si="16"/>
        <v>11759.194999999949</v>
      </c>
      <c r="I593" s="3">
        <v>35</v>
      </c>
      <c r="J593" s="3"/>
      <c r="K593" s="3"/>
      <c r="L593" s="3"/>
    </row>
    <row r="594" spans="1:12">
      <c r="A594" s="3">
        <v>43147</v>
      </c>
      <c r="B594" s="3">
        <v>335.49</v>
      </c>
      <c r="C594" s="4" cm="1">
        <f t="array" aca="1" ref="C594" ca="1">INDIRECT(ADDRESS(ROW()-C$3,2))-INDIRECT(ADDRESS(ROW()-C$2,2))</f>
        <v>11.829999999999984</v>
      </c>
      <c r="D594" s="4" cm="1">
        <f t="array" aca="1" ref="D594" ca="1">INDIRECT(ADDRESS(ROW()-D$3,2))-INDIRECT(ADDRESS(ROW()-D$2,2))</f>
        <v>-8.2599999999999909</v>
      </c>
      <c r="E594" s="4">
        <f t="shared" ca="1" si="17"/>
        <v>324.89750000000004</v>
      </c>
      <c r="F594" s="3">
        <v>66.919999999949482</v>
      </c>
      <c r="G594" s="3">
        <v>11742.15</v>
      </c>
      <c r="H594" s="3">
        <f t="shared" si="16"/>
        <v>11809.069999999949</v>
      </c>
      <c r="I594" s="3">
        <v>35</v>
      </c>
      <c r="J594" s="3"/>
      <c r="K594" s="3"/>
      <c r="L594" s="3"/>
    </row>
    <row r="595" spans="1:12">
      <c r="A595" s="3">
        <v>43151</v>
      </c>
      <c r="B595" s="3">
        <v>334.77</v>
      </c>
      <c r="C595" s="4" cm="1">
        <f t="array" aca="1" ref="C595" ca="1">INDIRECT(ADDRESS(ROW()-C$3,2))-INDIRECT(ADDRESS(ROW()-C$2,2))</f>
        <v>12.45999999999998</v>
      </c>
      <c r="D595" s="4" cm="1">
        <f t="array" aca="1" ref="D595" ca="1">INDIRECT(ADDRESS(ROW()-D$3,2))-INDIRECT(ADDRESS(ROW()-D$2,2))</f>
        <v>1.6399999999999864</v>
      </c>
      <c r="E595" s="4">
        <f t="shared" ca="1" si="17"/>
        <v>329.57500000000005</v>
      </c>
      <c r="F595" s="3">
        <v>66.919999999949482</v>
      </c>
      <c r="G595" s="3">
        <v>11716.949999999999</v>
      </c>
      <c r="H595" s="3">
        <f t="shared" si="16"/>
        <v>11783.869999999948</v>
      </c>
      <c r="I595" s="3">
        <v>35</v>
      </c>
      <c r="J595" s="3"/>
      <c r="K595" s="3"/>
      <c r="L595" s="3"/>
    </row>
    <row r="596" spans="1:12">
      <c r="A596" s="3">
        <v>43152</v>
      </c>
      <c r="B596" s="3">
        <v>333.3</v>
      </c>
      <c r="C596" s="4" cm="1">
        <f t="array" aca="1" ref="C596" ca="1">INDIRECT(ADDRESS(ROW()-C$3,2))-INDIRECT(ADDRESS(ROW()-C$2,2))</f>
        <v>-0.76499999999998636</v>
      </c>
      <c r="D596" s="4" cm="1">
        <f t="array" aca="1" ref="D596" ca="1">INDIRECT(ADDRESS(ROW()-D$3,2))-INDIRECT(ADDRESS(ROW()-D$2,2))</f>
        <v>-0.67000000000001592</v>
      </c>
      <c r="E596" s="4">
        <f t="shared" ca="1" si="17"/>
        <v>328.53999999999996</v>
      </c>
      <c r="F596" s="3">
        <v>11732.419999999949</v>
      </c>
      <c r="G596" s="3">
        <v>0</v>
      </c>
      <c r="H596" s="3">
        <f t="shared" si="16"/>
        <v>11732.419999999949</v>
      </c>
      <c r="I596" s="3">
        <v>0</v>
      </c>
      <c r="J596" s="3"/>
      <c r="K596" s="3"/>
      <c r="L596" s="3"/>
    </row>
    <row r="597" spans="1:12">
      <c r="A597" s="3">
        <v>43153</v>
      </c>
      <c r="B597" s="3">
        <v>346.17</v>
      </c>
      <c r="C597" s="4" cm="1">
        <f t="array" aca="1" ref="C597" ca="1">INDIRECT(ADDRESS(ROW()-C$3,2))-INDIRECT(ADDRESS(ROW()-C$2,2))</f>
        <v>10.680000000000007</v>
      </c>
      <c r="D597" s="4" cm="1">
        <f t="array" aca="1" ref="D597" ca="1">INDIRECT(ADDRESS(ROW()-D$3,2))-INDIRECT(ADDRESS(ROW()-D$2,2))</f>
        <v>1.1700000000000159</v>
      </c>
      <c r="E597" s="4">
        <f t="shared" ca="1" si="17"/>
        <v>333.6825</v>
      </c>
      <c r="F597" s="3">
        <v>308.8099999999468</v>
      </c>
      <c r="G597" s="3">
        <v>11423.61</v>
      </c>
      <c r="H597" s="3">
        <f t="shared" si="16"/>
        <v>11732.419999999947</v>
      </c>
      <c r="I597" s="3">
        <v>33</v>
      </c>
      <c r="J597" s="3"/>
      <c r="K597" s="3"/>
      <c r="L597" s="3"/>
    </row>
    <row r="598" spans="1:12">
      <c r="A598" s="3">
        <v>43154</v>
      </c>
      <c r="B598" s="3">
        <v>352.05</v>
      </c>
      <c r="C598" s="4" cm="1">
        <f t="array" aca="1" ref="C598" ca="1">INDIRECT(ADDRESS(ROW()-C$3,2))-INDIRECT(ADDRESS(ROW()-C$2,2))</f>
        <v>17.28000000000003</v>
      </c>
      <c r="D598" s="4" cm="1">
        <f t="array" aca="1" ref="D598" ca="1">INDIRECT(ADDRESS(ROW()-D$3,2))-INDIRECT(ADDRESS(ROW()-D$2,2))</f>
        <v>36.819999999999993</v>
      </c>
      <c r="E598" s="4">
        <f t="shared" ca="1" si="17"/>
        <v>340.83000000000004</v>
      </c>
      <c r="F598" s="3">
        <v>308.8099999999468</v>
      </c>
      <c r="G598" s="3">
        <v>11617.65</v>
      </c>
      <c r="H598" s="3">
        <f t="shared" si="16"/>
        <v>11926.459999999946</v>
      </c>
      <c r="I598" s="3">
        <v>33</v>
      </c>
      <c r="J598" s="3"/>
      <c r="K598" s="3"/>
      <c r="L598" s="3"/>
    </row>
    <row r="599" spans="1:12">
      <c r="A599" s="3">
        <v>43157</v>
      </c>
      <c r="B599" s="3">
        <v>357.42</v>
      </c>
      <c r="C599" s="4" cm="1">
        <f t="array" aca="1" ref="C599" ca="1">INDIRECT(ADDRESS(ROW()-C$3,2))-INDIRECT(ADDRESS(ROW()-C$2,2))</f>
        <v>24.120000000000005</v>
      </c>
      <c r="D599" s="4" cm="1">
        <f t="array" aca="1" ref="D599" ca="1">INDIRECT(ADDRESS(ROW()-D$3,2))-INDIRECT(ADDRESS(ROW()-D$2,2))</f>
        <v>47</v>
      </c>
      <c r="E599" s="4">
        <f t="shared" ca="1" si="17"/>
        <v>343.40999999999997</v>
      </c>
      <c r="F599" s="3">
        <v>308.8099999999468</v>
      </c>
      <c r="G599" s="3">
        <v>11794.86</v>
      </c>
      <c r="H599" s="3">
        <f t="shared" ref="H599:H662" si="18">G599+F599</f>
        <v>12103.669999999947</v>
      </c>
      <c r="I599" s="3">
        <v>33</v>
      </c>
      <c r="J599" s="3"/>
      <c r="K599" s="3"/>
      <c r="L599" s="3"/>
    </row>
    <row r="600" spans="1:12">
      <c r="A600" s="3">
        <v>43158</v>
      </c>
      <c r="B600" s="3">
        <v>350.99</v>
      </c>
      <c r="C600" s="4" cm="1">
        <f t="array" aca="1" ref="C600" ca="1">INDIRECT(ADDRESS(ROW()-C$3,2))-INDIRECT(ADDRESS(ROW()-C$2,2))</f>
        <v>4.8199999999999932</v>
      </c>
      <c r="D600" s="4" cm="1">
        <f t="array" aca="1" ref="D600" ca="1">INDIRECT(ADDRESS(ROW()-D$3,2))-INDIRECT(ADDRESS(ROW()-D$2,2))</f>
        <v>35.259999999999991</v>
      </c>
      <c r="E600" s="4">
        <f t="shared" ref="E600:E663" ca="1" si="19">AVERAGE(INDIRECT(ADDRESS(ROW()-E$3,2)),INDIRECT(ADDRESS(ROW()-E$2,2)))</f>
        <v>345.36</v>
      </c>
      <c r="F600" s="3">
        <v>308.8099999999468</v>
      </c>
      <c r="G600" s="3">
        <v>11582.67</v>
      </c>
      <c r="H600" s="3">
        <f t="shared" si="18"/>
        <v>11891.479999999947</v>
      </c>
      <c r="I600" s="3">
        <v>33</v>
      </c>
      <c r="J600" s="3"/>
      <c r="K600" s="3"/>
      <c r="L600" s="3"/>
    </row>
    <row r="601" spans="1:12">
      <c r="A601" s="3">
        <v>43159</v>
      </c>
      <c r="B601" s="3">
        <v>343.06</v>
      </c>
      <c r="C601" s="4" cm="1">
        <f t="array" aca="1" ref="C601" ca="1">INDIRECT(ADDRESS(ROW()-C$3,2))-INDIRECT(ADDRESS(ROW()-C$2,2))</f>
        <v>-8.9900000000000091</v>
      </c>
      <c r="D601" s="4" cm="1">
        <f t="array" aca="1" ref="D601" ca="1">INDIRECT(ADDRESS(ROW()-D$3,2))-INDIRECT(ADDRESS(ROW()-D$2,2))</f>
        <v>19.399999999999977</v>
      </c>
      <c r="E601" s="4">
        <f t="shared" ca="1" si="19"/>
        <v>348.58000000000004</v>
      </c>
      <c r="F601" s="3">
        <v>11629.789999999946</v>
      </c>
      <c r="G601" s="3">
        <v>0</v>
      </c>
      <c r="H601" s="3">
        <f t="shared" si="18"/>
        <v>11629.789999999946</v>
      </c>
      <c r="I601" s="3">
        <v>0</v>
      </c>
      <c r="J601" s="3"/>
      <c r="K601" s="3"/>
      <c r="L601" s="3"/>
    </row>
    <row r="602" spans="1:12">
      <c r="A602" s="3">
        <v>43160</v>
      </c>
      <c r="B602" s="3">
        <v>330.93</v>
      </c>
      <c r="C602" s="4" cm="1">
        <f t="array" aca="1" ref="C602" ca="1">INDIRECT(ADDRESS(ROW()-C$3,2))-INDIRECT(ADDRESS(ROW()-C$2,2))</f>
        <v>-26.490000000000009</v>
      </c>
      <c r="D602" s="4" cm="1">
        <f t="array" aca="1" ref="D602" ca="1">INDIRECT(ADDRESS(ROW()-D$3,2))-INDIRECT(ADDRESS(ROW()-D$2,2))</f>
        <v>8.6200000000000045</v>
      </c>
      <c r="E602" s="4">
        <f t="shared" ca="1" si="19"/>
        <v>347.55500000000001</v>
      </c>
      <c r="F602" s="3">
        <v>11629.789999999946</v>
      </c>
      <c r="G602" s="3">
        <v>0</v>
      </c>
      <c r="H602" s="3">
        <f t="shared" si="18"/>
        <v>11629.789999999946</v>
      </c>
      <c r="I602" s="3">
        <v>0</v>
      </c>
      <c r="J602" s="3"/>
      <c r="K602" s="3"/>
      <c r="L602" s="3"/>
    </row>
    <row r="603" spans="1:12">
      <c r="A603" s="3">
        <v>43161</v>
      </c>
      <c r="B603" s="3">
        <v>335.12</v>
      </c>
      <c r="C603" s="4" cm="1">
        <f t="array" aca="1" ref="C603" ca="1">INDIRECT(ADDRESS(ROW()-C$3,2))-INDIRECT(ADDRESS(ROW()-C$2,2))</f>
        <v>-15.870000000000005</v>
      </c>
      <c r="D603" s="4" cm="1">
        <f t="array" aca="1" ref="D603" ca="1">INDIRECT(ADDRESS(ROW()-D$3,2))-INDIRECT(ADDRESS(ROW()-D$2,2))</f>
        <v>1.0550000000000068</v>
      </c>
      <c r="E603" s="4">
        <f t="shared" ca="1" si="19"/>
        <v>344.17500000000001</v>
      </c>
      <c r="F603" s="3">
        <v>11629.789999999946</v>
      </c>
      <c r="G603" s="3">
        <v>0</v>
      </c>
      <c r="H603" s="3">
        <f t="shared" si="18"/>
        <v>11629.789999999946</v>
      </c>
      <c r="I603" s="3">
        <v>0</v>
      </c>
      <c r="J603" s="3"/>
      <c r="K603" s="3"/>
      <c r="L603" s="3"/>
    </row>
    <row r="604" spans="1:12">
      <c r="A604" s="3">
        <v>43164</v>
      </c>
      <c r="B604" s="3">
        <v>333.35</v>
      </c>
      <c r="C604" s="4" cm="1">
        <f t="array" aca="1" ref="C604" ca="1">INDIRECT(ADDRESS(ROW()-C$3,2))-INDIRECT(ADDRESS(ROW()-C$2,2))</f>
        <v>-9.7099999999999795</v>
      </c>
      <c r="D604" s="4" cm="1">
        <f t="array" aca="1" ref="D604" ca="1">INDIRECT(ADDRESS(ROW()-D$3,2))-INDIRECT(ADDRESS(ROW()-D$2,2))</f>
        <v>-2.1399999999999864</v>
      </c>
      <c r="E604" s="4">
        <f t="shared" ca="1" si="19"/>
        <v>343.05500000000001</v>
      </c>
      <c r="F604" s="3">
        <v>11629.789999999946</v>
      </c>
      <c r="G604" s="3">
        <v>0</v>
      </c>
      <c r="H604" s="3">
        <f t="shared" si="18"/>
        <v>11629.789999999946</v>
      </c>
      <c r="I604" s="3">
        <v>0</v>
      </c>
      <c r="J604" s="3"/>
      <c r="K604" s="3"/>
      <c r="L604" s="3"/>
    </row>
    <row r="605" spans="1:12">
      <c r="A605" s="3">
        <v>43165</v>
      </c>
      <c r="B605" s="3">
        <v>328.2</v>
      </c>
      <c r="C605" s="4" cm="1">
        <f t="array" aca="1" ref="C605" ca="1">INDIRECT(ADDRESS(ROW()-C$3,2))-INDIRECT(ADDRESS(ROW()-C$2,2))</f>
        <v>-2.7300000000000182</v>
      </c>
      <c r="D605" s="4" cm="1">
        <f t="array" aca="1" ref="D605" ca="1">INDIRECT(ADDRESS(ROW()-D$3,2))-INDIRECT(ADDRESS(ROW()-D$2,2))</f>
        <v>-6.5699999999999932</v>
      </c>
      <c r="E605" s="4">
        <f t="shared" ca="1" si="19"/>
        <v>338.20500000000004</v>
      </c>
      <c r="F605" s="3">
        <v>11629.789999999946</v>
      </c>
      <c r="G605" s="3">
        <v>0</v>
      </c>
      <c r="H605" s="3">
        <f t="shared" si="18"/>
        <v>11629.789999999946</v>
      </c>
      <c r="I605" s="3">
        <v>0</v>
      </c>
      <c r="J605" s="3"/>
      <c r="K605" s="3"/>
      <c r="L605" s="3"/>
    </row>
    <row r="606" spans="1:12">
      <c r="A606" s="3">
        <v>43166</v>
      </c>
      <c r="B606" s="3">
        <v>332.3</v>
      </c>
      <c r="C606" s="4" cm="1">
        <f t="array" aca="1" ref="C606" ca="1">INDIRECT(ADDRESS(ROW()-C$3,2))-INDIRECT(ADDRESS(ROW()-C$2,2))</f>
        <v>-2.8199999999999932</v>
      </c>
      <c r="D606" s="4" cm="1">
        <f t="array" aca="1" ref="D606" ca="1">INDIRECT(ADDRESS(ROW()-D$3,2))-INDIRECT(ADDRESS(ROW()-D$2,2))</f>
        <v>-1</v>
      </c>
      <c r="E606" s="4">
        <f t="shared" ca="1" si="19"/>
        <v>329.565</v>
      </c>
      <c r="F606" s="3">
        <v>11629.789999999946</v>
      </c>
      <c r="G606" s="3">
        <v>0</v>
      </c>
      <c r="H606" s="3">
        <f t="shared" si="18"/>
        <v>11629.789999999946</v>
      </c>
      <c r="I606" s="3">
        <v>0</v>
      </c>
      <c r="J606" s="3"/>
      <c r="K606" s="3"/>
      <c r="L606" s="3"/>
    </row>
    <row r="607" spans="1:12">
      <c r="A607" s="3">
        <v>43167</v>
      </c>
      <c r="B607" s="3">
        <v>329.1</v>
      </c>
      <c r="C607" s="4" cm="1">
        <f t="array" aca="1" ref="C607" ca="1">INDIRECT(ADDRESS(ROW()-C$3,2))-INDIRECT(ADDRESS(ROW()-C$2,2))</f>
        <v>-4.25</v>
      </c>
      <c r="D607" s="4" cm="1">
        <f t="array" aca="1" ref="D607" ca="1">INDIRECT(ADDRESS(ROW()-D$3,2))-INDIRECT(ADDRESS(ROW()-D$2,2))</f>
        <v>-17.069999999999993</v>
      </c>
      <c r="E607" s="4">
        <f t="shared" ca="1" si="19"/>
        <v>333.71000000000004</v>
      </c>
      <c r="F607" s="3">
        <v>11629.789999999946</v>
      </c>
      <c r="G607" s="3">
        <v>0</v>
      </c>
      <c r="H607" s="3">
        <f t="shared" si="18"/>
        <v>11629.789999999946</v>
      </c>
      <c r="I607" s="3">
        <v>0</v>
      </c>
      <c r="J607" s="3"/>
      <c r="K607" s="3"/>
      <c r="L607" s="3"/>
    </row>
    <row r="608" spans="1:12">
      <c r="A608" s="3">
        <v>43168</v>
      </c>
      <c r="B608" s="3">
        <v>327.17</v>
      </c>
      <c r="C608" s="4" cm="1">
        <f t="array" aca="1" ref="C608" ca="1">INDIRECT(ADDRESS(ROW()-C$3,2))-INDIRECT(ADDRESS(ROW()-C$2,2))</f>
        <v>-1.0299999999999727</v>
      </c>
      <c r="D608" s="4" cm="1">
        <f t="array" aca="1" ref="D608" ca="1">INDIRECT(ADDRESS(ROW()-D$3,2))-INDIRECT(ADDRESS(ROW()-D$2,2))</f>
        <v>-24.879999999999995</v>
      </c>
      <c r="E608" s="4">
        <f t="shared" ca="1" si="19"/>
        <v>331.22500000000002</v>
      </c>
      <c r="F608" s="3">
        <v>11629.789999999946</v>
      </c>
      <c r="G608" s="3">
        <v>0</v>
      </c>
      <c r="H608" s="3">
        <f t="shared" si="18"/>
        <v>11629.789999999946</v>
      </c>
      <c r="I608" s="3">
        <v>0</v>
      </c>
      <c r="J608" s="3"/>
      <c r="K608" s="3"/>
      <c r="L608" s="3"/>
    </row>
    <row r="609" spans="1:12">
      <c r="A609" s="3">
        <v>43171</v>
      </c>
      <c r="B609" s="3">
        <v>345.51</v>
      </c>
      <c r="C609" s="4" cm="1">
        <f t="array" aca="1" ref="C609" ca="1">INDIRECT(ADDRESS(ROW()-C$3,2))-INDIRECT(ADDRESS(ROW()-C$2,2))</f>
        <v>13.20999999999998</v>
      </c>
      <c r="D609" s="4" cm="1">
        <f t="array" aca="1" ref="D609" ca="1">INDIRECT(ADDRESS(ROW()-D$3,2))-INDIRECT(ADDRESS(ROW()-D$2,2))</f>
        <v>-11.910000000000025</v>
      </c>
      <c r="E609" s="4">
        <f t="shared" ca="1" si="19"/>
        <v>327.685</v>
      </c>
      <c r="F609" s="3">
        <v>227.95999999994046</v>
      </c>
      <c r="G609" s="3">
        <v>11401.83</v>
      </c>
      <c r="H609" s="3">
        <f t="shared" si="18"/>
        <v>11629.789999999941</v>
      </c>
      <c r="I609" s="3">
        <v>33</v>
      </c>
      <c r="J609" s="3"/>
      <c r="K609" s="3"/>
      <c r="L609" s="3"/>
    </row>
    <row r="610" spans="1:12">
      <c r="A610" s="3">
        <v>43172</v>
      </c>
      <c r="B610" s="3">
        <v>341.84</v>
      </c>
      <c r="C610" s="4" cm="1">
        <f t="array" aca="1" ref="C610" ca="1">INDIRECT(ADDRESS(ROW()-C$3,2))-INDIRECT(ADDRESS(ROW()-C$2,2))</f>
        <v>12.739999999999952</v>
      </c>
      <c r="D610" s="4" cm="1">
        <f t="array" aca="1" ref="D610" ca="1">INDIRECT(ADDRESS(ROW()-D$3,2))-INDIRECT(ADDRESS(ROW()-D$2,2))</f>
        <v>-9.1500000000000341</v>
      </c>
      <c r="E610" s="4">
        <f t="shared" ca="1" si="19"/>
        <v>338.90499999999997</v>
      </c>
      <c r="F610" s="3">
        <v>227.95999999994046</v>
      </c>
      <c r="G610" s="3">
        <v>11280.72</v>
      </c>
      <c r="H610" s="3">
        <f t="shared" si="18"/>
        <v>11508.67999999994</v>
      </c>
      <c r="I610" s="3">
        <v>33</v>
      </c>
      <c r="J610" s="3"/>
      <c r="K610" s="3"/>
      <c r="L610" s="3"/>
    </row>
    <row r="611" spans="1:12">
      <c r="A611" s="3">
        <v>43173</v>
      </c>
      <c r="B611" s="3">
        <v>326.63</v>
      </c>
      <c r="C611" s="4" cm="1">
        <f t="array" aca="1" ref="C611" ca="1">INDIRECT(ADDRESS(ROW()-C$3,2))-INDIRECT(ADDRESS(ROW()-C$2,2))</f>
        <v>-0.54000000000002046</v>
      </c>
      <c r="D611" s="4" cm="1">
        <f t="array" aca="1" ref="D611" ca="1">INDIRECT(ADDRESS(ROW()-D$3,2))-INDIRECT(ADDRESS(ROW()-D$2,2))</f>
        <v>-16.430000000000007</v>
      </c>
      <c r="E611" s="4">
        <f t="shared" ca="1" si="19"/>
        <v>335.47</v>
      </c>
      <c r="F611" s="3">
        <v>11006.74999999994</v>
      </c>
      <c r="G611" s="3">
        <v>0</v>
      </c>
      <c r="H611" s="3">
        <f t="shared" si="18"/>
        <v>11006.74999999994</v>
      </c>
      <c r="I611" s="3">
        <v>0</v>
      </c>
      <c r="J611" s="3"/>
      <c r="K611" s="3"/>
      <c r="L611" s="3"/>
    </row>
    <row r="612" spans="1:12">
      <c r="A612" s="3">
        <v>43174</v>
      </c>
      <c r="B612" s="3">
        <v>325.60000000000002</v>
      </c>
      <c r="C612" s="4" cm="1">
        <f t="array" aca="1" ref="C612" ca="1">INDIRECT(ADDRESS(ROW()-C$3,2))-INDIRECT(ADDRESS(ROW()-C$2,2))</f>
        <v>-19.909999999999968</v>
      </c>
      <c r="D612" s="4" cm="1">
        <f t="array" aca="1" ref="D612" ca="1">INDIRECT(ADDRESS(ROW()-D$3,2))-INDIRECT(ADDRESS(ROW()-D$2,2))</f>
        <v>-5.3299999999999841</v>
      </c>
      <c r="E612" s="4">
        <f t="shared" ca="1" si="19"/>
        <v>326.89999999999998</v>
      </c>
      <c r="F612" s="3">
        <v>11006.74999999994</v>
      </c>
      <c r="G612" s="3">
        <v>0</v>
      </c>
      <c r="H612" s="3">
        <f t="shared" si="18"/>
        <v>11006.74999999994</v>
      </c>
      <c r="I612" s="3">
        <v>0</v>
      </c>
      <c r="J612" s="3"/>
      <c r="K612" s="3"/>
      <c r="L612" s="3"/>
    </row>
    <row r="613" spans="1:12">
      <c r="A613" s="3">
        <v>43175</v>
      </c>
      <c r="B613" s="3">
        <v>321.35000000000002</v>
      </c>
      <c r="C613" s="4" cm="1">
        <f t="array" aca="1" ref="C613" ca="1">INDIRECT(ADDRESS(ROW()-C$3,2))-INDIRECT(ADDRESS(ROW()-C$2,2))</f>
        <v>-20.489999999999952</v>
      </c>
      <c r="D613" s="4" cm="1">
        <f t="array" aca="1" ref="D613" ca="1">INDIRECT(ADDRESS(ROW()-D$3,2))-INDIRECT(ADDRESS(ROW()-D$2,2))</f>
        <v>-13.769999999999982</v>
      </c>
      <c r="E613" s="4">
        <f t="shared" ca="1" si="19"/>
        <v>335.55500000000001</v>
      </c>
      <c r="F613" s="3">
        <v>11006.74999999994</v>
      </c>
      <c r="G613" s="3">
        <v>0</v>
      </c>
      <c r="H613" s="3">
        <f t="shared" si="18"/>
        <v>11006.74999999994</v>
      </c>
      <c r="I613" s="3">
        <v>0</v>
      </c>
      <c r="J613" s="3"/>
      <c r="K613" s="3"/>
      <c r="L613" s="3"/>
    </row>
    <row r="614" spans="1:12">
      <c r="A614" s="3">
        <v>43178</v>
      </c>
      <c r="B614" s="3">
        <v>313.56</v>
      </c>
      <c r="C614" s="4" cm="1">
        <f t="array" aca="1" ref="C614" ca="1">INDIRECT(ADDRESS(ROW()-C$3,2))-INDIRECT(ADDRESS(ROW()-C$2,2))</f>
        <v>-13.069999999999993</v>
      </c>
      <c r="D614" s="4" cm="1">
        <f t="array" aca="1" ref="D614" ca="1">INDIRECT(ADDRESS(ROW()-D$3,2))-INDIRECT(ADDRESS(ROW()-D$2,2))</f>
        <v>-19.79000000000002</v>
      </c>
      <c r="E614" s="4">
        <f t="shared" ca="1" si="19"/>
        <v>331.59500000000003</v>
      </c>
      <c r="F614" s="3">
        <v>11006.74999999994</v>
      </c>
      <c r="G614" s="3">
        <v>0</v>
      </c>
      <c r="H614" s="3">
        <f t="shared" si="18"/>
        <v>11006.74999999994</v>
      </c>
      <c r="I614" s="3">
        <v>0</v>
      </c>
      <c r="J614" s="3"/>
      <c r="K614" s="3"/>
      <c r="L614" s="3"/>
    </row>
    <row r="615" spans="1:12">
      <c r="A615" s="3">
        <v>43179</v>
      </c>
      <c r="B615" s="3">
        <v>310.55</v>
      </c>
      <c r="C615" s="4" cm="1">
        <f t="array" aca="1" ref="C615" ca="1">INDIRECT(ADDRESS(ROW()-C$3,2))-INDIRECT(ADDRESS(ROW()-C$2,2))</f>
        <v>-15.050000000000011</v>
      </c>
      <c r="D615" s="4" cm="1">
        <f t="array" aca="1" ref="D615" ca="1">INDIRECT(ADDRESS(ROW()-D$3,2))-INDIRECT(ADDRESS(ROW()-D$2,2))</f>
        <v>-17.649999999999977</v>
      </c>
      <c r="E615" s="4">
        <f t="shared" ca="1" si="19"/>
        <v>320.09500000000003</v>
      </c>
      <c r="F615" s="3">
        <v>11006.74999999994</v>
      </c>
      <c r="G615" s="3">
        <v>0</v>
      </c>
      <c r="H615" s="3">
        <f t="shared" si="18"/>
        <v>11006.74999999994</v>
      </c>
      <c r="I615" s="3">
        <v>0</v>
      </c>
      <c r="J615" s="3"/>
      <c r="K615" s="3"/>
      <c r="L615" s="3"/>
    </row>
    <row r="616" spans="1:12">
      <c r="A616" s="3">
        <v>43180</v>
      </c>
      <c r="B616" s="3">
        <v>316.52999999999997</v>
      </c>
      <c r="C616" s="4" cm="1">
        <f t="array" aca="1" ref="C616" ca="1">INDIRECT(ADDRESS(ROW()-C$3,2))-INDIRECT(ADDRESS(ROW()-C$2,2))</f>
        <v>-4.82000000000005</v>
      </c>
      <c r="D616" s="4" cm="1">
        <f t="array" aca="1" ref="D616" ca="1">INDIRECT(ADDRESS(ROW()-D$3,2))-INDIRECT(ADDRESS(ROW()-D$2,2))</f>
        <v>-15.770000000000039</v>
      </c>
      <c r="E616" s="4">
        <f t="shared" ca="1" si="19"/>
        <v>318.07500000000005</v>
      </c>
      <c r="F616" s="3">
        <v>11006.74999999994</v>
      </c>
      <c r="G616" s="3">
        <v>0</v>
      </c>
      <c r="H616" s="3">
        <f t="shared" si="18"/>
        <v>11006.74999999994</v>
      </c>
      <c r="I616" s="3">
        <v>0</v>
      </c>
      <c r="J616" s="3"/>
      <c r="K616" s="3"/>
      <c r="L616" s="3"/>
    </row>
    <row r="617" spans="1:12">
      <c r="A617" s="3">
        <v>43181</v>
      </c>
      <c r="B617" s="3">
        <v>309.10000000000002</v>
      </c>
      <c r="C617" s="4" cm="1">
        <f t="array" aca="1" ref="C617" ca="1">INDIRECT(ADDRESS(ROW()-C$3,2))-INDIRECT(ADDRESS(ROW()-C$2,2))</f>
        <v>-4.4599999999999795</v>
      </c>
      <c r="D617" s="4" cm="1">
        <f t="array" aca="1" ref="D617" ca="1">INDIRECT(ADDRESS(ROW()-D$3,2))-INDIRECT(ADDRESS(ROW()-D$2,2))</f>
        <v>-20</v>
      </c>
      <c r="E617" s="4">
        <f t="shared" ca="1" si="19"/>
        <v>318.94</v>
      </c>
      <c r="F617" s="3">
        <v>11006.74999999994</v>
      </c>
      <c r="G617" s="3">
        <v>0</v>
      </c>
      <c r="H617" s="3">
        <f t="shared" si="18"/>
        <v>11006.74999999994</v>
      </c>
      <c r="I617" s="3">
        <v>0</v>
      </c>
      <c r="J617" s="3"/>
      <c r="K617" s="3"/>
      <c r="L617" s="3"/>
    </row>
    <row r="618" spans="1:12">
      <c r="A618" s="3">
        <v>43182</v>
      </c>
      <c r="B618" s="3">
        <v>301.54000000000002</v>
      </c>
      <c r="C618" s="4" cm="1">
        <f t="array" aca="1" ref="C618" ca="1">INDIRECT(ADDRESS(ROW()-C$3,2))-INDIRECT(ADDRESS(ROW()-C$2,2))</f>
        <v>-9.0099999999999909</v>
      </c>
      <c r="D618" s="4" cm="1">
        <f t="array" aca="1" ref="D618" ca="1">INDIRECT(ADDRESS(ROW()-D$3,2))-INDIRECT(ADDRESS(ROW()-D$2,2))</f>
        <v>-25.629999999999995</v>
      </c>
      <c r="E618" s="4">
        <f t="shared" ca="1" si="19"/>
        <v>311.33000000000004</v>
      </c>
      <c r="F618" s="3">
        <v>11006.74999999994</v>
      </c>
      <c r="G618" s="3">
        <v>0</v>
      </c>
      <c r="H618" s="3">
        <f t="shared" si="18"/>
        <v>11006.74999999994</v>
      </c>
      <c r="I618" s="3">
        <v>0</v>
      </c>
      <c r="J618" s="3"/>
      <c r="K618" s="3"/>
      <c r="L618" s="3"/>
    </row>
    <row r="619" spans="1:12">
      <c r="A619" s="3">
        <v>43185</v>
      </c>
      <c r="B619" s="3">
        <v>304.18</v>
      </c>
      <c r="C619" s="4" cm="1">
        <f t="array" aca="1" ref="C619" ca="1">INDIRECT(ADDRESS(ROW()-C$3,2))-INDIRECT(ADDRESS(ROW()-C$2,2))</f>
        <v>-12.349999999999966</v>
      </c>
      <c r="D619" s="4" cm="1">
        <f t="array" aca="1" ref="D619" ca="1">INDIRECT(ADDRESS(ROW()-D$3,2))-INDIRECT(ADDRESS(ROW()-D$2,2))</f>
        <v>-41.329999999999984</v>
      </c>
      <c r="E619" s="4">
        <f t="shared" ca="1" si="19"/>
        <v>306.04500000000002</v>
      </c>
      <c r="F619" s="3">
        <v>11006.74999999994</v>
      </c>
      <c r="G619" s="3">
        <v>0</v>
      </c>
      <c r="H619" s="3">
        <f t="shared" si="18"/>
        <v>11006.74999999994</v>
      </c>
      <c r="I619" s="3">
        <v>0</v>
      </c>
      <c r="J619" s="3"/>
      <c r="K619" s="3"/>
      <c r="L619" s="3"/>
    </row>
    <row r="620" spans="1:12">
      <c r="A620" s="3">
        <v>43186</v>
      </c>
      <c r="B620" s="3">
        <v>279.18</v>
      </c>
      <c r="C620" s="4" cm="1">
        <f t="array" aca="1" ref="C620" ca="1">INDIRECT(ADDRESS(ROW()-C$3,2))-INDIRECT(ADDRESS(ROW()-C$2,2))</f>
        <v>-29.920000000000016</v>
      </c>
      <c r="D620" s="4" cm="1">
        <f t="array" aca="1" ref="D620" ca="1">INDIRECT(ADDRESS(ROW()-D$3,2))-INDIRECT(ADDRESS(ROW()-D$2,2))</f>
        <v>-62.659999999999968</v>
      </c>
      <c r="E620" s="4">
        <f t="shared" ca="1" si="19"/>
        <v>310.35500000000002</v>
      </c>
      <c r="F620" s="3">
        <v>11006.74999999994</v>
      </c>
      <c r="G620" s="3">
        <v>0</v>
      </c>
      <c r="H620" s="3">
        <f t="shared" si="18"/>
        <v>11006.74999999994</v>
      </c>
      <c r="I620" s="3">
        <v>0</v>
      </c>
      <c r="J620" s="3"/>
      <c r="K620" s="3"/>
      <c r="L620" s="3"/>
    </row>
    <row r="621" spans="1:12">
      <c r="A621" s="3">
        <v>43187</v>
      </c>
      <c r="B621" s="3">
        <v>257.77999999999997</v>
      </c>
      <c r="C621" s="4" cm="1">
        <f t="array" aca="1" ref="C621" ca="1">INDIRECT(ADDRESS(ROW()-C$3,2))-INDIRECT(ADDRESS(ROW()-C$2,2))</f>
        <v>-43.760000000000048</v>
      </c>
      <c r="D621" s="4" cm="1">
        <f t="array" aca="1" ref="D621" ca="1">INDIRECT(ADDRESS(ROW()-D$3,2))-INDIRECT(ADDRESS(ROW()-D$2,2))</f>
        <v>-68.850000000000023</v>
      </c>
      <c r="E621" s="4">
        <f t="shared" ca="1" si="19"/>
        <v>294.14</v>
      </c>
      <c r="F621" s="3">
        <v>11006.74999999994</v>
      </c>
      <c r="G621" s="3">
        <v>0</v>
      </c>
      <c r="H621" s="3">
        <f t="shared" si="18"/>
        <v>11006.74999999994</v>
      </c>
      <c r="I621" s="3">
        <v>0</v>
      </c>
      <c r="J621" s="3"/>
      <c r="K621" s="3"/>
      <c r="L621" s="3"/>
    </row>
    <row r="622" spans="1:12">
      <c r="A622" s="3">
        <v>43188</v>
      </c>
      <c r="B622" s="3">
        <v>266.13</v>
      </c>
      <c r="C622" s="4" cm="1">
        <f t="array" aca="1" ref="C622" ca="1">INDIRECT(ADDRESS(ROW()-C$3,2))-INDIRECT(ADDRESS(ROW()-C$2,2))</f>
        <v>-38.050000000000011</v>
      </c>
      <c r="D622" s="4" cm="1">
        <f t="array" aca="1" ref="D622" ca="1">INDIRECT(ADDRESS(ROW()-D$3,2))-INDIRECT(ADDRESS(ROW()-D$2,2))</f>
        <v>-59.470000000000027</v>
      </c>
      <c r="E622" s="4">
        <f t="shared" ca="1" si="19"/>
        <v>279.65999999999997</v>
      </c>
      <c r="F622" s="3">
        <v>11006.74999999994</v>
      </c>
      <c r="G622" s="3">
        <v>0</v>
      </c>
      <c r="H622" s="3">
        <f t="shared" si="18"/>
        <v>11006.74999999994</v>
      </c>
      <c r="I622" s="3">
        <v>0</v>
      </c>
      <c r="J622" s="3"/>
      <c r="K622" s="3"/>
      <c r="L622" s="3"/>
    </row>
    <row r="623" spans="1:12">
      <c r="A623" s="3">
        <v>43192</v>
      </c>
      <c r="B623" s="3">
        <v>252.48</v>
      </c>
      <c r="C623" s="4" cm="1">
        <f t="array" aca="1" ref="C623" ca="1">INDIRECT(ADDRESS(ROW()-C$3,2))-INDIRECT(ADDRESS(ROW()-C$2,2))</f>
        <v>-26.700000000000017</v>
      </c>
      <c r="D623" s="4" cm="1">
        <f t="array" aca="1" ref="D623" ca="1">INDIRECT(ADDRESS(ROW()-D$3,2))-INDIRECT(ADDRESS(ROW()-D$2,2))</f>
        <v>-68.870000000000033</v>
      </c>
      <c r="E623" s="4">
        <f t="shared" ca="1" si="19"/>
        <v>285.15499999999997</v>
      </c>
      <c r="F623" s="3">
        <v>11006.74999999994</v>
      </c>
      <c r="G623" s="3">
        <v>0</v>
      </c>
      <c r="H623" s="3">
        <f t="shared" si="18"/>
        <v>11006.74999999994</v>
      </c>
      <c r="I623" s="3">
        <v>0</v>
      </c>
      <c r="J623" s="3"/>
      <c r="K623" s="3"/>
      <c r="L623" s="3"/>
    </row>
    <row r="624" spans="1:12">
      <c r="A624" s="3">
        <v>43193</v>
      </c>
      <c r="B624" s="3">
        <v>267.52999999999997</v>
      </c>
      <c r="C624" s="4" cm="1">
        <f t="array" aca="1" ref="C624" ca="1">INDIRECT(ADDRESS(ROW()-C$3,2))-INDIRECT(ADDRESS(ROW()-C$2,2))</f>
        <v>9.75</v>
      </c>
      <c r="D624" s="4" cm="1">
        <f t="array" aca="1" ref="D624" ca="1">INDIRECT(ADDRESS(ROW()-D$3,2))-INDIRECT(ADDRESS(ROW()-D$2,2))</f>
        <v>-46.03000000000003</v>
      </c>
      <c r="E624" s="4">
        <f t="shared" ca="1" si="19"/>
        <v>265.83</v>
      </c>
      <c r="F624" s="3">
        <v>38.0199999999395</v>
      </c>
      <c r="G624" s="3">
        <v>10968.73</v>
      </c>
      <c r="H624" s="3">
        <f t="shared" si="18"/>
        <v>11006.749999999938</v>
      </c>
      <c r="I624" s="3">
        <v>41</v>
      </c>
      <c r="J624" s="3"/>
      <c r="K624" s="3"/>
      <c r="L624" s="3"/>
    </row>
    <row r="625" spans="1:12">
      <c r="A625" s="3">
        <v>43194</v>
      </c>
      <c r="B625" s="3">
        <v>286.94</v>
      </c>
      <c r="C625" s="4" cm="1">
        <f t="array" aca="1" ref="C625" ca="1">INDIRECT(ADDRESS(ROW()-C$3,2))-INDIRECT(ADDRESS(ROW()-C$2,2))</f>
        <v>20.810000000000002</v>
      </c>
      <c r="D625" s="4" cm="1">
        <f t="array" aca="1" ref="D625" ca="1">INDIRECT(ADDRESS(ROW()-D$3,2))-INDIRECT(ADDRESS(ROW()-D$2,2))</f>
        <v>-23.610000000000014</v>
      </c>
      <c r="E625" s="4">
        <f t="shared" ca="1" si="19"/>
        <v>262.65499999999997</v>
      </c>
      <c r="F625" s="3">
        <v>38.0199999999395</v>
      </c>
      <c r="G625" s="3">
        <v>11764.539999999999</v>
      </c>
      <c r="H625" s="3">
        <f t="shared" si="18"/>
        <v>11802.559999999939</v>
      </c>
      <c r="I625" s="3">
        <v>41</v>
      </c>
      <c r="J625" s="3"/>
      <c r="K625" s="3"/>
      <c r="L625" s="3"/>
    </row>
    <row r="626" spans="1:12">
      <c r="A626" s="3">
        <v>43195</v>
      </c>
      <c r="B626" s="3">
        <v>305.72000000000003</v>
      </c>
      <c r="C626" s="4" cm="1">
        <f t="array" aca="1" ref="C626" ca="1">INDIRECT(ADDRESS(ROW()-C$3,2))-INDIRECT(ADDRESS(ROW()-C$2,2))</f>
        <v>53.240000000000038</v>
      </c>
      <c r="D626" s="4" cm="1">
        <f t="array" aca="1" ref="D626" ca="1">INDIRECT(ADDRESS(ROW()-D$3,2))-INDIRECT(ADDRESS(ROW()-D$2,2))</f>
        <v>-10.809999999999945</v>
      </c>
      <c r="E626" s="4">
        <f t="shared" ca="1" si="19"/>
        <v>276.53499999999997</v>
      </c>
      <c r="F626" s="3">
        <v>38.0199999999395</v>
      </c>
      <c r="G626" s="3">
        <v>12534.52</v>
      </c>
      <c r="H626" s="3">
        <f t="shared" si="18"/>
        <v>12572.539999999939</v>
      </c>
      <c r="I626" s="3">
        <v>41</v>
      </c>
      <c r="J626" s="3"/>
      <c r="K626" s="3"/>
      <c r="L626" s="3"/>
    </row>
    <row r="627" spans="1:12">
      <c r="A627" s="3">
        <v>43196</v>
      </c>
      <c r="B627" s="3">
        <v>299.3</v>
      </c>
      <c r="C627" s="4" cm="1">
        <f t="array" aca="1" ref="C627" ca="1">INDIRECT(ADDRESS(ROW()-C$3,2))-INDIRECT(ADDRESS(ROW()-C$2,2))</f>
        <v>31.770000000000039</v>
      </c>
      <c r="D627" s="4" cm="1">
        <f t="array" aca="1" ref="D627" ca="1">INDIRECT(ADDRESS(ROW()-D$3,2))-INDIRECT(ADDRESS(ROW()-D$2,2))</f>
        <v>-9.8000000000000114</v>
      </c>
      <c r="E627" s="4">
        <f t="shared" ca="1" si="19"/>
        <v>279.10000000000002</v>
      </c>
      <c r="F627" s="3">
        <v>38.0199999999395</v>
      </c>
      <c r="G627" s="3">
        <v>12271.300000000001</v>
      </c>
      <c r="H627" s="3">
        <f t="shared" si="18"/>
        <v>12309.319999999942</v>
      </c>
      <c r="I627" s="3">
        <v>41</v>
      </c>
      <c r="J627" s="3"/>
      <c r="K627" s="3"/>
      <c r="L627" s="3"/>
    </row>
    <row r="628" spans="1:12">
      <c r="A628" s="3">
        <v>43199</v>
      </c>
      <c r="B628" s="3">
        <v>289.66000000000003</v>
      </c>
      <c r="C628" s="4" cm="1">
        <f t="array" aca="1" ref="C628" ca="1">INDIRECT(ADDRESS(ROW()-C$3,2))-INDIRECT(ADDRESS(ROW()-C$2,2))</f>
        <v>2.7200000000000273</v>
      </c>
      <c r="D628" s="4" cm="1">
        <f t="array" aca="1" ref="D628" ca="1">INDIRECT(ADDRESS(ROW()-D$3,2))-INDIRECT(ADDRESS(ROW()-D$2,2))</f>
        <v>-11.879999999999995</v>
      </c>
      <c r="E628" s="4">
        <f t="shared" ca="1" si="19"/>
        <v>283.41499999999996</v>
      </c>
      <c r="F628" s="3">
        <v>38.0199999999395</v>
      </c>
      <c r="G628" s="3">
        <v>11876.060000000001</v>
      </c>
      <c r="H628" s="3">
        <f t="shared" si="18"/>
        <v>11914.07999999994</v>
      </c>
      <c r="I628" s="3">
        <v>41</v>
      </c>
      <c r="J628" s="3"/>
      <c r="K628" s="3"/>
      <c r="L628" s="3"/>
    </row>
    <row r="629" spans="1:12">
      <c r="A629" s="3">
        <v>43200</v>
      </c>
      <c r="B629" s="3">
        <v>304.7</v>
      </c>
      <c r="C629" s="4" cm="1">
        <f t="array" aca="1" ref="C629" ca="1">INDIRECT(ADDRESS(ROW()-C$3,2))-INDIRECT(ADDRESS(ROW()-C$2,2))</f>
        <v>-1.0200000000000387</v>
      </c>
      <c r="D629" s="4" cm="1">
        <f t="array" aca="1" ref="D629" ca="1">INDIRECT(ADDRESS(ROW()-D$3,2))-INDIRECT(ADDRESS(ROW()-D$2,2))</f>
        <v>0.51999999999998181</v>
      </c>
      <c r="E629" s="4">
        <f t="shared" ca="1" si="19"/>
        <v>288.3</v>
      </c>
      <c r="F629" s="3">
        <v>12530.719999999939</v>
      </c>
      <c r="G629" s="3">
        <v>0</v>
      </c>
      <c r="H629" s="3">
        <f t="shared" si="18"/>
        <v>12530.719999999939</v>
      </c>
      <c r="I629" s="3">
        <v>0</v>
      </c>
      <c r="J629" s="3"/>
      <c r="K629" s="3"/>
      <c r="L629" s="3"/>
    </row>
    <row r="630" spans="1:12">
      <c r="A630" s="3">
        <v>43201</v>
      </c>
      <c r="B630" s="3">
        <v>300.93</v>
      </c>
      <c r="C630" s="4" cm="1">
        <f t="array" aca="1" ref="C630" ca="1">INDIRECT(ADDRESS(ROW()-C$3,2))-INDIRECT(ADDRESS(ROW()-C$2,2))</f>
        <v>1.6299999999999955</v>
      </c>
      <c r="D630" s="4" cm="1">
        <f t="array" aca="1" ref="D630" ca="1">INDIRECT(ADDRESS(ROW()-D$3,2))-INDIRECT(ADDRESS(ROW()-D$2,2))</f>
        <v>21.75</v>
      </c>
      <c r="E630" s="4">
        <f t="shared" ca="1" si="19"/>
        <v>305.21000000000004</v>
      </c>
      <c r="F630" s="3">
        <v>192.58999999993182</v>
      </c>
      <c r="G630" s="3">
        <v>12338.130000000001</v>
      </c>
      <c r="H630" s="3">
        <f t="shared" si="18"/>
        <v>12530.719999999932</v>
      </c>
      <c r="I630" s="3">
        <v>41</v>
      </c>
      <c r="J630" s="3"/>
      <c r="K630" s="3"/>
      <c r="L630" s="3"/>
    </row>
    <row r="631" spans="1:12">
      <c r="A631" s="3">
        <v>43202</v>
      </c>
      <c r="B631" s="3">
        <v>294.08</v>
      </c>
      <c r="C631" s="4" cm="1">
        <f t="array" aca="1" ref="C631" ca="1">INDIRECT(ADDRESS(ROW()-C$3,2))-INDIRECT(ADDRESS(ROW()-C$2,2))</f>
        <v>4.4199999999999591</v>
      </c>
      <c r="D631" s="4" cm="1">
        <f t="array" aca="1" ref="D631" ca="1">INDIRECT(ADDRESS(ROW()-D$3,2))-INDIRECT(ADDRESS(ROW()-D$2,2))</f>
        <v>36.300000000000011</v>
      </c>
      <c r="E631" s="4">
        <f t="shared" ca="1" si="19"/>
        <v>300.11500000000001</v>
      </c>
      <c r="F631" s="3">
        <v>192.58999999993182</v>
      </c>
      <c r="G631" s="3">
        <v>12057.279999999999</v>
      </c>
      <c r="H631" s="3">
        <f t="shared" si="18"/>
        <v>12249.86999999993</v>
      </c>
      <c r="I631" s="3">
        <v>41</v>
      </c>
      <c r="J631" s="3"/>
      <c r="K631" s="3"/>
      <c r="L631" s="3"/>
    </row>
    <row r="632" spans="1:12">
      <c r="A632" s="3">
        <v>43203</v>
      </c>
      <c r="B632" s="3">
        <v>300.33999999999997</v>
      </c>
      <c r="C632" s="4" cm="1">
        <f t="array" aca="1" ref="C632" ca="1">INDIRECT(ADDRESS(ROW()-C$3,2))-INDIRECT(ADDRESS(ROW()-C$2,2))</f>
        <v>-4.3600000000000136</v>
      </c>
      <c r="D632" s="4" cm="1">
        <f t="array" aca="1" ref="D632" ca="1">INDIRECT(ADDRESS(ROW()-D$3,2))-INDIRECT(ADDRESS(ROW()-D$2,2))</f>
        <v>34.20999999999998</v>
      </c>
      <c r="E632" s="4">
        <f t="shared" ca="1" si="19"/>
        <v>291.87</v>
      </c>
      <c r="F632" s="3">
        <v>12506.52999999993</v>
      </c>
      <c r="G632" s="3">
        <v>0</v>
      </c>
      <c r="H632" s="3">
        <f t="shared" si="18"/>
        <v>12506.52999999993</v>
      </c>
      <c r="I632" s="3">
        <v>0</v>
      </c>
      <c r="J632" s="3"/>
      <c r="K632" s="3"/>
      <c r="L632" s="3"/>
    </row>
    <row r="633" spans="1:12">
      <c r="A633" s="3">
        <v>43206</v>
      </c>
      <c r="B633" s="3">
        <v>291.20999999999998</v>
      </c>
      <c r="C633" s="4" cm="1">
        <f t="array" aca="1" ref="C633" ca="1">INDIRECT(ADDRESS(ROW()-C$3,2))-INDIRECT(ADDRESS(ROW()-C$2,2))</f>
        <v>-9.7200000000000273</v>
      </c>
      <c r="D633" s="4" cm="1">
        <f t="array" aca="1" ref="D633" ca="1">INDIRECT(ADDRESS(ROW()-D$3,2))-INDIRECT(ADDRESS(ROW()-D$2,2))</f>
        <v>38.72999999999999</v>
      </c>
      <c r="E633" s="4">
        <f t="shared" ca="1" si="19"/>
        <v>302.52</v>
      </c>
      <c r="F633" s="3">
        <v>12506.52999999993</v>
      </c>
      <c r="G633" s="3">
        <v>0</v>
      </c>
      <c r="H633" s="3">
        <f t="shared" si="18"/>
        <v>12506.52999999993</v>
      </c>
      <c r="I633" s="3">
        <v>0</v>
      </c>
      <c r="J633" s="3"/>
      <c r="K633" s="3"/>
      <c r="L633" s="3"/>
    </row>
    <row r="634" spans="1:12">
      <c r="A634" s="3">
        <v>43207</v>
      </c>
      <c r="B634" s="3">
        <v>287.69</v>
      </c>
      <c r="C634" s="4" cm="1">
        <f t="array" aca="1" ref="C634" ca="1">INDIRECT(ADDRESS(ROW()-C$3,2))-INDIRECT(ADDRESS(ROW()-C$2,2))</f>
        <v>-6.3899999999999864</v>
      </c>
      <c r="D634" s="4" cm="1">
        <f t="array" aca="1" ref="D634" ca="1">INDIRECT(ADDRESS(ROW()-D$3,2))-INDIRECT(ADDRESS(ROW()-D$2,2))</f>
        <v>20.160000000000025</v>
      </c>
      <c r="E634" s="4">
        <f t="shared" ca="1" si="19"/>
        <v>296.07</v>
      </c>
      <c r="F634" s="3">
        <v>12506.52999999993</v>
      </c>
      <c r="G634" s="3">
        <v>0</v>
      </c>
      <c r="H634" s="3">
        <f t="shared" si="18"/>
        <v>12506.52999999993</v>
      </c>
      <c r="I634" s="3">
        <v>0</v>
      </c>
      <c r="J634" s="3"/>
      <c r="K634" s="3"/>
      <c r="L634" s="3"/>
    </row>
    <row r="635" spans="1:12">
      <c r="A635" s="3">
        <v>43208</v>
      </c>
      <c r="B635" s="3">
        <v>293.35000000000002</v>
      </c>
      <c r="C635" s="4" cm="1">
        <f t="array" aca="1" ref="C635" ca="1">INDIRECT(ADDRESS(ROW()-C$3,2))-INDIRECT(ADDRESS(ROW()-C$2,2))</f>
        <v>-6.9899999999999523</v>
      </c>
      <c r="D635" s="4" cm="1">
        <f t="array" aca="1" ref="D635" ca="1">INDIRECT(ADDRESS(ROW()-D$3,2))-INDIRECT(ADDRESS(ROW()-D$2,2))</f>
        <v>6.410000000000025</v>
      </c>
      <c r="E635" s="4">
        <f t="shared" ca="1" si="19"/>
        <v>290.88499999999999</v>
      </c>
      <c r="F635" s="3">
        <v>12506.52999999993</v>
      </c>
      <c r="G635" s="3">
        <v>0</v>
      </c>
      <c r="H635" s="3">
        <f t="shared" si="18"/>
        <v>12506.52999999993</v>
      </c>
      <c r="I635" s="3">
        <v>0</v>
      </c>
      <c r="J635" s="3"/>
      <c r="K635" s="3"/>
      <c r="L635" s="3"/>
    </row>
    <row r="636" spans="1:12">
      <c r="A636" s="3">
        <v>43209</v>
      </c>
      <c r="B636" s="3">
        <v>300.08</v>
      </c>
      <c r="C636" s="4" cm="1">
        <f t="array" aca="1" ref="C636" ca="1">INDIRECT(ADDRESS(ROW()-C$3,2))-INDIRECT(ADDRESS(ROW()-C$2,2))</f>
        <v>8.8700000000000045</v>
      </c>
      <c r="D636" s="4" cm="1">
        <f t="array" aca="1" ref="D636" ca="1">INDIRECT(ADDRESS(ROW()-D$3,2))-INDIRECT(ADDRESS(ROW()-D$2,2))</f>
        <v>-5.6400000000000432</v>
      </c>
      <c r="E636" s="4">
        <f t="shared" ca="1" si="19"/>
        <v>296.84500000000003</v>
      </c>
      <c r="F636" s="3">
        <v>203.24999999993258</v>
      </c>
      <c r="G636" s="3">
        <v>12303.279999999999</v>
      </c>
      <c r="H636" s="3">
        <f t="shared" si="18"/>
        <v>12506.529999999932</v>
      </c>
      <c r="I636" s="3">
        <v>41</v>
      </c>
      <c r="J636" s="3"/>
      <c r="K636" s="3"/>
      <c r="L636" s="3"/>
    </row>
    <row r="637" spans="1:12">
      <c r="A637" s="3">
        <v>43210</v>
      </c>
      <c r="B637" s="3">
        <v>290.24</v>
      </c>
      <c r="C637" s="4" cm="1">
        <f t="array" aca="1" ref="C637" ca="1">INDIRECT(ADDRESS(ROW()-C$3,2))-INDIRECT(ADDRESS(ROW()-C$2,2))</f>
        <v>2.5500000000000114</v>
      </c>
      <c r="D637" s="4" cm="1">
        <f t="array" aca="1" ref="D637" ca="1">INDIRECT(ADDRESS(ROW()-D$3,2))-INDIRECT(ADDRESS(ROW()-D$2,2))</f>
        <v>-9.0600000000000023</v>
      </c>
      <c r="E637" s="4">
        <f t="shared" ca="1" si="19"/>
        <v>295.64499999999998</v>
      </c>
      <c r="F637" s="3">
        <v>203.24999999993258</v>
      </c>
      <c r="G637" s="3">
        <v>11899.84</v>
      </c>
      <c r="H637" s="3">
        <f t="shared" si="18"/>
        <v>12103.089999999933</v>
      </c>
      <c r="I637" s="3">
        <v>41</v>
      </c>
      <c r="J637" s="3"/>
      <c r="K637" s="3"/>
      <c r="L637" s="3"/>
    </row>
    <row r="638" spans="1:12">
      <c r="A638" s="3">
        <v>43213</v>
      </c>
      <c r="B638" s="3">
        <v>283.37</v>
      </c>
      <c r="C638" s="4" cm="1">
        <f t="array" aca="1" ref="C638" ca="1">INDIRECT(ADDRESS(ROW()-C$3,2))-INDIRECT(ADDRESS(ROW()-C$2,2))</f>
        <v>-9.9800000000000182</v>
      </c>
      <c r="D638" s="4" cm="1">
        <f t="array" aca="1" ref="D638" ca="1">INDIRECT(ADDRESS(ROW()-D$3,2))-INDIRECT(ADDRESS(ROW()-D$2,2))</f>
        <v>-6.2900000000000205</v>
      </c>
      <c r="E638" s="4">
        <f t="shared" ca="1" si="19"/>
        <v>288.96500000000003</v>
      </c>
      <c r="F638" s="3">
        <v>11821.419999999933</v>
      </c>
      <c r="G638" s="3">
        <v>0</v>
      </c>
      <c r="H638" s="3">
        <f t="shared" si="18"/>
        <v>11821.419999999933</v>
      </c>
      <c r="I638" s="3">
        <v>0</v>
      </c>
      <c r="J638" s="3"/>
      <c r="K638" s="3"/>
      <c r="L638" s="3"/>
    </row>
    <row r="639" spans="1:12">
      <c r="A639" s="3">
        <v>43214</v>
      </c>
      <c r="B639" s="3">
        <v>283.45999999999998</v>
      </c>
      <c r="C639" s="4" cm="1">
        <f t="array" aca="1" ref="C639" ca="1">INDIRECT(ADDRESS(ROW()-C$3,2))-INDIRECT(ADDRESS(ROW()-C$2,2))</f>
        <v>-16.620000000000005</v>
      </c>
      <c r="D639" s="4" cm="1">
        <f t="array" aca="1" ref="D639" ca="1">INDIRECT(ADDRESS(ROW()-D$3,2))-INDIRECT(ADDRESS(ROW()-D$2,2))</f>
        <v>-21.240000000000009</v>
      </c>
      <c r="E639" s="4">
        <f t="shared" ca="1" si="19"/>
        <v>288.36</v>
      </c>
      <c r="F639" s="3">
        <v>11821.419999999933</v>
      </c>
      <c r="G639" s="3">
        <v>0</v>
      </c>
      <c r="H639" s="3">
        <f t="shared" si="18"/>
        <v>11821.419999999933</v>
      </c>
      <c r="I639" s="3">
        <v>0</v>
      </c>
      <c r="J639" s="3"/>
      <c r="K639" s="3"/>
      <c r="L639" s="3"/>
    </row>
    <row r="640" spans="1:12">
      <c r="A640" s="3">
        <v>43215</v>
      </c>
      <c r="B640" s="3">
        <v>280.69</v>
      </c>
      <c r="C640" s="4" cm="1">
        <f t="array" aca="1" ref="C640" ca="1">INDIRECT(ADDRESS(ROW()-C$3,2))-INDIRECT(ADDRESS(ROW()-C$2,2))</f>
        <v>-9.5500000000000114</v>
      </c>
      <c r="D640" s="4" cm="1">
        <f t="array" aca="1" ref="D640" ca="1">INDIRECT(ADDRESS(ROW()-D$3,2))-INDIRECT(ADDRESS(ROW()-D$2,2))</f>
        <v>-20.240000000000009</v>
      </c>
      <c r="E640" s="4">
        <f t="shared" ca="1" si="19"/>
        <v>291.77</v>
      </c>
      <c r="F640" s="3">
        <v>11821.419999999933</v>
      </c>
      <c r="G640" s="3">
        <v>0</v>
      </c>
      <c r="H640" s="3">
        <f t="shared" si="18"/>
        <v>11821.419999999933</v>
      </c>
      <c r="I640" s="3">
        <v>0</v>
      </c>
      <c r="J640" s="3"/>
      <c r="K640" s="3"/>
      <c r="L640" s="3"/>
    </row>
    <row r="641" spans="1:12">
      <c r="A641" s="3">
        <v>43216</v>
      </c>
      <c r="B641" s="3">
        <v>285.48</v>
      </c>
      <c r="C641" s="4" cm="1">
        <f t="array" aca="1" ref="C641" ca="1">INDIRECT(ADDRESS(ROW()-C$3,2))-INDIRECT(ADDRESS(ROW()-C$2,2))</f>
        <v>2.1100000000000136</v>
      </c>
      <c r="D641" s="4" cm="1">
        <f t="array" aca="1" ref="D641" ca="1">INDIRECT(ADDRESS(ROW()-D$3,2))-INDIRECT(ADDRESS(ROW()-D$2,2))</f>
        <v>-8.5999999999999659</v>
      </c>
      <c r="E641" s="4">
        <f t="shared" ca="1" si="19"/>
        <v>285.46500000000003</v>
      </c>
      <c r="F641" s="3">
        <v>116.7399999999443</v>
      </c>
      <c r="G641" s="3">
        <v>11704.68</v>
      </c>
      <c r="H641" s="3">
        <f t="shared" si="18"/>
        <v>11821.419999999944</v>
      </c>
      <c r="I641" s="3">
        <v>41</v>
      </c>
      <c r="J641" s="3"/>
      <c r="K641" s="3"/>
      <c r="L641" s="3"/>
    </row>
    <row r="642" spans="1:12">
      <c r="A642" s="3">
        <v>43217</v>
      </c>
      <c r="B642" s="3">
        <v>294.07499999999999</v>
      </c>
      <c r="C642" s="4" cm="1">
        <f t="array" aca="1" ref="C642" ca="1">INDIRECT(ADDRESS(ROW()-C$3,2))-INDIRECT(ADDRESS(ROW()-C$2,2))</f>
        <v>10.615000000000009</v>
      </c>
      <c r="D642" s="4" cm="1">
        <f t="array" aca="1" ref="D642" ca="1">INDIRECT(ADDRESS(ROW()-D$3,2))-INDIRECT(ADDRESS(ROW()-D$2,2))</f>
        <v>-6.2649999999999864</v>
      </c>
      <c r="E642" s="4">
        <f t="shared" ca="1" si="19"/>
        <v>284.42500000000001</v>
      </c>
      <c r="F642" s="3">
        <v>116.7399999999443</v>
      </c>
      <c r="G642" s="3">
        <v>12057.074999999999</v>
      </c>
      <c r="H642" s="3">
        <f t="shared" si="18"/>
        <v>12173.814999999944</v>
      </c>
      <c r="I642" s="3">
        <v>41</v>
      </c>
      <c r="J642" s="3"/>
      <c r="K642" s="3"/>
      <c r="L642" s="3"/>
    </row>
    <row r="643" spans="1:12">
      <c r="A643" s="3">
        <v>43220</v>
      </c>
      <c r="B643" s="3">
        <v>293.89999999999998</v>
      </c>
      <c r="C643" s="4" cm="1">
        <f t="array" aca="1" ref="C643" ca="1">INDIRECT(ADDRESS(ROW()-C$3,2))-INDIRECT(ADDRESS(ROW()-C$2,2))</f>
        <v>13.20999999999998</v>
      </c>
      <c r="D643" s="4" cm="1">
        <f t="array" aca="1" ref="D643" ca="1">INDIRECT(ADDRESS(ROW()-D$3,2))-INDIRECT(ADDRESS(ROW()-D$2,2))</f>
        <v>2.6899999999999977</v>
      </c>
      <c r="E643" s="4">
        <f t="shared" ca="1" si="19"/>
        <v>288.76749999999998</v>
      </c>
      <c r="F643" s="3">
        <v>116.7399999999443</v>
      </c>
      <c r="G643" s="3">
        <v>12049.9</v>
      </c>
      <c r="H643" s="3">
        <f t="shared" si="18"/>
        <v>12166.639999999945</v>
      </c>
      <c r="I643" s="3">
        <v>41</v>
      </c>
      <c r="J643" s="3"/>
      <c r="K643" s="3"/>
      <c r="L643" s="3"/>
    </row>
    <row r="644" spans="1:12">
      <c r="A644" s="3">
        <v>43221</v>
      </c>
      <c r="B644" s="3">
        <v>299.92</v>
      </c>
      <c r="C644" s="4" cm="1">
        <f t="array" aca="1" ref="C644" ca="1">INDIRECT(ADDRESS(ROW()-C$3,2))-INDIRECT(ADDRESS(ROW()-C$2,2))</f>
        <v>14.439999999999998</v>
      </c>
      <c r="D644" s="4" cm="1">
        <f t="array" aca="1" ref="D644" ca="1">INDIRECT(ADDRESS(ROW()-D$3,2))-INDIRECT(ADDRESS(ROW()-D$2,2))</f>
        <v>12.230000000000018</v>
      </c>
      <c r="E644" s="4">
        <f t="shared" ca="1" si="19"/>
        <v>287.29499999999996</v>
      </c>
      <c r="F644" s="3">
        <v>116.7399999999443</v>
      </c>
      <c r="G644" s="3">
        <v>12296.720000000001</v>
      </c>
      <c r="H644" s="3">
        <f t="shared" si="18"/>
        <v>12413.459999999945</v>
      </c>
      <c r="I644" s="3">
        <v>41</v>
      </c>
      <c r="J644" s="3"/>
      <c r="K644" s="3"/>
      <c r="L644" s="3"/>
    </row>
    <row r="645" spans="1:12">
      <c r="A645" s="3">
        <v>43222</v>
      </c>
      <c r="B645" s="3">
        <v>301.14999999999998</v>
      </c>
      <c r="C645" s="4" cm="1">
        <f t="array" aca="1" ref="C645" ca="1">INDIRECT(ADDRESS(ROW()-C$3,2))-INDIRECT(ADDRESS(ROW()-C$2,2))</f>
        <v>7.0749999999999886</v>
      </c>
      <c r="D645" s="4" cm="1">
        <f t="array" aca="1" ref="D645" ca="1">INDIRECT(ADDRESS(ROW()-D$3,2))-INDIRECT(ADDRESS(ROW()-D$2,2))</f>
        <v>7.7999999999999545</v>
      </c>
      <c r="E645" s="4">
        <f t="shared" ca="1" si="19"/>
        <v>292.70000000000005</v>
      </c>
      <c r="F645" s="3">
        <v>116.7399999999443</v>
      </c>
      <c r="G645" s="3">
        <v>12347.15</v>
      </c>
      <c r="H645" s="3">
        <f t="shared" si="18"/>
        <v>12463.889999999945</v>
      </c>
      <c r="I645" s="3">
        <v>41</v>
      </c>
      <c r="J645" s="3"/>
      <c r="K645" s="3"/>
      <c r="L645" s="3"/>
    </row>
    <row r="646" spans="1:12">
      <c r="A646" s="3">
        <v>43223</v>
      </c>
      <c r="B646" s="3">
        <v>284.45</v>
      </c>
      <c r="C646" s="4" cm="1">
        <f t="array" aca="1" ref="C646" ca="1">INDIRECT(ADDRESS(ROW()-C$3,2))-INDIRECT(ADDRESS(ROW()-C$2,2))</f>
        <v>-9.4499999999999886</v>
      </c>
      <c r="D646" s="4" cm="1">
        <f t="array" aca="1" ref="D646" ca="1">INDIRECT(ADDRESS(ROW()-D$3,2))-INDIRECT(ADDRESS(ROW()-D$2,2))</f>
        <v>-15.629999999999995</v>
      </c>
      <c r="E646" s="4">
        <f t="shared" ca="1" si="19"/>
        <v>297.61249999999995</v>
      </c>
      <c r="F646" s="3">
        <v>11779.189999999944</v>
      </c>
      <c r="G646" s="3">
        <v>0</v>
      </c>
      <c r="H646" s="3">
        <f t="shared" si="18"/>
        <v>11779.189999999944</v>
      </c>
      <c r="I646" s="3">
        <v>0</v>
      </c>
      <c r="J646" s="3"/>
      <c r="K646" s="3"/>
      <c r="L646" s="3"/>
    </row>
    <row r="647" spans="1:12">
      <c r="A647" s="3">
        <v>43224</v>
      </c>
      <c r="B647" s="3">
        <v>294.08999999999997</v>
      </c>
      <c r="C647" s="4" cm="1">
        <f t="array" aca="1" ref="C647" ca="1">INDIRECT(ADDRESS(ROW()-C$3,2))-INDIRECT(ADDRESS(ROW()-C$2,2))</f>
        <v>-5.8300000000000409</v>
      </c>
      <c r="D647" s="4" cm="1">
        <f t="array" aca="1" ref="D647" ca="1">INDIRECT(ADDRESS(ROW()-D$3,2))-INDIRECT(ADDRESS(ROW()-D$2,2))</f>
        <v>3.8499999999999659</v>
      </c>
      <c r="E647" s="4">
        <f t="shared" ca="1" si="19"/>
        <v>289.17499999999995</v>
      </c>
      <c r="F647" s="3">
        <v>11779.189999999944</v>
      </c>
      <c r="G647" s="3">
        <v>0</v>
      </c>
      <c r="H647" s="3">
        <f t="shared" si="18"/>
        <v>11779.189999999944</v>
      </c>
      <c r="I647" s="3">
        <v>0</v>
      </c>
      <c r="J647" s="3"/>
      <c r="K647" s="3"/>
      <c r="L647" s="3"/>
    </row>
    <row r="648" spans="1:12">
      <c r="A648" s="3">
        <v>43227</v>
      </c>
      <c r="B648" s="3">
        <v>302.77</v>
      </c>
      <c r="C648" s="4" cm="1">
        <f t="array" aca="1" ref="C648" ca="1">INDIRECT(ADDRESS(ROW()-C$3,2))-INDIRECT(ADDRESS(ROW()-C$2,2))</f>
        <v>1.6200000000000045</v>
      </c>
      <c r="D648" s="4" cm="1">
        <f t="array" aca="1" ref="D648" ca="1">INDIRECT(ADDRESS(ROW()-D$3,2))-INDIRECT(ADDRESS(ROW()-D$2,2))</f>
        <v>19.399999999999977</v>
      </c>
      <c r="E648" s="4">
        <f t="shared" ca="1" si="19"/>
        <v>297.005</v>
      </c>
      <c r="F648" s="3">
        <v>273.92999999993344</v>
      </c>
      <c r="G648" s="3">
        <v>11505.259999999998</v>
      </c>
      <c r="H648" s="3">
        <f t="shared" si="18"/>
        <v>11779.189999999931</v>
      </c>
      <c r="I648" s="3">
        <v>38</v>
      </c>
      <c r="J648" s="3"/>
      <c r="K648" s="3"/>
      <c r="L648" s="3"/>
    </row>
    <row r="649" spans="1:12">
      <c r="A649" s="3">
        <v>43228</v>
      </c>
      <c r="B649" s="3">
        <v>301.97000000000003</v>
      </c>
      <c r="C649" s="4" cm="1">
        <f t="array" aca="1" ref="C649" ca="1">INDIRECT(ADDRESS(ROW()-C$3,2))-INDIRECT(ADDRESS(ROW()-C$2,2))</f>
        <v>17.520000000000039</v>
      </c>
      <c r="D649" s="4" cm="1">
        <f t="array" aca="1" ref="D649" ca="1">INDIRECT(ADDRESS(ROW()-D$3,2))-INDIRECT(ADDRESS(ROW()-D$2,2))</f>
        <v>18.510000000000048</v>
      </c>
      <c r="E649" s="4">
        <f t="shared" ca="1" si="19"/>
        <v>301.95999999999998</v>
      </c>
      <c r="F649" s="3">
        <v>273.92999999993344</v>
      </c>
      <c r="G649" s="3">
        <v>11474.86</v>
      </c>
      <c r="H649" s="3">
        <f t="shared" si="18"/>
        <v>11748.789999999934</v>
      </c>
      <c r="I649" s="3">
        <v>38</v>
      </c>
      <c r="J649" s="3"/>
      <c r="K649" s="3"/>
      <c r="L649" s="3"/>
    </row>
    <row r="650" spans="1:12">
      <c r="A650" s="3">
        <v>43229</v>
      </c>
      <c r="B650" s="3">
        <v>306.85000000000002</v>
      </c>
      <c r="C650" s="4" cm="1">
        <f t="array" aca="1" ref="C650" ca="1">INDIRECT(ADDRESS(ROW()-C$3,2))-INDIRECT(ADDRESS(ROW()-C$2,2))</f>
        <v>12.760000000000048</v>
      </c>
      <c r="D650" s="4" cm="1">
        <f t="array" aca="1" ref="D650" ca="1">INDIRECT(ADDRESS(ROW()-D$3,2))-INDIRECT(ADDRESS(ROW()-D$2,2))</f>
        <v>26.160000000000025</v>
      </c>
      <c r="E650" s="4">
        <f t="shared" ca="1" si="19"/>
        <v>293.21000000000004</v>
      </c>
      <c r="F650" s="3">
        <v>273.92999999993344</v>
      </c>
      <c r="G650" s="3">
        <v>11660.300000000001</v>
      </c>
      <c r="H650" s="3">
        <f t="shared" si="18"/>
        <v>11934.229999999934</v>
      </c>
      <c r="I650" s="3">
        <v>38</v>
      </c>
      <c r="J650" s="3"/>
      <c r="K650" s="3"/>
      <c r="L650" s="3"/>
    </row>
    <row r="651" spans="1:12">
      <c r="A651" s="3">
        <v>43230</v>
      </c>
      <c r="B651" s="3">
        <v>305.02</v>
      </c>
      <c r="C651" s="4" cm="1">
        <f t="array" aca="1" ref="C651" ca="1">INDIRECT(ADDRESS(ROW()-C$3,2))-INDIRECT(ADDRESS(ROW()-C$2,2))</f>
        <v>2.25</v>
      </c>
      <c r="D651" s="4" cm="1">
        <f t="array" aca="1" ref="D651" ca="1">INDIRECT(ADDRESS(ROW()-D$3,2))-INDIRECT(ADDRESS(ROW()-D$2,2))</f>
        <v>19.539999999999964</v>
      </c>
      <c r="E651" s="4">
        <f t="shared" ca="1" si="19"/>
        <v>300.47000000000003</v>
      </c>
      <c r="F651" s="3">
        <v>273.92999999993344</v>
      </c>
      <c r="G651" s="3">
        <v>11590.759999999998</v>
      </c>
      <c r="H651" s="3">
        <f t="shared" si="18"/>
        <v>11864.689999999931</v>
      </c>
      <c r="I651" s="3">
        <v>38</v>
      </c>
      <c r="J651" s="3"/>
      <c r="K651" s="3"/>
      <c r="L651" s="3"/>
    </row>
    <row r="652" spans="1:12">
      <c r="A652" s="3">
        <v>43231</v>
      </c>
      <c r="B652" s="3">
        <v>301.06</v>
      </c>
      <c r="C652" s="4" cm="1">
        <f t="array" aca="1" ref="C652" ca="1">INDIRECT(ADDRESS(ROW()-C$3,2))-INDIRECT(ADDRESS(ROW()-C$2,2))</f>
        <v>-0.91000000000002501</v>
      </c>
      <c r="D652" s="4" cm="1">
        <f t="array" aca="1" ref="D652" ca="1">INDIRECT(ADDRESS(ROW()-D$3,2))-INDIRECT(ADDRESS(ROW()-D$2,2))</f>
        <v>6.9850000000000136</v>
      </c>
      <c r="E652" s="4">
        <f t="shared" ca="1" si="19"/>
        <v>303.89499999999998</v>
      </c>
      <c r="F652" s="3">
        <v>11714.209999999934</v>
      </c>
      <c r="G652" s="3">
        <v>0</v>
      </c>
      <c r="H652" s="3">
        <f t="shared" si="18"/>
        <v>11714.209999999934</v>
      </c>
      <c r="I652" s="3">
        <v>0</v>
      </c>
      <c r="J652" s="3"/>
      <c r="K652" s="3"/>
      <c r="L652" s="3"/>
    </row>
    <row r="653" spans="1:12">
      <c r="A653" s="3">
        <v>43234</v>
      </c>
      <c r="B653" s="3">
        <v>291.97000000000003</v>
      </c>
      <c r="C653" s="4" cm="1">
        <f t="array" aca="1" ref="C653" ca="1">INDIRECT(ADDRESS(ROW()-C$3,2))-INDIRECT(ADDRESS(ROW()-C$2,2))</f>
        <v>-14.879999999999995</v>
      </c>
      <c r="D653" s="4" cm="1">
        <f t="array" aca="1" ref="D653" ca="1">INDIRECT(ADDRESS(ROW()-D$3,2))-INDIRECT(ADDRESS(ROW()-D$2,2))</f>
        <v>-1.92999999999995</v>
      </c>
      <c r="E653" s="4">
        <f t="shared" ca="1" si="19"/>
        <v>301.51499999999999</v>
      </c>
      <c r="F653" s="3">
        <v>11714.209999999934</v>
      </c>
      <c r="G653" s="3">
        <v>0</v>
      </c>
      <c r="H653" s="3">
        <f t="shared" si="18"/>
        <v>11714.209999999934</v>
      </c>
      <c r="I653" s="3">
        <v>0</v>
      </c>
      <c r="J653" s="3"/>
      <c r="K653" s="3"/>
      <c r="L653" s="3"/>
    </row>
    <row r="654" spans="1:12">
      <c r="A654" s="3">
        <v>43235</v>
      </c>
      <c r="B654" s="3">
        <v>284.18</v>
      </c>
      <c r="C654" s="4" cm="1">
        <f t="array" aca="1" ref="C654" ca="1">INDIRECT(ADDRESS(ROW()-C$3,2))-INDIRECT(ADDRESS(ROW()-C$2,2))</f>
        <v>-20.839999999999975</v>
      </c>
      <c r="D654" s="4" cm="1">
        <f t="array" aca="1" ref="D654" ca="1">INDIRECT(ADDRESS(ROW()-D$3,2))-INDIRECT(ADDRESS(ROW()-D$2,2))</f>
        <v>-15.740000000000009</v>
      </c>
      <c r="E654" s="4">
        <f t="shared" ca="1" si="19"/>
        <v>299.41000000000003</v>
      </c>
      <c r="F654" s="3">
        <v>11714.209999999934</v>
      </c>
      <c r="G654" s="3">
        <v>0</v>
      </c>
      <c r="H654" s="3">
        <f t="shared" si="18"/>
        <v>11714.209999999934</v>
      </c>
      <c r="I654" s="3">
        <v>0</v>
      </c>
      <c r="J654" s="3"/>
      <c r="K654" s="3"/>
      <c r="L654" s="3"/>
    </row>
    <row r="655" spans="1:12">
      <c r="A655" s="3">
        <v>43236</v>
      </c>
      <c r="B655" s="3">
        <v>286.48</v>
      </c>
      <c r="C655" s="4" cm="1">
        <f t="array" aca="1" ref="C655" ca="1">INDIRECT(ADDRESS(ROW()-C$3,2))-INDIRECT(ADDRESS(ROW()-C$2,2))</f>
        <v>-14.579999999999984</v>
      </c>
      <c r="D655" s="4" cm="1">
        <f t="array" aca="1" ref="D655" ca="1">INDIRECT(ADDRESS(ROW()-D$3,2))-INDIRECT(ADDRESS(ROW()-D$2,2))</f>
        <v>-14.669999999999959</v>
      </c>
      <c r="E655" s="4">
        <f t="shared" ca="1" si="19"/>
        <v>294.60000000000002</v>
      </c>
      <c r="F655" s="3">
        <v>11714.209999999934</v>
      </c>
      <c r="G655" s="3">
        <v>0</v>
      </c>
      <c r="H655" s="3">
        <f t="shared" si="18"/>
        <v>11714.209999999934</v>
      </c>
      <c r="I655" s="3">
        <v>0</v>
      </c>
      <c r="J655" s="3"/>
      <c r="K655" s="3"/>
      <c r="L655" s="3"/>
    </row>
    <row r="656" spans="1:12">
      <c r="A656" s="3">
        <v>43237</v>
      </c>
      <c r="B656" s="3">
        <v>284.54000000000002</v>
      </c>
      <c r="C656" s="4" cm="1">
        <f t="array" aca="1" ref="C656" ca="1">INDIRECT(ADDRESS(ROW()-C$3,2))-INDIRECT(ADDRESS(ROW()-C$2,2))</f>
        <v>-7.4300000000000068</v>
      </c>
      <c r="D656" s="4" cm="1">
        <f t="array" aca="1" ref="D656" ca="1">INDIRECT(ADDRESS(ROW()-D$3,2))-INDIRECT(ADDRESS(ROW()-D$2,2))</f>
        <v>9.0000000000031832E-2</v>
      </c>
      <c r="E656" s="4">
        <f t="shared" ca="1" si="19"/>
        <v>293.77</v>
      </c>
      <c r="F656" s="3">
        <v>11714.209999999934</v>
      </c>
      <c r="G656" s="3">
        <v>0</v>
      </c>
      <c r="H656" s="3">
        <f t="shared" si="18"/>
        <v>11714.209999999934</v>
      </c>
      <c r="I656" s="3">
        <v>0</v>
      </c>
      <c r="J656" s="3"/>
      <c r="K656" s="3"/>
      <c r="L656" s="3"/>
    </row>
    <row r="657" spans="1:12">
      <c r="A657" s="3">
        <v>43238</v>
      </c>
      <c r="B657" s="3">
        <v>276.82</v>
      </c>
      <c r="C657" s="4" cm="1">
        <f t="array" aca="1" ref="C657" ca="1">INDIRECT(ADDRESS(ROW()-C$3,2))-INDIRECT(ADDRESS(ROW()-C$2,2))</f>
        <v>-7.3600000000000136</v>
      </c>
      <c r="D657" s="4" cm="1">
        <f t="array" aca="1" ref="D657" ca="1">INDIRECT(ADDRESS(ROW()-D$3,2))-INDIRECT(ADDRESS(ROW()-D$2,2))</f>
        <v>-17.269999999999982</v>
      </c>
      <c r="E657" s="4">
        <f t="shared" ca="1" si="19"/>
        <v>288.255</v>
      </c>
      <c r="F657" s="3">
        <v>11714.209999999934</v>
      </c>
      <c r="G657" s="3">
        <v>0</v>
      </c>
      <c r="H657" s="3">
        <f t="shared" si="18"/>
        <v>11714.209999999934</v>
      </c>
      <c r="I657" s="3">
        <v>0</v>
      </c>
      <c r="J657" s="3"/>
      <c r="K657" s="3"/>
      <c r="L657" s="3"/>
    </row>
    <row r="658" spans="1:12">
      <c r="A658" s="3">
        <v>43241</v>
      </c>
      <c r="B658" s="3">
        <v>284.49</v>
      </c>
      <c r="C658" s="4" cm="1">
        <f t="array" aca="1" ref="C658" ca="1">INDIRECT(ADDRESS(ROW()-C$3,2))-INDIRECT(ADDRESS(ROW()-C$2,2))</f>
        <v>-1.9900000000000091</v>
      </c>
      <c r="D658" s="4" cm="1">
        <f t="array" aca="1" ref="D658" ca="1">INDIRECT(ADDRESS(ROW()-D$3,2))-INDIRECT(ADDRESS(ROW()-D$2,2))</f>
        <v>-18.279999999999973</v>
      </c>
      <c r="E658" s="4">
        <f t="shared" ca="1" si="19"/>
        <v>280.5</v>
      </c>
      <c r="F658" s="3">
        <v>11714.209999999934</v>
      </c>
      <c r="G658" s="3">
        <v>0</v>
      </c>
      <c r="H658" s="3">
        <f t="shared" si="18"/>
        <v>11714.209999999934</v>
      </c>
      <c r="I658" s="3">
        <v>0</v>
      </c>
      <c r="J658" s="3"/>
      <c r="K658" s="3"/>
      <c r="L658" s="3"/>
    </row>
    <row r="659" spans="1:12">
      <c r="A659" s="3">
        <v>43242</v>
      </c>
      <c r="B659" s="3">
        <v>275.01</v>
      </c>
      <c r="C659" s="4" cm="1">
        <f t="array" aca="1" ref="C659" ca="1">INDIRECT(ADDRESS(ROW()-C$3,2))-INDIRECT(ADDRESS(ROW()-C$2,2))</f>
        <v>-9.5300000000000296</v>
      </c>
      <c r="D659" s="4" cm="1">
        <f t="array" aca="1" ref="D659" ca="1">INDIRECT(ADDRESS(ROW()-D$3,2))-INDIRECT(ADDRESS(ROW()-D$2,2))</f>
        <v>-26.960000000000036</v>
      </c>
      <c r="E659" s="4">
        <f t="shared" ca="1" si="19"/>
        <v>285.48500000000001</v>
      </c>
      <c r="F659" s="3">
        <v>11714.209999999934</v>
      </c>
      <c r="G659" s="3">
        <v>0</v>
      </c>
      <c r="H659" s="3">
        <f t="shared" si="18"/>
        <v>11714.209999999934</v>
      </c>
      <c r="I659" s="3">
        <v>0</v>
      </c>
      <c r="J659" s="3"/>
      <c r="K659" s="3"/>
      <c r="L659" s="3"/>
    </row>
    <row r="660" spans="1:12">
      <c r="A660" s="3">
        <v>43243</v>
      </c>
      <c r="B660" s="3">
        <v>279.07</v>
      </c>
      <c r="C660" s="4" cm="1">
        <f t="array" aca="1" ref="C660" ca="1">INDIRECT(ADDRESS(ROW()-C$3,2))-INDIRECT(ADDRESS(ROW()-C$2,2))</f>
        <v>2.25</v>
      </c>
      <c r="D660" s="4" cm="1">
        <f t="array" aca="1" ref="D660" ca="1">INDIRECT(ADDRESS(ROW()-D$3,2))-INDIRECT(ADDRESS(ROW()-D$2,2))</f>
        <v>-27.78000000000003</v>
      </c>
      <c r="E660" s="4">
        <f t="shared" ca="1" si="19"/>
        <v>279.77499999999998</v>
      </c>
      <c r="F660" s="3">
        <v>272.33999999994074</v>
      </c>
      <c r="G660" s="3">
        <v>11441.869999999999</v>
      </c>
      <c r="H660" s="3">
        <f t="shared" si="18"/>
        <v>11714.209999999939</v>
      </c>
      <c r="I660" s="3">
        <v>41</v>
      </c>
      <c r="J660" s="3"/>
      <c r="K660" s="3"/>
      <c r="L660" s="3"/>
    </row>
    <row r="661" spans="1:12">
      <c r="A661" s="3">
        <v>43244</v>
      </c>
      <c r="B661" s="3">
        <v>277.85000000000002</v>
      </c>
      <c r="C661" s="4" cm="1">
        <f t="array" aca="1" ref="C661" ca="1">INDIRECT(ADDRESS(ROW()-C$3,2))-INDIRECT(ADDRESS(ROW()-C$2,2))</f>
        <v>-6.6399999999999864</v>
      </c>
      <c r="D661" s="4" cm="1">
        <f t="array" aca="1" ref="D661" ca="1">INDIRECT(ADDRESS(ROW()-D$3,2))-INDIRECT(ADDRESS(ROW()-D$2,2))</f>
        <v>-27.169999999999959</v>
      </c>
      <c r="E661" s="4">
        <f t="shared" ca="1" si="19"/>
        <v>277.94499999999999</v>
      </c>
      <c r="F661" s="3">
        <v>11664.18999999994</v>
      </c>
      <c r="G661" s="3">
        <v>0</v>
      </c>
      <c r="H661" s="3">
        <f t="shared" si="18"/>
        <v>11664.18999999994</v>
      </c>
      <c r="I661" s="3">
        <v>0</v>
      </c>
      <c r="J661" s="3"/>
      <c r="K661" s="3"/>
      <c r="L661" s="3"/>
    </row>
    <row r="662" spans="1:12">
      <c r="A662" s="3">
        <v>43245</v>
      </c>
      <c r="B662" s="3">
        <v>278.85000000000002</v>
      </c>
      <c r="C662" s="4" cm="1">
        <f t="array" aca="1" ref="C662" ca="1">INDIRECT(ADDRESS(ROW()-C$3,2))-INDIRECT(ADDRESS(ROW()-C$2,2))</f>
        <v>3.8400000000000318</v>
      </c>
      <c r="D662" s="4" cm="1">
        <f t="array" aca="1" ref="D662" ca="1">INDIRECT(ADDRESS(ROW()-D$3,2))-INDIRECT(ADDRESS(ROW()-D$2,2))</f>
        <v>-22.20999999999998</v>
      </c>
      <c r="E662" s="4">
        <f t="shared" ca="1" si="19"/>
        <v>281.17</v>
      </c>
      <c r="F662" s="3">
        <v>231.33999999993159</v>
      </c>
      <c r="G662" s="3">
        <v>11432.85</v>
      </c>
      <c r="H662" s="3">
        <f t="shared" si="18"/>
        <v>11664.189999999931</v>
      </c>
      <c r="I662" s="3">
        <v>41</v>
      </c>
      <c r="J662" s="3"/>
      <c r="K662" s="3"/>
      <c r="L662" s="3"/>
    </row>
    <row r="663" spans="1:12">
      <c r="A663" s="3">
        <v>43249</v>
      </c>
      <c r="B663" s="3">
        <v>283.76</v>
      </c>
      <c r="C663" s="4" cm="1">
        <f t="array" aca="1" ref="C663" ca="1">INDIRECT(ADDRESS(ROW()-C$3,2))-INDIRECT(ADDRESS(ROW()-C$2,2))</f>
        <v>4.6899999999999977</v>
      </c>
      <c r="D663" s="4" cm="1">
        <f t="array" aca="1" ref="D663" ca="1">INDIRECT(ADDRESS(ROW()-D$3,2))-INDIRECT(ADDRESS(ROW()-D$2,2))</f>
        <v>-8.2100000000000364</v>
      </c>
      <c r="E663" s="4">
        <f t="shared" ca="1" si="19"/>
        <v>276.93</v>
      </c>
      <c r="F663" s="3">
        <v>231.33999999993159</v>
      </c>
      <c r="G663" s="3">
        <v>11634.16</v>
      </c>
      <c r="H663" s="3">
        <f t="shared" ref="H663:H726" si="20">G663+F663</f>
        <v>11865.499999999931</v>
      </c>
      <c r="I663" s="3">
        <v>41</v>
      </c>
      <c r="J663" s="3"/>
      <c r="K663" s="3"/>
      <c r="L663" s="3"/>
    </row>
    <row r="664" spans="1:12">
      <c r="A664" s="3">
        <v>43250</v>
      </c>
      <c r="B664" s="3">
        <v>291.72000000000003</v>
      </c>
      <c r="C664" s="4" cm="1">
        <f t="array" aca="1" ref="C664" ca="1">INDIRECT(ADDRESS(ROW()-C$3,2))-INDIRECT(ADDRESS(ROW()-C$2,2))</f>
        <v>13.870000000000005</v>
      </c>
      <c r="D664" s="4" cm="1">
        <f t="array" aca="1" ref="D664" ca="1">INDIRECT(ADDRESS(ROW()-D$3,2))-INDIRECT(ADDRESS(ROW()-D$2,2))</f>
        <v>7.5400000000000205</v>
      </c>
      <c r="E664" s="4">
        <f t="shared" ref="E664:E727" ca="1" si="21">AVERAGE(INDIRECT(ADDRESS(ROW()-E$3,2)),INDIRECT(ADDRESS(ROW()-E$2,2)))</f>
        <v>281.41499999999996</v>
      </c>
      <c r="F664" s="3">
        <v>231.33999999993159</v>
      </c>
      <c r="G664" s="3">
        <v>11960.52</v>
      </c>
      <c r="H664" s="3">
        <f t="shared" si="20"/>
        <v>12191.859999999931</v>
      </c>
      <c r="I664" s="3">
        <v>41</v>
      </c>
      <c r="J664" s="3"/>
      <c r="K664" s="3"/>
      <c r="L664" s="3"/>
    </row>
    <row r="665" spans="1:12">
      <c r="A665" s="3">
        <v>43251</v>
      </c>
      <c r="B665" s="3">
        <v>284.73</v>
      </c>
      <c r="C665" s="4" cm="1">
        <f t="array" aca="1" ref="C665" ca="1">INDIRECT(ADDRESS(ROW()-C$3,2))-INDIRECT(ADDRESS(ROW()-C$2,2))</f>
        <v>5.8799999999999955</v>
      </c>
      <c r="D665" s="4" cm="1">
        <f t="array" aca="1" ref="D665" ca="1">INDIRECT(ADDRESS(ROW()-D$3,2))-INDIRECT(ADDRESS(ROW()-D$2,2))</f>
        <v>-1.75</v>
      </c>
      <c r="E665" s="4">
        <f t="shared" ca="1" si="21"/>
        <v>284.78500000000003</v>
      </c>
      <c r="F665" s="3">
        <v>231.33999999993159</v>
      </c>
      <c r="G665" s="3">
        <v>11673.93</v>
      </c>
      <c r="H665" s="3">
        <f t="shared" si="20"/>
        <v>11905.269999999931</v>
      </c>
      <c r="I665" s="3">
        <v>41</v>
      </c>
      <c r="J665" s="3"/>
      <c r="K665" s="3"/>
      <c r="L665" s="3"/>
    </row>
    <row r="666" spans="1:12">
      <c r="A666" s="3">
        <v>43252</v>
      </c>
      <c r="B666" s="3">
        <v>291.82</v>
      </c>
      <c r="C666" s="4" cm="1">
        <f t="array" aca="1" ref="C666" ca="1">INDIRECT(ADDRESS(ROW()-C$3,2))-INDIRECT(ADDRESS(ROW()-C$2,2))</f>
        <v>8.0600000000000023</v>
      </c>
      <c r="D666" s="4" cm="1">
        <f t="array" aca="1" ref="D666" ca="1">INDIRECT(ADDRESS(ROW()-D$3,2))-INDIRECT(ADDRESS(ROW()-D$2,2))</f>
        <v>7.2799999999999727</v>
      </c>
      <c r="E666" s="4">
        <f t="shared" ca="1" si="21"/>
        <v>281.79000000000002</v>
      </c>
      <c r="F666" s="3">
        <v>231.33999999993159</v>
      </c>
      <c r="G666" s="3">
        <v>11964.619999999999</v>
      </c>
      <c r="H666" s="3">
        <f t="shared" si="20"/>
        <v>12195.95999999993</v>
      </c>
      <c r="I666" s="3">
        <v>41</v>
      </c>
      <c r="J666" s="3"/>
      <c r="K666" s="3"/>
      <c r="L666" s="3"/>
    </row>
    <row r="667" spans="1:12">
      <c r="A667" s="3">
        <v>43255</v>
      </c>
      <c r="B667" s="3">
        <v>296.74</v>
      </c>
      <c r="C667" s="4" cm="1">
        <f t="array" aca="1" ref="C667" ca="1">INDIRECT(ADDRESS(ROW()-C$3,2))-INDIRECT(ADDRESS(ROW()-C$2,2))</f>
        <v>5.0199999999999818</v>
      </c>
      <c r="D667" s="4" cm="1">
        <f t="array" aca="1" ref="D667" ca="1">INDIRECT(ADDRESS(ROW()-D$3,2))-INDIRECT(ADDRESS(ROW()-D$2,2))</f>
        <v>19.920000000000016</v>
      </c>
      <c r="E667" s="4">
        <f t="shared" ca="1" si="21"/>
        <v>287.78999999999996</v>
      </c>
      <c r="F667" s="3">
        <v>231.33999999993159</v>
      </c>
      <c r="G667" s="3">
        <v>12166.34</v>
      </c>
      <c r="H667" s="3">
        <f t="shared" si="20"/>
        <v>12397.679999999931</v>
      </c>
      <c r="I667" s="3">
        <v>41</v>
      </c>
      <c r="J667" s="3"/>
      <c r="K667" s="3"/>
      <c r="L667" s="3"/>
    </row>
    <row r="668" spans="1:12">
      <c r="A668" s="3">
        <v>43256</v>
      </c>
      <c r="B668" s="3">
        <v>291.13</v>
      </c>
      <c r="C668" s="4" cm="1">
        <f t="array" aca="1" ref="C668" ca="1">INDIRECT(ADDRESS(ROW()-C$3,2))-INDIRECT(ADDRESS(ROW()-C$2,2))</f>
        <v>6.3999999999999773</v>
      </c>
      <c r="D668" s="4" cm="1">
        <f t="array" aca="1" ref="D668" ca="1">INDIRECT(ADDRESS(ROW()-D$3,2))-INDIRECT(ADDRESS(ROW()-D$2,2))</f>
        <v>6.6399999999999864</v>
      </c>
      <c r="E668" s="4">
        <f t="shared" ca="1" si="21"/>
        <v>294.23</v>
      </c>
      <c r="F668" s="3">
        <v>231.33999999993159</v>
      </c>
      <c r="G668" s="3">
        <v>11936.33</v>
      </c>
      <c r="H668" s="3">
        <f t="shared" si="20"/>
        <v>12167.669999999931</v>
      </c>
      <c r="I668" s="3">
        <v>41</v>
      </c>
      <c r="J668" s="3"/>
      <c r="K668" s="3"/>
      <c r="L668" s="3"/>
    </row>
    <row r="669" spans="1:12">
      <c r="A669" s="3">
        <v>43257</v>
      </c>
      <c r="B669" s="3">
        <v>319.5</v>
      </c>
      <c r="C669" s="4" cm="1">
        <f t="array" aca="1" ref="C669" ca="1">INDIRECT(ADDRESS(ROW()-C$3,2))-INDIRECT(ADDRESS(ROW()-C$2,2))</f>
        <v>27.680000000000007</v>
      </c>
      <c r="D669" s="4" cm="1">
        <f t="array" aca="1" ref="D669" ca="1">INDIRECT(ADDRESS(ROW()-D$3,2))-INDIRECT(ADDRESS(ROW()-D$2,2))</f>
        <v>44.490000000000009</v>
      </c>
      <c r="E669" s="4">
        <f t="shared" ca="1" si="21"/>
        <v>287.93</v>
      </c>
      <c r="F669" s="3">
        <v>231.33999999993159</v>
      </c>
      <c r="G669" s="3">
        <v>13099.5</v>
      </c>
      <c r="H669" s="3">
        <f t="shared" si="20"/>
        <v>13330.839999999931</v>
      </c>
      <c r="I669" s="3">
        <v>41</v>
      </c>
      <c r="J669" s="3"/>
      <c r="K669" s="3"/>
      <c r="L669" s="3"/>
    </row>
    <row r="670" spans="1:12">
      <c r="A670" s="3">
        <v>43258</v>
      </c>
      <c r="B670" s="3">
        <v>316.08999999999997</v>
      </c>
      <c r="C670" s="4" cm="1">
        <f t="array" aca="1" ref="C670" ca="1">INDIRECT(ADDRESS(ROW()-C$3,2))-INDIRECT(ADDRESS(ROW()-C$2,2))</f>
        <v>19.349999999999966</v>
      </c>
      <c r="D670" s="4" cm="1">
        <f t="array" aca="1" ref="D670" ca="1">INDIRECT(ADDRESS(ROW()-D$3,2))-INDIRECT(ADDRESS(ROW()-D$2,2))</f>
        <v>37.019999999999982</v>
      </c>
      <c r="E670" s="4">
        <f t="shared" ca="1" si="21"/>
        <v>305.65999999999997</v>
      </c>
      <c r="F670" s="3">
        <v>231.33999999993159</v>
      </c>
      <c r="G670" s="3">
        <v>12959.689999999999</v>
      </c>
      <c r="H670" s="3">
        <f t="shared" si="20"/>
        <v>13191.02999999993</v>
      </c>
      <c r="I670" s="3">
        <v>41</v>
      </c>
      <c r="J670" s="3"/>
      <c r="K670" s="3"/>
      <c r="L670" s="3"/>
    </row>
    <row r="671" spans="1:12">
      <c r="A671" s="3">
        <v>43259</v>
      </c>
      <c r="B671" s="3">
        <v>317.66000000000003</v>
      </c>
      <c r="C671" s="4" cm="1">
        <f t="array" aca="1" ref="C671" ca="1">INDIRECT(ADDRESS(ROW()-C$3,2))-INDIRECT(ADDRESS(ROW()-C$2,2))</f>
        <v>26.53000000000003</v>
      </c>
      <c r="D671" s="4" cm="1">
        <f t="array" aca="1" ref="D671" ca="1">INDIRECT(ADDRESS(ROW()-D$3,2))-INDIRECT(ADDRESS(ROW()-D$2,2))</f>
        <v>39.81</v>
      </c>
      <c r="E671" s="4">
        <f t="shared" ca="1" si="21"/>
        <v>306.41499999999996</v>
      </c>
      <c r="F671" s="3">
        <v>231.33999999993159</v>
      </c>
      <c r="G671" s="3">
        <v>13024.060000000001</v>
      </c>
      <c r="H671" s="3">
        <f t="shared" si="20"/>
        <v>13255.399999999932</v>
      </c>
      <c r="I671" s="3">
        <v>41</v>
      </c>
      <c r="J671" s="3"/>
      <c r="K671" s="3"/>
      <c r="L671" s="3"/>
    </row>
    <row r="672" spans="1:12">
      <c r="A672" s="3">
        <v>43262</v>
      </c>
      <c r="B672" s="3">
        <v>332.1</v>
      </c>
      <c r="C672" s="4" cm="1">
        <f t="array" aca="1" ref="C672" ca="1">INDIRECT(ADDRESS(ROW()-C$3,2))-INDIRECT(ADDRESS(ROW()-C$2,2))</f>
        <v>12.600000000000023</v>
      </c>
      <c r="D672" s="4" cm="1">
        <f t="array" aca="1" ref="D672" ca="1">INDIRECT(ADDRESS(ROW()-D$3,2))-INDIRECT(ADDRESS(ROW()-D$2,2))</f>
        <v>53.25</v>
      </c>
      <c r="E672" s="4">
        <f t="shared" ca="1" si="21"/>
        <v>304.39499999999998</v>
      </c>
      <c r="F672" s="3">
        <v>231.33999999993159</v>
      </c>
      <c r="G672" s="3">
        <v>13616.1</v>
      </c>
      <c r="H672" s="3">
        <f t="shared" si="20"/>
        <v>13847.439999999931</v>
      </c>
      <c r="I672" s="3">
        <v>41</v>
      </c>
      <c r="J672" s="3"/>
      <c r="K672" s="3"/>
      <c r="L672" s="3"/>
    </row>
    <row r="673" spans="1:12">
      <c r="A673" s="3">
        <v>43263</v>
      </c>
      <c r="B673" s="3">
        <v>342.77</v>
      </c>
      <c r="C673" s="4" cm="1">
        <f t="array" aca="1" ref="C673" ca="1">INDIRECT(ADDRESS(ROW()-C$3,2))-INDIRECT(ADDRESS(ROW()-C$2,2))</f>
        <v>26.680000000000007</v>
      </c>
      <c r="D673" s="4" cm="1">
        <f t="array" aca="1" ref="D673" ca="1">INDIRECT(ADDRESS(ROW()-D$3,2))-INDIRECT(ADDRESS(ROW()-D$2,2))</f>
        <v>59.009999999999991</v>
      </c>
      <c r="E673" s="4">
        <f t="shared" ca="1" si="21"/>
        <v>325.8</v>
      </c>
      <c r="F673" s="3">
        <v>231.33999999993159</v>
      </c>
      <c r="G673" s="3">
        <v>14053.57</v>
      </c>
      <c r="H673" s="3">
        <f t="shared" si="20"/>
        <v>14284.909999999931</v>
      </c>
      <c r="I673" s="3">
        <v>41</v>
      </c>
      <c r="J673" s="3"/>
      <c r="K673" s="3"/>
      <c r="L673" s="3"/>
    </row>
    <row r="674" spans="1:12">
      <c r="A674" s="3">
        <v>43264</v>
      </c>
      <c r="B674" s="3">
        <v>344.78</v>
      </c>
      <c r="C674" s="4" cm="1">
        <f t="array" aca="1" ref="C674" ca="1">INDIRECT(ADDRESS(ROW()-C$3,2))-INDIRECT(ADDRESS(ROW()-C$2,2))</f>
        <v>27.119999999999948</v>
      </c>
      <c r="D674" s="4" cm="1">
        <f t="array" aca="1" ref="D674" ca="1">INDIRECT(ADDRESS(ROW()-D$3,2))-INDIRECT(ADDRESS(ROW()-D$2,2))</f>
        <v>53.059999999999945</v>
      </c>
      <c r="E674" s="4">
        <f t="shared" ca="1" si="21"/>
        <v>329.42999999999995</v>
      </c>
      <c r="F674" s="3">
        <v>231.33999999993159</v>
      </c>
      <c r="G674" s="3">
        <v>14135.98</v>
      </c>
      <c r="H674" s="3">
        <f t="shared" si="20"/>
        <v>14367.319999999931</v>
      </c>
      <c r="I674" s="3">
        <v>41</v>
      </c>
      <c r="J674" s="3"/>
      <c r="K674" s="3"/>
      <c r="L674" s="3"/>
    </row>
    <row r="675" spans="1:12">
      <c r="A675" s="3">
        <v>43265</v>
      </c>
      <c r="B675" s="3">
        <v>357.72</v>
      </c>
      <c r="C675" s="4" cm="1">
        <f t="array" aca="1" ref="C675" ca="1">INDIRECT(ADDRESS(ROW()-C$3,2))-INDIRECT(ADDRESS(ROW()-C$2,2))</f>
        <v>25.620000000000005</v>
      </c>
      <c r="D675" s="4" cm="1">
        <f t="array" aca="1" ref="D675" ca="1">INDIRECT(ADDRESS(ROW()-D$3,2))-INDIRECT(ADDRESS(ROW()-D$2,2))</f>
        <v>72.990000000000009</v>
      </c>
      <c r="E675" s="4">
        <f t="shared" ca="1" si="21"/>
        <v>331.22</v>
      </c>
      <c r="F675" s="3">
        <v>231.33999999993159</v>
      </c>
      <c r="G675" s="3">
        <v>14666.52</v>
      </c>
      <c r="H675" s="3">
        <f t="shared" si="20"/>
        <v>14897.859999999931</v>
      </c>
      <c r="I675" s="3">
        <v>41</v>
      </c>
      <c r="J675" s="3"/>
      <c r="K675" s="3"/>
      <c r="L675" s="3"/>
    </row>
    <row r="676" spans="1:12">
      <c r="A676" s="3">
        <v>43266</v>
      </c>
      <c r="B676" s="3">
        <v>358.17</v>
      </c>
      <c r="C676" s="4" cm="1">
        <f t="array" aca="1" ref="C676" ca="1">INDIRECT(ADDRESS(ROW()-C$3,2))-INDIRECT(ADDRESS(ROW()-C$2,2))</f>
        <v>15.400000000000034</v>
      </c>
      <c r="D676" s="4" cm="1">
        <f t="array" aca="1" ref="D676" ca="1">INDIRECT(ADDRESS(ROW()-D$3,2))-INDIRECT(ADDRESS(ROW()-D$2,2))</f>
        <v>66.350000000000023</v>
      </c>
      <c r="E676" s="4">
        <f t="shared" ca="1" si="21"/>
        <v>344.91</v>
      </c>
      <c r="F676" s="3">
        <v>231.33999999993159</v>
      </c>
      <c r="G676" s="3">
        <v>14684.970000000001</v>
      </c>
      <c r="H676" s="3">
        <f t="shared" si="20"/>
        <v>14916.309999999932</v>
      </c>
      <c r="I676" s="3">
        <v>41</v>
      </c>
      <c r="J676" s="3"/>
      <c r="K676" s="3"/>
      <c r="L676" s="3"/>
    </row>
    <row r="677" spans="1:12">
      <c r="A677" s="3">
        <v>43269</v>
      </c>
      <c r="B677" s="3">
        <v>370.83</v>
      </c>
      <c r="C677" s="4" cm="1">
        <f t="array" aca="1" ref="C677" ca="1">INDIRECT(ADDRESS(ROW()-C$3,2))-INDIRECT(ADDRESS(ROW()-C$2,2))</f>
        <v>26.050000000000011</v>
      </c>
      <c r="D677" s="4" cm="1">
        <f t="array" aca="1" ref="D677" ca="1">INDIRECT(ADDRESS(ROW()-D$3,2))-INDIRECT(ADDRESS(ROW()-D$2,2))</f>
        <v>74.089999999999975</v>
      </c>
      <c r="E677" s="4">
        <f t="shared" ca="1" si="21"/>
        <v>350.47</v>
      </c>
      <c r="F677" s="3">
        <v>231.33999999993159</v>
      </c>
      <c r="G677" s="3">
        <v>15204.029999999999</v>
      </c>
      <c r="H677" s="3">
        <f t="shared" si="20"/>
        <v>15435.36999999993</v>
      </c>
      <c r="I677" s="3">
        <v>41</v>
      </c>
      <c r="J677" s="3"/>
      <c r="K677" s="3"/>
      <c r="L677" s="3"/>
    </row>
    <row r="678" spans="1:12">
      <c r="A678" s="3">
        <v>43270</v>
      </c>
      <c r="B678" s="3">
        <v>352.55</v>
      </c>
      <c r="C678" s="4" cm="1">
        <f t="array" aca="1" ref="C678" ca="1">INDIRECT(ADDRESS(ROW()-C$3,2))-INDIRECT(ADDRESS(ROW()-C$2,2))</f>
        <v>-5.1700000000000159</v>
      </c>
      <c r="D678" s="4" cm="1">
        <f t="array" aca="1" ref="D678" ca="1">INDIRECT(ADDRESS(ROW()-D$3,2))-INDIRECT(ADDRESS(ROW()-D$2,2))</f>
        <v>61.420000000000016</v>
      </c>
      <c r="E678" s="4">
        <f t="shared" ca="1" si="21"/>
        <v>357.80499999999995</v>
      </c>
      <c r="F678" s="3">
        <v>14685.889999999932</v>
      </c>
      <c r="G678" s="3">
        <v>0</v>
      </c>
      <c r="H678" s="3">
        <f t="shared" si="20"/>
        <v>14685.889999999932</v>
      </c>
      <c r="I678" s="3">
        <v>0</v>
      </c>
      <c r="J678" s="3"/>
      <c r="K678" s="3"/>
      <c r="L678" s="3"/>
    </row>
    <row r="679" spans="1:12">
      <c r="A679" s="3">
        <v>43271</v>
      </c>
      <c r="B679" s="3">
        <v>362.22</v>
      </c>
      <c r="C679" s="4" cm="1">
        <f t="array" aca="1" ref="C679" ca="1">INDIRECT(ADDRESS(ROW()-C$3,2))-INDIRECT(ADDRESS(ROW()-C$2,2))</f>
        <v>4.0500000000000114</v>
      </c>
      <c r="D679" s="4" cm="1">
        <f t="array" aca="1" ref="D679" ca="1">INDIRECT(ADDRESS(ROW()-D$3,2))-INDIRECT(ADDRESS(ROW()-D$2,2))</f>
        <v>42.720000000000027</v>
      </c>
      <c r="E679" s="4">
        <f t="shared" ca="1" si="21"/>
        <v>355.13499999999999</v>
      </c>
      <c r="F679" s="3">
        <v>197.08999999993875</v>
      </c>
      <c r="G679" s="3">
        <v>14488.800000000001</v>
      </c>
      <c r="H679" s="3">
        <f t="shared" si="20"/>
        <v>14685.889999999939</v>
      </c>
      <c r="I679" s="3">
        <v>40</v>
      </c>
      <c r="J679" s="3"/>
      <c r="K679" s="3"/>
      <c r="L679" s="3"/>
    </row>
    <row r="680" spans="1:12">
      <c r="A680" s="3">
        <v>43272</v>
      </c>
      <c r="B680" s="3">
        <v>347.51</v>
      </c>
      <c r="C680" s="4" cm="1">
        <f t="array" aca="1" ref="C680" ca="1">INDIRECT(ADDRESS(ROW()-C$3,2))-INDIRECT(ADDRESS(ROW()-C$2,2))</f>
        <v>-23.319999999999993</v>
      </c>
      <c r="D680" s="4" cm="1">
        <f t="array" aca="1" ref="D680" ca="1">INDIRECT(ADDRESS(ROW()-D$3,2))-INDIRECT(ADDRESS(ROW()-D$2,2))</f>
        <v>31.420000000000016</v>
      </c>
      <c r="E680" s="4">
        <f t="shared" ca="1" si="21"/>
        <v>360.19500000000005</v>
      </c>
      <c r="F680" s="3">
        <v>14097.489999999938</v>
      </c>
      <c r="G680" s="3">
        <v>0</v>
      </c>
      <c r="H680" s="3">
        <f t="shared" si="20"/>
        <v>14097.489999999938</v>
      </c>
      <c r="I680" s="3">
        <v>0</v>
      </c>
      <c r="J680" s="3"/>
      <c r="K680" s="3"/>
      <c r="L680" s="3"/>
    </row>
    <row r="681" spans="1:12">
      <c r="A681" s="3">
        <v>43273</v>
      </c>
      <c r="B681" s="3">
        <v>333.63</v>
      </c>
      <c r="C681" s="4" cm="1">
        <f t="array" aca="1" ref="C681" ca="1">INDIRECT(ADDRESS(ROW()-C$3,2))-INDIRECT(ADDRESS(ROW()-C$2,2))</f>
        <v>-18.920000000000016</v>
      </c>
      <c r="D681" s="4" cm="1">
        <f t="array" aca="1" ref="D681" ca="1">INDIRECT(ADDRESS(ROW()-D$3,2))-INDIRECT(ADDRESS(ROW()-D$2,2))</f>
        <v>15.96999999999997</v>
      </c>
      <c r="E681" s="4">
        <f t="shared" ca="1" si="21"/>
        <v>359.16999999999996</v>
      </c>
      <c r="F681" s="3">
        <v>14097.489999999938</v>
      </c>
      <c r="G681" s="3">
        <v>0</v>
      </c>
      <c r="H681" s="3">
        <f t="shared" si="20"/>
        <v>14097.489999999938</v>
      </c>
      <c r="I681" s="3">
        <v>0</v>
      </c>
      <c r="J681" s="3"/>
      <c r="K681" s="3"/>
      <c r="L681" s="3"/>
    </row>
    <row r="682" spans="1:12">
      <c r="A682" s="3">
        <v>43276</v>
      </c>
      <c r="B682" s="3">
        <v>333.01</v>
      </c>
      <c r="C682" s="4" cm="1">
        <f t="array" aca="1" ref="C682" ca="1">INDIRECT(ADDRESS(ROW()-C$3,2))-INDIRECT(ADDRESS(ROW()-C$2,2))</f>
        <v>-29.210000000000036</v>
      </c>
      <c r="D682" s="4" cm="1">
        <f t="array" aca="1" ref="D682" ca="1">INDIRECT(ADDRESS(ROW()-D$3,2))-INDIRECT(ADDRESS(ROW()-D$2,2))</f>
        <v>0.90999999999996817</v>
      </c>
      <c r="E682" s="4">
        <f t="shared" ca="1" si="21"/>
        <v>343.09000000000003</v>
      </c>
      <c r="F682" s="3">
        <v>14097.489999999938</v>
      </c>
      <c r="G682" s="3">
        <v>0</v>
      </c>
      <c r="H682" s="3">
        <f t="shared" si="20"/>
        <v>14097.489999999938</v>
      </c>
      <c r="I682" s="3">
        <v>0</v>
      </c>
      <c r="J682" s="3"/>
      <c r="K682" s="3"/>
      <c r="L682" s="3"/>
    </row>
    <row r="683" spans="1:12">
      <c r="A683" s="3">
        <v>43277</v>
      </c>
      <c r="B683" s="3">
        <v>342</v>
      </c>
      <c r="C683" s="4" cm="1">
        <f t="array" aca="1" ref="C683" ca="1">INDIRECT(ADDRESS(ROW()-C$3,2))-INDIRECT(ADDRESS(ROW()-C$2,2))</f>
        <v>-5.5099999999999909</v>
      </c>
      <c r="D683" s="4" cm="1">
        <f t="array" aca="1" ref="D683" ca="1">INDIRECT(ADDRESS(ROW()-D$3,2))-INDIRECT(ADDRESS(ROW()-D$2,2))</f>
        <v>-0.76999999999998181</v>
      </c>
      <c r="E683" s="4">
        <f t="shared" ca="1" si="21"/>
        <v>347.61500000000001</v>
      </c>
      <c r="F683" s="3">
        <v>14097.489999999938</v>
      </c>
      <c r="G683" s="3">
        <v>0</v>
      </c>
      <c r="H683" s="3">
        <f t="shared" si="20"/>
        <v>14097.489999999938</v>
      </c>
      <c r="I683" s="3">
        <v>0</v>
      </c>
      <c r="J683" s="3"/>
      <c r="K683" s="3"/>
      <c r="L683" s="3"/>
    </row>
    <row r="684" spans="1:12">
      <c r="A684" s="3">
        <v>43278</v>
      </c>
      <c r="B684" s="3">
        <v>344.5</v>
      </c>
      <c r="C684" s="4" cm="1">
        <f t="array" aca="1" ref="C684" ca="1">INDIRECT(ADDRESS(ROW()-C$3,2))-INDIRECT(ADDRESS(ROW()-C$2,2))</f>
        <v>10.870000000000005</v>
      </c>
      <c r="D684" s="4" cm="1">
        <f t="array" aca="1" ref="D684" ca="1">INDIRECT(ADDRESS(ROW()-D$3,2))-INDIRECT(ADDRESS(ROW()-D$2,2))</f>
        <v>-0.27999999999997272</v>
      </c>
      <c r="E684" s="4">
        <f t="shared" ca="1" si="21"/>
        <v>344.755</v>
      </c>
      <c r="F684" s="3">
        <v>317.48999999993794</v>
      </c>
      <c r="G684" s="3">
        <v>13780</v>
      </c>
      <c r="H684" s="3">
        <f t="shared" si="20"/>
        <v>14097.489999999938</v>
      </c>
      <c r="I684" s="3">
        <v>40</v>
      </c>
      <c r="J684" s="3"/>
      <c r="K684" s="3"/>
      <c r="L684" s="3"/>
    </row>
    <row r="685" spans="1:12">
      <c r="A685" s="3">
        <v>43279</v>
      </c>
      <c r="B685" s="3">
        <v>349.93</v>
      </c>
      <c r="C685" s="4" cm="1">
        <f t="array" aca="1" ref="C685" ca="1">INDIRECT(ADDRESS(ROW()-C$3,2))-INDIRECT(ADDRESS(ROW()-C$2,2))</f>
        <v>16.920000000000016</v>
      </c>
      <c r="D685" s="4" cm="1">
        <f t="array" aca="1" ref="D685" ca="1">INDIRECT(ADDRESS(ROW()-D$3,2))-INDIRECT(ADDRESS(ROW()-D$2,2))</f>
        <v>-7.7900000000000205</v>
      </c>
      <c r="E685" s="4">
        <f t="shared" ca="1" si="21"/>
        <v>339.065</v>
      </c>
      <c r="F685" s="3">
        <v>317.48999999993794</v>
      </c>
      <c r="G685" s="3">
        <v>13997.2</v>
      </c>
      <c r="H685" s="3">
        <f t="shared" si="20"/>
        <v>14314.689999999939</v>
      </c>
      <c r="I685" s="3">
        <v>40</v>
      </c>
      <c r="J685" s="3"/>
      <c r="K685" s="3"/>
      <c r="L685" s="3"/>
    </row>
    <row r="686" spans="1:12">
      <c r="A686" s="3">
        <v>43280</v>
      </c>
      <c r="B686" s="3">
        <v>342.95</v>
      </c>
      <c r="C686" s="4" cm="1">
        <f t="array" aca="1" ref="C686" ca="1">INDIRECT(ADDRESS(ROW()-C$3,2))-INDIRECT(ADDRESS(ROW()-C$2,2))</f>
        <v>0.94999999999998863</v>
      </c>
      <c r="D686" s="4" cm="1">
        <f t="array" aca="1" ref="D686" ca="1">INDIRECT(ADDRESS(ROW()-D$3,2))-INDIRECT(ADDRESS(ROW()-D$2,2))</f>
        <v>-15.220000000000027</v>
      </c>
      <c r="E686" s="4">
        <f t="shared" ca="1" si="21"/>
        <v>341.47</v>
      </c>
      <c r="F686" s="3">
        <v>317.48999999993794</v>
      </c>
      <c r="G686" s="3">
        <v>13718</v>
      </c>
      <c r="H686" s="3">
        <f t="shared" si="20"/>
        <v>14035.489999999938</v>
      </c>
      <c r="I686" s="3">
        <v>40</v>
      </c>
      <c r="J686" s="3"/>
      <c r="K686" s="3"/>
      <c r="L686" s="3"/>
    </row>
    <row r="687" spans="1:12">
      <c r="A687" s="3">
        <v>43283</v>
      </c>
      <c r="B687" s="3">
        <v>335.07</v>
      </c>
      <c r="C687" s="4" cm="1">
        <f t="array" aca="1" ref="C687" ca="1">INDIRECT(ADDRESS(ROW()-C$3,2))-INDIRECT(ADDRESS(ROW()-C$2,2))</f>
        <v>-9.4300000000000068</v>
      </c>
      <c r="D687" s="4" cm="1">
        <f t="array" aca="1" ref="D687" ca="1">INDIRECT(ADDRESS(ROW()-D$3,2))-INDIRECT(ADDRESS(ROW()-D$2,2))</f>
        <v>-35.759999999999991</v>
      </c>
      <c r="E687" s="4">
        <f t="shared" ca="1" si="21"/>
        <v>342.47500000000002</v>
      </c>
      <c r="F687" s="3">
        <v>13720.289999999937</v>
      </c>
      <c r="G687" s="3">
        <v>0</v>
      </c>
      <c r="H687" s="3">
        <f t="shared" si="20"/>
        <v>13720.289999999937</v>
      </c>
      <c r="I687" s="3">
        <v>0</v>
      </c>
      <c r="J687" s="3"/>
      <c r="K687" s="3"/>
      <c r="L687" s="3"/>
    </row>
    <row r="688" spans="1:12">
      <c r="A688" s="3">
        <v>43284</v>
      </c>
      <c r="B688" s="3">
        <v>310.86</v>
      </c>
      <c r="C688" s="4" cm="1">
        <f t="array" aca="1" ref="C688" ca="1">INDIRECT(ADDRESS(ROW()-C$3,2))-INDIRECT(ADDRESS(ROW()-C$2,2))</f>
        <v>-39.069999999999993</v>
      </c>
      <c r="D688" s="4" cm="1">
        <f t="array" aca="1" ref="D688" ca="1">INDIRECT(ADDRESS(ROW()-D$3,2))-INDIRECT(ADDRESS(ROW()-D$2,2))</f>
        <v>-41.69</v>
      </c>
      <c r="E688" s="4">
        <f t="shared" ca="1" si="21"/>
        <v>339.78499999999997</v>
      </c>
      <c r="F688" s="3">
        <v>13720.289999999937</v>
      </c>
      <c r="G688" s="3">
        <v>0</v>
      </c>
      <c r="H688" s="3">
        <f t="shared" si="20"/>
        <v>13720.289999999937</v>
      </c>
      <c r="I688" s="3">
        <v>0</v>
      </c>
      <c r="J688" s="3"/>
      <c r="K688" s="3"/>
      <c r="L688" s="3"/>
    </row>
    <row r="689" spans="1:12">
      <c r="A689" s="3">
        <v>43286</v>
      </c>
      <c r="B689" s="3">
        <v>309.16000000000003</v>
      </c>
      <c r="C689" s="4" cm="1">
        <f t="array" aca="1" ref="C689" ca="1">INDIRECT(ADDRESS(ROW()-C$3,2))-INDIRECT(ADDRESS(ROW()-C$2,2))</f>
        <v>-33.789999999999964</v>
      </c>
      <c r="D689" s="4" cm="1">
        <f t="array" aca="1" ref="D689" ca="1">INDIRECT(ADDRESS(ROW()-D$3,2))-INDIRECT(ADDRESS(ROW()-D$2,2))</f>
        <v>-53.06</v>
      </c>
      <c r="E689" s="4">
        <f t="shared" ca="1" si="21"/>
        <v>330.39499999999998</v>
      </c>
      <c r="F689" s="3">
        <v>13720.289999999937</v>
      </c>
      <c r="G689" s="3">
        <v>0</v>
      </c>
      <c r="H689" s="3">
        <f t="shared" si="20"/>
        <v>13720.289999999937</v>
      </c>
      <c r="I689" s="3">
        <v>0</v>
      </c>
      <c r="J689" s="3"/>
      <c r="K689" s="3"/>
      <c r="L689" s="3"/>
    </row>
    <row r="690" spans="1:12">
      <c r="A690" s="3">
        <v>43287</v>
      </c>
      <c r="B690" s="3">
        <v>308.89999999999998</v>
      </c>
      <c r="C690" s="4" cm="1">
        <f t="array" aca="1" ref="C690" ca="1">INDIRECT(ADDRESS(ROW()-C$3,2))-INDIRECT(ADDRESS(ROW()-C$2,2))</f>
        <v>-26.170000000000016</v>
      </c>
      <c r="D690" s="4" cm="1">
        <f t="array" aca="1" ref="D690" ca="1">INDIRECT(ADDRESS(ROW()-D$3,2))-INDIRECT(ADDRESS(ROW()-D$2,2))</f>
        <v>-38.610000000000014</v>
      </c>
      <c r="E690" s="4">
        <f t="shared" ca="1" si="21"/>
        <v>326.05500000000001</v>
      </c>
      <c r="F690" s="3">
        <v>13720.289999999937</v>
      </c>
      <c r="G690" s="3">
        <v>0</v>
      </c>
      <c r="H690" s="3">
        <f t="shared" si="20"/>
        <v>13720.289999999937</v>
      </c>
      <c r="I690" s="3">
        <v>0</v>
      </c>
      <c r="J690" s="3"/>
      <c r="K690" s="3"/>
      <c r="L690" s="3"/>
    </row>
    <row r="691" spans="1:12">
      <c r="A691" s="3">
        <v>43290</v>
      </c>
      <c r="B691" s="3">
        <v>318.51</v>
      </c>
      <c r="C691" s="4" cm="1">
        <f t="array" aca="1" ref="C691" ca="1">INDIRECT(ADDRESS(ROW()-C$3,2))-INDIRECT(ADDRESS(ROW()-C$2,2))</f>
        <v>7.6499999999999773</v>
      </c>
      <c r="D691" s="4" cm="1">
        <f t="array" aca="1" ref="D691" ca="1">INDIRECT(ADDRESS(ROW()-D$3,2))-INDIRECT(ADDRESS(ROW()-D$2,2))</f>
        <v>-15.120000000000005</v>
      </c>
      <c r="E691" s="4">
        <f t="shared" ca="1" si="21"/>
        <v>321.98500000000001</v>
      </c>
      <c r="F691" s="3">
        <v>24.359999999929414</v>
      </c>
      <c r="G691" s="3">
        <v>13695.93</v>
      </c>
      <c r="H691" s="3">
        <f t="shared" si="20"/>
        <v>13720.28999999993</v>
      </c>
      <c r="I691" s="3">
        <v>43</v>
      </c>
      <c r="J691" s="3"/>
      <c r="K691" s="3"/>
      <c r="L691" s="3"/>
    </row>
    <row r="692" spans="1:12">
      <c r="A692" s="3">
        <v>43291</v>
      </c>
      <c r="B692" s="3">
        <v>322.47000000000003</v>
      </c>
      <c r="C692" s="4" cm="1">
        <f t="array" aca="1" ref="C692" ca="1">INDIRECT(ADDRESS(ROW()-C$3,2))-INDIRECT(ADDRESS(ROW()-C$2,2))</f>
        <v>13.310000000000002</v>
      </c>
      <c r="D692" s="4" cm="1">
        <f t="array" aca="1" ref="D692" ca="1">INDIRECT(ADDRESS(ROW()-D$3,2))-INDIRECT(ADDRESS(ROW()-D$2,2))</f>
        <v>-10.539999999999964</v>
      </c>
      <c r="E692" s="4">
        <f t="shared" ca="1" si="21"/>
        <v>314.685</v>
      </c>
      <c r="F692" s="3">
        <v>24.359999999929414</v>
      </c>
      <c r="G692" s="3">
        <v>13866.210000000001</v>
      </c>
      <c r="H692" s="3">
        <f t="shared" si="20"/>
        <v>13890.569999999931</v>
      </c>
      <c r="I692" s="3">
        <v>43</v>
      </c>
      <c r="J692" s="3"/>
      <c r="K692" s="3"/>
      <c r="L692" s="3"/>
    </row>
    <row r="693" spans="1:12">
      <c r="A693" s="3">
        <v>43292</v>
      </c>
      <c r="B693" s="3">
        <v>318.95999999999998</v>
      </c>
      <c r="C693" s="4" cm="1">
        <f t="array" aca="1" ref="C693" ca="1">INDIRECT(ADDRESS(ROW()-C$3,2))-INDIRECT(ADDRESS(ROW()-C$2,2))</f>
        <v>10.060000000000002</v>
      </c>
      <c r="D693" s="4" cm="1">
        <f t="array" aca="1" ref="D693" ca="1">INDIRECT(ADDRESS(ROW()-D$3,2))-INDIRECT(ADDRESS(ROW()-D$2,2))</f>
        <v>-23.04000000000002</v>
      </c>
      <c r="E693" s="4">
        <f t="shared" ca="1" si="21"/>
        <v>315.81500000000005</v>
      </c>
      <c r="F693" s="3">
        <v>24.359999999929414</v>
      </c>
      <c r="G693" s="3">
        <v>13715.279999999999</v>
      </c>
      <c r="H693" s="3">
        <f t="shared" si="20"/>
        <v>13739.639999999928</v>
      </c>
      <c r="I693" s="3">
        <v>43</v>
      </c>
      <c r="J693" s="3"/>
      <c r="K693" s="3"/>
      <c r="L693" s="3"/>
    </row>
    <row r="694" spans="1:12">
      <c r="A694" s="3">
        <v>43293</v>
      </c>
      <c r="B694" s="3">
        <v>316.70999999999998</v>
      </c>
      <c r="C694" s="4" cm="1">
        <f t="array" aca="1" ref="C694" ca="1">INDIRECT(ADDRESS(ROW()-C$3,2))-INDIRECT(ADDRESS(ROW()-C$2,2))</f>
        <v>-1.8000000000000114</v>
      </c>
      <c r="D694" s="4" cm="1">
        <f t="array" aca="1" ref="D694" ca="1">INDIRECT(ADDRESS(ROW()-D$3,2))-INDIRECT(ADDRESS(ROW()-D$2,2))</f>
        <v>-27.79000000000002</v>
      </c>
      <c r="E694" s="4">
        <f t="shared" ca="1" si="21"/>
        <v>313.92999999999995</v>
      </c>
      <c r="F694" s="3">
        <v>13642.889999999928</v>
      </c>
      <c r="G694" s="3">
        <v>0</v>
      </c>
      <c r="H694" s="3">
        <f t="shared" si="20"/>
        <v>13642.889999999928</v>
      </c>
      <c r="I694" s="3">
        <v>0</v>
      </c>
      <c r="J694" s="3"/>
      <c r="K694" s="3"/>
      <c r="L694" s="3"/>
    </row>
    <row r="695" spans="1:12">
      <c r="A695" s="3">
        <v>43294</v>
      </c>
      <c r="B695" s="3">
        <v>318.87</v>
      </c>
      <c r="C695" s="4" cm="1">
        <f t="array" aca="1" ref="C695" ca="1">INDIRECT(ADDRESS(ROW()-C$3,2))-INDIRECT(ADDRESS(ROW()-C$2,2))</f>
        <v>-3.6000000000000227</v>
      </c>
      <c r="D695" s="4" cm="1">
        <f t="array" aca="1" ref="D695" ca="1">INDIRECT(ADDRESS(ROW()-D$3,2))-INDIRECT(ADDRESS(ROW()-D$2,2))</f>
        <v>-31.060000000000002</v>
      </c>
      <c r="E695" s="4">
        <f t="shared" ca="1" si="21"/>
        <v>317.61</v>
      </c>
      <c r="F695" s="3">
        <v>13642.889999999928</v>
      </c>
      <c r="G695" s="3">
        <v>0</v>
      </c>
      <c r="H695" s="3">
        <f t="shared" si="20"/>
        <v>13642.889999999928</v>
      </c>
      <c r="I695" s="3">
        <v>0</v>
      </c>
      <c r="J695" s="3"/>
      <c r="K695" s="3"/>
      <c r="L695" s="3"/>
    </row>
    <row r="696" spans="1:12">
      <c r="A696" s="3">
        <v>43297</v>
      </c>
      <c r="B696" s="3">
        <v>310.10000000000002</v>
      </c>
      <c r="C696" s="4" cm="1">
        <f t="array" aca="1" ref="C696" ca="1">INDIRECT(ADDRESS(ROW()-C$3,2))-INDIRECT(ADDRESS(ROW()-C$2,2))</f>
        <v>-8.8599999999999568</v>
      </c>
      <c r="D696" s="4" cm="1">
        <f t="array" aca="1" ref="D696" ca="1">INDIRECT(ADDRESS(ROW()-D$3,2))-INDIRECT(ADDRESS(ROW()-D$2,2))</f>
        <v>-32.849999999999966</v>
      </c>
      <c r="E696" s="4">
        <f t="shared" ca="1" si="21"/>
        <v>320.67</v>
      </c>
      <c r="F696" s="3">
        <v>13642.889999999928</v>
      </c>
      <c r="G696" s="3">
        <v>0</v>
      </c>
      <c r="H696" s="3">
        <f t="shared" si="20"/>
        <v>13642.889999999928</v>
      </c>
      <c r="I696" s="3">
        <v>0</v>
      </c>
      <c r="J696" s="3"/>
      <c r="K696" s="3"/>
      <c r="L696" s="3"/>
    </row>
    <row r="697" spans="1:12">
      <c r="A697" s="3">
        <v>43298</v>
      </c>
      <c r="B697" s="3">
        <v>322.69</v>
      </c>
      <c r="C697" s="4" cm="1">
        <f t="array" aca="1" ref="C697" ca="1">INDIRECT(ADDRESS(ROW()-C$3,2))-INDIRECT(ADDRESS(ROW()-C$2,2))</f>
        <v>5.9800000000000182</v>
      </c>
      <c r="D697" s="4" cm="1">
        <f t="array" aca="1" ref="D697" ca="1">INDIRECT(ADDRESS(ROW()-D$3,2))-INDIRECT(ADDRESS(ROW()-D$2,2))</f>
        <v>-12.379999999999995</v>
      </c>
      <c r="E697" s="4">
        <f t="shared" ca="1" si="21"/>
        <v>314.52999999999997</v>
      </c>
      <c r="F697" s="3">
        <v>89.909999999924935</v>
      </c>
      <c r="G697" s="3">
        <v>13552.98</v>
      </c>
      <c r="H697" s="3">
        <f t="shared" si="20"/>
        <v>13642.889999999925</v>
      </c>
      <c r="I697" s="3">
        <v>42</v>
      </c>
      <c r="J697" s="3"/>
      <c r="K697" s="3"/>
      <c r="L697" s="3"/>
    </row>
    <row r="698" spans="1:12">
      <c r="A698" s="3">
        <v>43299</v>
      </c>
      <c r="B698" s="3">
        <v>323.85000000000002</v>
      </c>
      <c r="C698" s="4" cm="1">
        <f t="array" aca="1" ref="C698" ca="1">INDIRECT(ADDRESS(ROW()-C$3,2))-INDIRECT(ADDRESS(ROW()-C$2,2))</f>
        <v>4.9800000000000182</v>
      </c>
      <c r="D698" s="4" cm="1">
        <f t="array" aca="1" ref="D698" ca="1">INDIRECT(ADDRESS(ROW()-D$3,2))-INDIRECT(ADDRESS(ROW()-D$2,2))</f>
        <v>12.990000000000009</v>
      </c>
      <c r="E698" s="4">
        <f t="shared" ca="1" si="21"/>
        <v>319.7</v>
      </c>
      <c r="F698" s="3">
        <v>89.909999999924935</v>
      </c>
      <c r="G698" s="3">
        <v>13601.7</v>
      </c>
      <c r="H698" s="3">
        <f t="shared" si="20"/>
        <v>13691.609999999926</v>
      </c>
      <c r="I698" s="3">
        <v>42</v>
      </c>
      <c r="J698" s="3"/>
      <c r="K698" s="3"/>
      <c r="L698" s="3"/>
    </row>
    <row r="699" spans="1:12">
      <c r="A699" s="3">
        <v>43300</v>
      </c>
      <c r="B699" s="3">
        <v>320.23</v>
      </c>
      <c r="C699" s="4" cm="1">
        <f t="array" aca="1" ref="C699" ca="1">INDIRECT(ADDRESS(ROW()-C$3,2))-INDIRECT(ADDRESS(ROW()-C$2,2))</f>
        <v>10.129999999999995</v>
      </c>
      <c r="D699" s="4" cm="1">
        <f t="array" aca="1" ref="D699" ca="1">INDIRECT(ADDRESS(ROW()-D$3,2))-INDIRECT(ADDRESS(ROW()-D$2,2))</f>
        <v>11.069999999999993</v>
      </c>
      <c r="E699" s="4">
        <f t="shared" ca="1" si="21"/>
        <v>321.36</v>
      </c>
      <c r="F699" s="3">
        <v>89.909999999924935</v>
      </c>
      <c r="G699" s="3">
        <v>13449.66</v>
      </c>
      <c r="H699" s="3">
        <f t="shared" si="20"/>
        <v>13539.569999999925</v>
      </c>
      <c r="I699" s="3">
        <v>42</v>
      </c>
      <c r="J699" s="3"/>
      <c r="K699" s="3"/>
      <c r="L699" s="3"/>
    </row>
    <row r="700" spans="1:12">
      <c r="A700" s="3">
        <v>43301</v>
      </c>
      <c r="B700" s="3">
        <v>313.58</v>
      </c>
      <c r="C700" s="4" cm="1">
        <f t="array" aca="1" ref="C700" ca="1">INDIRECT(ADDRESS(ROW()-C$3,2))-INDIRECT(ADDRESS(ROW()-C$2,2))</f>
        <v>-9.1100000000000136</v>
      </c>
      <c r="D700" s="4" cm="1">
        <f t="array" aca="1" ref="D700" ca="1">INDIRECT(ADDRESS(ROW()-D$3,2))-INDIRECT(ADDRESS(ROW()-D$2,2))</f>
        <v>4.6800000000000068</v>
      </c>
      <c r="E700" s="4">
        <f t="shared" ca="1" si="21"/>
        <v>315.16500000000002</v>
      </c>
      <c r="F700" s="3">
        <v>13260.269999999924</v>
      </c>
      <c r="G700" s="3">
        <v>0</v>
      </c>
      <c r="H700" s="3">
        <f t="shared" si="20"/>
        <v>13260.269999999924</v>
      </c>
      <c r="I700" s="3">
        <v>0</v>
      </c>
      <c r="J700" s="3"/>
      <c r="K700" s="3"/>
      <c r="L700" s="3"/>
    </row>
    <row r="701" spans="1:12">
      <c r="A701" s="3">
        <v>43304</v>
      </c>
      <c r="B701" s="3">
        <v>303.2</v>
      </c>
      <c r="C701" s="4" cm="1">
        <f t="array" aca="1" ref="C701" ca="1">INDIRECT(ADDRESS(ROW()-C$3,2))-INDIRECT(ADDRESS(ROW()-C$2,2))</f>
        <v>-20.650000000000034</v>
      </c>
      <c r="D701" s="4" cm="1">
        <f t="array" aca="1" ref="D701" ca="1">INDIRECT(ADDRESS(ROW()-D$3,2))-INDIRECT(ADDRESS(ROW()-D$2,2))</f>
        <v>-15.310000000000002</v>
      </c>
      <c r="E701" s="4">
        <f t="shared" ca="1" si="21"/>
        <v>318.13499999999999</v>
      </c>
      <c r="F701" s="3">
        <v>13260.269999999924</v>
      </c>
      <c r="G701" s="3">
        <v>0</v>
      </c>
      <c r="H701" s="3">
        <f t="shared" si="20"/>
        <v>13260.269999999924</v>
      </c>
      <c r="I701" s="3">
        <v>0</v>
      </c>
      <c r="J701" s="3"/>
      <c r="K701" s="3"/>
      <c r="L701" s="3"/>
    </row>
    <row r="702" spans="1:12">
      <c r="A702" s="3">
        <v>43305</v>
      </c>
      <c r="B702" s="3">
        <v>297.43</v>
      </c>
      <c r="C702" s="4" cm="1">
        <f t="array" aca="1" ref="C702" ca="1">INDIRECT(ADDRESS(ROW()-C$3,2))-INDIRECT(ADDRESS(ROW()-C$2,2))</f>
        <v>-22.800000000000011</v>
      </c>
      <c r="D702" s="4" cm="1">
        <f t="array" aca="1" ref="D702" ca="1">INDIRECT(ADDRESS(ROW()-D$3,2))-INDIRECT(ADDRESS(ROW()-D$2,2))</f>
        <v>-25.04000000000002</v>
      </c>
      <c r="E702" s="4">
        <f t="shared" ca="1" si="21"/>
        <v>313.52499999999998</v>
      </c>
      <c r="F702" s="3">
        <v>13260.269999999924</v>
      </c>
      <c r="G702" s="3">
        <v>0</v>
      </c>
      <c r="H702" s="3">
        <f t="shared" si="20"/>
        <v>13260.269999999924</v>
      </c>
      <c r="I702" s="3">
        <v>0</v>
      </c>
      <c r="J702" s="3"/>
      <c r="K702" s="3"/>
      <c r="L702" s="3"/>
    </row>
    <row r="703" spans="1:12">
      <c r="A703" s="3">
        <v>43306</v>
      </c>
      <c r="B703" s="3">
        <v>308.74</v>
      </c>
      <c r="C703" s="4" cm="1">
        <f t="array" aca="1" ref="C703" ca="1">INDIRECT(ADDRESS(ROW()-C$3,2))-INDIRECT(ADDRESS(ROW()-C$2,2))</f>
        <v>-4.839999999999975</v>
      </c>
      <c r="D703" s="4" cm="1">
        <f t="array" aca="1" ref="D703" ca="1">INDIRECT(ADDRESS(ROW()-D$3,2))-INDIRECT(ADDRESS(ROW()-D$2,2))</f>
        <v>-10.21999999999997</v>
      </c>
      <c r="E703" s="4">
        <f t="shared" ca="1" si="21"/>
        <v>308.83000000000004</v>
      </c>
      <c r="F703" s="3">
        <v>13260.269999999924</v>
      </c>
      <c r="G703" s="3">
        <v>0</v>
      </c>
      <c r="H703" s="3">
        <f t="shared" si="20"/>
        <v>13260.269999999924</v>
      </c>
      <c r="I703" s="3">
        <v>0</v>
      </c>
      <c r="J703" s="3"/>
      <c r="K703" s="3"/>
      <c r="L703" s="3"/>
    </row>
    <row r="704" spans="1:12">
      <c r="A704" s="3">
        <v>43307</v>
      </c>
      <c r="B704" s="3">
        <v>306.64999999999998</v>
      </c>
      <c r="C704" s="4" cm="1">
        <f t="array" aca="1" ref="C704" ca="1">INDIRECT(ADDRESS(ROW()-C$3,2))-INDIRECT(ADDRESS(ROW()-C$2,2))</f>
        <v>3.4499999999999886</v>
      </c>
      <c r="D704" s="4" cm="1">
        <f t="array" aca="1" ref="D704" ca="1">INDIRECT(ADDRESS(ROW()-D$3,2))-INDIRECT(ADDRESS(ROW()-D$2,2))</f>
        <v>-10.060000000000002</v>
      </c>
      <c r="E704" s="4">
        <f t="shared" ca="1" si="21"/>
        <v>311.15999999999997</v>
      </c>
      <c r="F704" s="3">
        <v>74.319999999933771</v>
      </c>
      <c r="G704" s="3">
        <v>13185.949999999999</v>
      </c>
      <c r="H704" s="3">
        <f t="shared" si="20"/>
        <v>13260.269999999933</v>
      </c>
      <c r="I704" s="3">
        <v>43</v>
      </c>
      <c r="J704" s="3"/>
      <c r="K704" s="3"/>
      <c r="L704" s="3"/>
    </row>
    <row r="705" spans="1:12">
      <c r="A705" s="3">
        <v>43308</v>
      </c>
      <c r="B705" s="3">
        <v>297.18</v>
      </c>
      <c r="C705" s="4" cm="1">
        <f t="array" aca="1" ref="C705" ca="1">INDIRECT(ADDRESS(ROW()-C$3,2))-INDIRECT(ADDRESS(ROW()-C$2,2))</f>
        <v>-0.25</v>
      </c>
      <c r="D705" s="4" cm="1">
        <f t="array" aca="1" ref="D705" ca="1">INDIRECT(ADDRESS(ROW()-D$3,2))-INDIRECT(ADDRESS(ROW()-D$2,2))</f>
        <v>-21.689999999999998</v>
      </c>
      <c r="E705" s="4">
        <f t="shared" ca="1" si="21"/>
        <v>304.92499999999995</v>
      </c>
      <c r="F705" s="3">
        <v>12853.059999999934</v>
      </c>
      <c r="G705" s="3">
        <v>0</v>
      </c>
      <c r="H705" s="3">
        <f t="shared" si="20"/>
        <v>12853.059999999934</v>
      </c>
      <c r="I705" s="3">
        <v>0</v>
      </c>
      <c r="J705" s="3"/>
      <c r="K705" s="3"/>
      <c r="L705" s="3"/>
    </row>
    <row r="706" spans="1:12">
      <c r="A706" s="3">
        <v>43311</v>
      </c>
      <c r="B706" s="3">
        <v>290.17</v>
      </c>
      <c r="C706" s="4" cm="1">
        <f t="array" aca="1" ref="C706" ca="1">INDIRECT(ADDRESS(ROW()-C$3,2))-INDIRECT(ADDRESS(ROW()-C$2,2))</f>
        <v>-18.569999999999993</v>
      </c>
      <c r="D706" s="4" cm="1">
        <f t="array" aca="1" ref="D706" ca="1">INDIRECT(ADDRESS(ROW()-D$3,2))-INDIRECT(ADDRESS(ROW()-D$2,2))</f>
        <v>-19.930000000000007</v>
      </c>
      <c r="E706" s="4">
        <f t="shared" ca="1" si="21"/>
        <v>297.30500000000001</v>
      </c>
      <c r="F706" s="3">
        <v>12853.059999999934</v>
      </c>
      <c r="G706" s="3">
        <v>0</v>
      </c>
      <c r="H706" s="3">
        <f t="shared" si="20"/>
        <v>12853.059999999934</v>
      </c>
      <c r="I706" s="3">
        <v>0</v>
      </c>
      <c r="J706" s="3"/>
      <c r="K706" s="3"/>
      <c r="L706" s="3"/>
    </row>
    <row r="707" spans="1:12">
      <c r="A707" s="3">
        <v>43312</v>
      </c>
      <c r="B707" s="3">
        <v>298.14</v>
      </c>
      <c r="C707" s="4" cm="1">
        <f t="array" aca="1" ref="C707" ca="1">INDIRECT(ADDRESS(ROW()-C$3,2))-INDIRECT(ADDRESS(ROW()-C$2,2))</f>
        <v>-8.5099999999999909</v>
      </c>
      <c r="D707" s="4" cm="1">
        <f t="array" aca="1" ref="D707" ca="1">INDIRECT(ADDRESS(ROW()-D$3,2))-INDIRECT(ADDRESS(ROW()-D$2,2))</f>
        <v>-24.550000000000011</v>
      </c>
      <c r="E707" s="4">
        <f t="shared" ca="1" si="21"/>
        <v>299.45500000000004</v>
      </c>
      <c r="F707" s="3">
        <v>12853.059999999934</v>
      </c>
      <c r="G707" s="3">
        <v>0</v>
      </c>
      <c r="H707" s="3">
        <f t="shared" si="20"/>
        <v>12853.059999999934</v>
      </c>
      <c r="I707" s="3">
        <v>0</v>
      </c>
      <c r="J707" s="3"/>
      <c r="K707" s="3"/>
      <c r="L707" s="3"/>
    </row>
    <row r="708" spans="1:12">
      <c r="A708" s="3">
        <v>43313</v>
      </c>
      <c r="B708" s="3">
        <v>300.83999999999997</v>
      </c>
      <c r="C708" s="4" cm="1">
        <f t="array" aca="1" ref="C708" ca="1">INDIRECT(ADDRESS(ROW()-C$3,2))-INDIRECT(ADDRESS(ROW()-C$2,2))</f>
        <v>3.6599999999999682</v>
      </c>
      <c r="D708" s="4" cm="1">
        <f t="array" aca="1" ref="D708" ca="1">INDIRECT(ADDRESS(ROW()-D$3,2))-INDIRECT(ADDRESS(ROW()-D$2,2))</f>
        <v>-23.010000000000048</v>
      </c>
      <c r="E708" s="4">
        <f t="shared" ca="1" si="21"/>
        <v>302.39499999999998</v>
      </c>
      <c r="F708" s="3">
        <v>217.77999999992943</v>
      </c>
      <c r="G708" s="3">
        <v>12635.279999999999</v>
      </c>
      <c r="H708" s="3">
        <f t="shared" si="20"/>
        <v>12853.059999999929</v>
      </c>
      <c r="I708" s="3">
        <v>42</v>
      </c>
      <c r="J708" s="3"/>
      <c r="K708" s="3"/>
      <c r="L708" s="3"/>
    </row>
    <row r="709" spans="1:12">
      <c r="A709" s="3">
        <v>43314</v>
      </c>
      <c r="B709" s="3">
        <v>349.54</v>
      </c>
      <c r="C709" s="4" cm="1">
        <f t="array" aca="1" ref="C709" ca="1">INDIRECT(ADDRESS(ROW()-C$3,2))-INDIRECT(ADDRESS(ROW()-C$2,2))</f>
        <v>59.370000000000005</v>
      </c>
      <c r="D709" s="4" cm="1">
        <f t="array" aca="1" ref="D709" ca="1">INDIRECT(ADDRESS(ROW()-D$3,2))-INDIRECT(ADDRESS(ROW()-D$2,2))</f>
        <v>29.310000000000002</v>
      </c>
      <c r="E709" s="4">
        <f t="shared" ca="1" si="21"/>
        <v>299.01</v>
      </c>
      <c r="F709" s="3">
        <v>217.77999999992943</v>
      </c>
      <c r="G709" s="3">
        <v>14680.68</v>
      </c>
      <c r="H709" s="3">
        <f t="shared" si="20"/>
        <v>14898.45999999993</v>
      </c>
      <c r="I709" s="3">
        <v>42</v>
      </c>
      <c r="J709" s="3"/>
      <c r="K709" s="3"/>
      <c r="L709" s="3"/>
    </row>
    <row r="710" spans="1:12">
      <c r="A710" s="3">
        <v>43315</v>
      </c>
      <c r="B710" s="3">
        <v>348.17</v>
      </c>
      <c r="C710" s="4" cm="1">
        <f t="array" aca="1" ref="C710" ca="1">INDIRECT(ADDRESS(ROW()-C$3,2))-INDIRECT(ADDRESS(ROW()-C$2,2))</f>
        <v>50.03000000000003</v>
      </c>
      <c r="D710" s="4" cm="1">
        <f t="array" aca="1" ref="D710" ca="1">INDIRECT(ADDRESS(ROW()-D$3,2))-INDIRECT(ADDRESS(ROW()-D$2,2))</f>
        <v>34.590000000000032</v>
      </c>
      <c r="E710" s="4">
        <f t="shared" ca="1" si="21"/>
        <v>319.85500000000002</v>
      </c>
      <c r="F710" s="3">
        <v>217.77999999992943</v>
      </c>
      <c r="G710" s="3">
        <v>14623.140000000001</v>
      </c>
      <c r="H710" s="3">
        <f t="shared" si="20"/>
        <v>14840.919999999931</v>
      </c>
      <c r="I710" s="3">
        <v>42</v>
      </c>
      <c r="J710" s="3"/>
      <c r="K710" s="3"/>
      <c r="L710" s="3"/>
    </row>
    <row r="711" spans="1:12">
      <c r="A711" s="3">
        <v>43318</v>
      </c>
      <c r="B711" s="3">
        <v>341.99</v>
      </c>
      <c r="C711" s="4" cm="1">
        <f t="array" aca="1" ref="C711" ca="1">INDIRECT(ADDRESS(ROW()-C$3,2))-INDIRECT(ADDRESS(ROW()-C$2,2))</f>
        <v>41.150000000000034</v>
      </c>
      <c r="D711" s="4" cm="1">
        <f t="array" aca="1" ref="D711" ca="1">INDIRECT(ADDRESS(ROW()-D$3,2))-INDIRECT(ADDRESS(ROW()-D$2,2))</f>
        <v>38.79000000000002</v>
      </c>
      <c r="E711" s="4">
        <f t="shared" ca="1" si="21"/>
        <v>323.15499999999997</v>
      </c>
      <c r="F711" s="3">
        <v>217.77999999992943</v>
      </c>
      <c r="G711" s="3">
        <v>14363.58</v>
      </c>
      <c r="H711" s="3">
        <f t="shared" si="20"/>
        <v>14581.35999999993</v>
      </c>
      <c r="I711" s="3">
        <v>42</v>
      </c>
      <c r="J711" s="3"/>
      <c r="K711" s="3"/>
      <c r="L711" s="3"/>
    </row>
    <row r="712" spans="1:12">
      <c r="A712" s="3">
        <v>43319</v>
      </c>
      <c r="B712" s="3">
        <v>379.57</v>
      </c>
      <c r="C712" s="4" cm="1">
        <f t="array" aca="1" ref="C712" ca="1">INDIRECT(ADDRESS(ROW()-C$3,2))-INDIRECT(ADDRESS(ROW()-C$2,2))</f>
        <v>30.029999999999973</v>
      </c>
      <c r="D712" s="4" cm="1">
        <f t="array" aca="1" ref="D712" ca="1">INDIRECT(ADDRESS(ROW()-D$3,2))-INDIRECT(ADDRESS(ROW()-D$2,2))</f>
        <v>82.139999999999986</v>
      </c>
      <c r="E712" s="4">
        <f t="shared" ca="1" si="21"/>
        <v>321.41499999999996</v>
      </c>
      <c r="F712" s="3">
        <v>217.77999999992943</v>
      </c>
      <c r="G712" s="3">
        <v>15941.94</v>
      </c>
      <c r="H712" s="3">
        <f t="shared" si="20"/>
        <v>16159.71999999993</v>
      </c>
      <c r="I712" s="3">
        <v>42</v>
      </c>
      <c r="J712" s="3"/>
      <c r="K712" s="3"/>
      <c r="L712" s="3"/>
    </row>
    <row r="713" spans="1:12">
      <c r="A713" s="3">
        <v>43320</v>
      </c>
      <c r="B713" s="3">
        <v>370.34</v>
      </c>
      <c r="C713" s="4" cm="1">
        <f t="array" aca="1" ref="C713" ca="1">INDIRECT(ADDRESS(ROW()-C$3,2))-INDIRECT(ADDRESS(ROW()-C$2,2))</f>
        <v>22.169999999999959</v>
      </c>
      <c r="D713" s="4" cm="1">
        <f t="array" aca="1" ref="D713" ca="1">INDIRECT(ADDRESS(ROW()-D$3,2))-INDIRECT(ADDRESS(ROW()-D$2,2))</f>
        <v>61.599999999999966</v>
      </c>
      <c r="E713" s="4">
        <f t="shared" ca="1" si="21"/>
        <v>364.55500000000001</v>
      </c>
      <c r="F713" s="3">
        <v>217.77999999992943</v>
      </c>
      <c r="G713" s="3">
        <v>15554.279999999999</v>
      </c>
      <c r="H713" s="3">
        <f t="shared" si="20"/>
        <v>15772.059999999929</v>
      </c>
      <c r="I713" s="3">
        <v>42</v>
      </c>
      <c r="J713" s="3"/>
      <c r="K713" s="3"/>
      <c r="L713" s="3"/>
    </row>
    <row r="714" spans="1:12">
      <c r="A714" s="3">
        <v>43321</v>
      </c>
      <c r="B714" s="3">
        <v>352.45</v>
      </c>
      <c r="C714" s="4" cm="1">
        <f t="array" aca="1" ref="C714" ca="1">INDIRECT(ADDRESS(ROW()-C$3,2))-INDIRECT(ADDRESS(ROW()-C$2,2))</f>
        <v>10.45999999999998</v>
      </c>
      <c r="D714" s="4" cm="1">
        <f t="array" aca="1" ref="D714" ca="1">INDIRECT(ADDRESS(ROW()-D$3,2))-INDIRECT(ADDRESS(ROW()-D$2,2))</f>
        <v>45.800000000000011</v>
      </c>
      <c r="E714" s="4">
        <f t="shared" ca="1" si="21"/>
        <v>359.255</v>
      </c>
      <c r="F714" s="3">
        <v>217.77999999992943</v>
      </c>
      <c r="G714" s="3">
        <v>14802.9</v>
      </c>
      <c r="H714" s="3">
        <f t="shared" si="20"/>
        <v>15020.679999999929</v>
      </c>
      <c r="I714" s="3">
        <v>42</v>
      </c>
      <c r="J714" s="3"/>
      <c r="K714" s="3"/>
      <c r="L714" s="3"/>
    </row>
    <row r="715" spans="1:12">
      <c r="A715" s="3">
        <v>43322</v>
      </c>
      <c r="B715" s="3">
        <v>355.49</v>
      </c>
      <c r="C715" s="4" cm="1">
        <f t="array" aca="1" ref="C715" ca="1">INDIRECT(ADDRESS(ROW()-C$3,2))-INDIRECT(ADDRESS(ROW()-C$2,2))</f>
        <v>-24.079999999999984</v>
      </c>
      <c r="D715" s="4" cm="1">
        <f t="array" aca="1" ref="D715" ca="1">INDIRECT(ADDRESS(ROW()-D$3,2))-INDIRECT(ADDRESS(ROW()-D$2,2))</f>
        <v>58.31</v>
      </c>
      <c r="E715" s="4">
        <f t="shared" ca="1" si="21"/>
        <v>347.22</v>
      </c>
      <c r="F715" s="3">
        <v>15148.35999999993</v>
      </c>
      <c r="G715" s="3">
        <v>0</v>
      </c>
      <c r="H715" s="3">
        <f t="shared" si="20"/>
        <v>15148.35999999993</v>
      </c>
      <c r="I715" s="3">
        <v>0</v>
      </c>
      <c r="J715" s="3"/>
      <c r="K715" s="3"/>
      <c r="L715" s="3"/>
    </row>
    <row r="716" spans="1:12">
      <c r="A716" s="3">
        <v>43325</v>
      </c>
      <c r="B716" s="3">
        <v>356.41</v>
      </c>
      <c r="C716" s="4" cm="1">
        <f t="array" aca="1" ref="C716" ca="1">INDIRECT(ADDRESS(ROW()-C$3,2))-INDIRECT(ADDRESS(ROW()-C$2,2))</f>
        <v>-13.92999999999995</v>
      </c>
      <c r="D716" s="4" cm="1">
        <f t="array" aca="1" ref="D716" ca="1">INDIRECT(ADDRESS(ROW()-D$3,2))-INDIRECT(ADDRESS(ROW()-D$2,2))</f>
        <v>66.240000000000009</v>
      </c>
      <c r="E716" s="4">
        <f t="shared" ca="1" si="21"/>
        <v>367.53</v>
      </c>
      <c r="F716" s="3">
        <v>15148.35999999993</v>
      </c>
      <c r="G716" s="3">
        <v>0</v>
      </c>
      <c r="H716" s="3">
        <f t="shared" si="20"/>
        <v>15148.35999999993</v>
      </c>
      <c r="I716" s="3">
        <v>0</v>
      </c>
      <c r="J716" s="3"/>
      <c r="K716" s="3"/>
      <c r="L716" s="3"/>
    </row>
    <row r="717" spans="1:12">
      <c r="A717" s="3">
        <v>43326</v>
      </c>
      <c r="B717" s="3">
        <v>347.64</v>
      </c>
      <c r="C717" s="4" cm="1">
        <f t="array" aca="1" ref="C717" ca="1">INDIRECT(ADDRESS(ROW()-C$3,2))-INDIRECT(ADDRESS(ROW()-C$2,2))</f>
        <v>-4.8100000000000023</v>
      </c>
      <c r="D717" s="4" cm="1">
        <f t="array" aca="1" ref="D717" ca="1">INDIRECT(ADDRESS(ROW()-D$3,2))-INDIRECT(ADDRESS(ROW()-D$2,2))</f>
        <v>49.5</v>
      </c>
      <c r="E717" s="4">
        <f t="shared" ca="1" si="21"/>
        <v>363.375</v>
      </c>
      <c r="F717" s="3">
        <v>15148.35999999993</v>
      </c>
      <c r="G717" s="3">
        <v>0</v>
      </c>
      <c r="H717" s="3">
        <f t="shared" si="20"/>
        <v>15148.35999999993</v>
      </c>
      <c r="I717" s="3">
        <v>0</v>
      </c>
      <c r="J717" s="3"/>
      <c r="K717" s="3"/>
      <c r="L717" s="3"/>
    </row>
    <row r="718" spans="1:12">
      <c r="A718" s="3">
        <v>43327</v>
      </c>
      <c r="B718" s="3">
        <v>338.69</v>
      </c>
      <c r="C718" s="4" cm="1">
        <f t="array" aca="1" ref="C718" ca="1">INDIRECT(ADDRESS(ROW()-C$3,2))-INDIRECT(ADDRESS(ROW()-C$2,2))</f>
        <v>-16.800000000000011</v>
      </c>
      <c r="D718" s="4" cm="1">
        <f t="array" aca="1" ref="D718" ca="1">INDIRECT(ADDRESS(ROW()-D$3,2))-INDIRECT(ADDRESS(ROW()-D$2,2))</f>
        <v>37.850000000000023</v>
      </c>
      <c r="E718" s="4">
        <f t="shared" ca="1" si="21"/>
        <v>350.04499999999996</v>
      </c>
      <c r="F718" s="3">
        <v>15148.35999999993</v>
      </c>
      <c r="G718" s="3">
        <v>0</v>
      </c>
      <c r="H718" s="3">
        <f t="shared" si="20"/>
        <v>15148.35999999993</v>
      </c>
      <c r="I718" s="3">
        <v>0</v>
      </c>
      <c r="J718" s="3"/>
      <c r="K718" s="3"/>
      <c r="L718" s="3"/>
    </row>
    <row r="719" spans="1:12">
      <c r="A719" s="3">
        <v>43328</v>
      </c>
      <c r="B719" s="3">
        <v>335.45</v>
      </c>
      <c r="C719" s="4" cm="1">
        <f t="array" aca="1" ref="C719" ca="1">INDIRECT(ADDRESS(ROW()-C$3,2))-INDIRECT(ADDRESS(ROW()-C$2,2))</f>
        <v>-20.960000000000036</v>
      </c>
      <c r="D719" s="4" cm="1">
        <f t="array" aca="1" ref="D719" ca="1">INDIRECT(ADDRESS(ROW()-D$3,2))-INDIRECT(ADDRESS(ROW()-D$2,2))</f>
        <v>-14.090000000000032</v>
      </c>
      <c r="E719" s="4">
        <f t="shared" ca="1" si="21"/>
        <v>347.09000000000003</v>
      </c>
      <c r="F719" s="3">
        <v>15148.35999999993</v>
      </c>
      <c r="G719" s="3">
        <v>0</v>
      </c>
      <c r="H719" s="3">
        <f t="shared" si="20"/>
        <v>15148.35999999993</v>
      </c>
      <c r="I719" s="3">
        <v>0</v>
      </c>
      <c r="J719" s="3"/>
      <c r="K719" s="3"/>
      <c r="L719" s="3"/>
    </row>
    <row r="720" spans="1:12">
      <c r="A720" s="3">
        <v>43329</v>
      </c>
      <c r="B720" s="3">
        <v>305.5</v>
      </c>
      <c r="C720" s="4" cm="1">
        <f t="array" aca="1" ref="C720" ca="1">INDIRECT(ADDRESS(ROW()-C$3,2))-INDIRECT(ADDRESS(ROW()-C$2,2))</f>
        <v>-42.139999999999986</v>
      </c>
      <c r="D720" s="4" cm="1">
        <f t="array" aca="1" ref="D720" ca="1">INDIRECT(ADDRESS(ROW()-D$3,2))-INDIRECT(ADDRESS(ROW()-D$2,2))</f>
        <v>-42.670000000000016</v>
      </c>
      <c r="E720" s="4">
        <f t="shared" ca="1" si="21"/>
        <v>345.93</v>
      </c>
      <c r="F720" s="3">
        <v>15148.35999999993</v>
      </c>
      <c r="G720" s="3">
        <v>0</v>
      </c>
      <c r="H720" s="3">
        <f t="shared" si="20"/>
        <v>15148.35999999993</v>
      </c>
      <c r="I720" s="3">
        <v>0</v>
      </c>
      <c r="J720" s="3"/>
      <c r="K720" s="3"/>
      <c r="L720" s="3"/>
    </row>
    <row r="721" spans="1:12">
      <c r="A721" s="3">
        <v>43332</v>
      </c>
      <c r="B721" s="3">
        <v>308.44</v>
      </c>
      <c r="C721" s="4" cm="1">
        <f t="array" aca="1" ref="C721" ca="1">INDIRECT(ADDRESS(ROW()-C$3,2))-INDIRECT(ADDRESS(ROW()-C$2,2))</f>
        <v>-30.25</v>
      </c>
      <c r="D721" s="4" cm="1">
        <f t="array" aca="1" ref="D721" ca="1">INDIRECT(ADDRESS(ROW()-D$3,2))-INDIRECT(ADDRESS(ROW()-D$2,2))</f>
        <v>-33.550000000000011</v>
      </c>
      <c r="E721" s="4">
        <f t="shared" ca="1" si="21"/>
        <v>326.57</v>
      </c>
      <c r="F721" s="3">
        <v>15148.35999999993</v>
      </c>
      <c r="G721" s="3">
        <v>0</v>
      </c>
      <c r="H721" s="3">
        <f t="shared" si="20"/>
        <v>15148.35999999993</v>
      </c>
      <c r="I721" s="3">
        <v>0</v>
      </c>
      <c r="J721" s="3"/>
      <c r="K721" s="3"/>
      <c r="L721" s="3"/>
    </row>
    <row r="722" spans="1:12">
      <c r="A722" s="3">
        <v>43333</v>
      </c>
      <c r="B722" s="3">
        <v>321.89999999999998</v>
      </c>
      <c r="C722" s="4" cm="1">
        <f t="array" aca="1" ref="C722" ca="1">INDIRECT(ADDRESS(ROW()-C$3,2))-INDIRECT(ADDRESS(ROW()-C$2,2))</f>
        <v>-13.550000000000011</v>
      </c>
      <c r="D722" s="4" cm="1">
        <f t="array" aca="1" ref="D722" ca="1">INDIRECT(ADDRESS(ROW()-D$3,2))-INDIRECT(ADDRESS(ROW()-D$2,2))</f>
        <v>-57.670000000000016</v>
      </c>
      <c r="E722" s="4">
        <f t="shared" ca="1" si="21"/>
        <v>323.565</v>
      </c>
      <c r="F722" s="3">
        <v>15148.35999999993</v>
      </c>
      <c r="G722" s="3">
        <v>0</v>
      </c>
      <c r="H722" s="3">
        <f t="shared" si="20"/>
        <v>15148.35999999993</v>
      </c>
      <c r="I722" s="3">
        <v>0</v>
      </c>
      <c r="J722" s="3"/>
      <c r="K722" s="3"/>
      <c r="L722" s="3"/>
    </row>
    <row r="723" spans="1:12">
      <c r="A723" s="3">
        <v>43334</v>
      </c>
      <c r="B723" s="3">
        <v>321.64</v>
      </c>
      <c r="C723" s="4" cm="1">
        <f t="array" aca="1" ref="C723" ca="1">INDIRECT(ADDRESS(ROW()-C$3,2))-INDIRECT(ADDRESS(ROW()-C$2,2))</f>
        <v>16.139999999999986</v>
      </c>
      <c r="D723" s="4" cm="1">
        <f t="array" aca="1" ref="D723" ca="1">INDIRECT(ADDRESS(ROW()-D$3,2))-INDIRECT(ADDRESS(ROW()-D$2,2))</f>
        <v>-48.699999999999989</v>
      </c>
      <c r="E723" s="4">
        <f t="shared" ca="1" si="21"/>
        <v>328.67499999999995</v>
      </c>
      <c r="F723" s="3">
        <v>31.279999999938809</v>
      </c>
      <c r="G723" s="3">
        <v>15117.08</v>
      </c>
      <c r="H723" s="3">
        <f t="shared" si="20"/>
        <v>15148.359999999939</v>
      </c>
      <c r="I723" s="3">
        <v>47</v>
      </c>
      <c r="J723" s="3"/>
      <c r="K723" s="3"/>
      <c r="L723" s="3"/>
    </row>
    <row r="724" spans="1:12">
      <c r="A724" s="3">
        <v>43335</v>
      </c>
      <c r="B724" s="3">
        <v>320.10000000000002</v>
      </c>
      <c r="C724" s="4" cm="1">
        <f t="array" aca="1" ref="C724" ca="1">INDIRECT(ADDRESS(ROW()-C$3,2))-INDIRECT(ADDRESS(ROW()-C$2,2))</f>
        <v>11.660000000000025</v>
      </c>
      <c r="D724" s="4" cm="1">
        <f t="array" aca="1" ref="D724" ca="1">INDIRECT(ADDRESS(ROW()-D$3,2))-INDIRECT(ADDRESS(ROW()-D$2,2))</f>
        <v>-32.349999999999966</v>
      </c>
      <c r="E724" s="4">
        <f t="shared" ca="1" si="21"/>
        <v>313.57</v>
      </c>
      <c r="F724" s="3">
        <v>31.279999999938809</v>
      </c>
      <c r="G724" s="3">
        <v>15044.7</v>
      </c>
      <c r="H724" s="3">
        <f t="shared" si="20"/>
        <v>15075.97999999994</v>
      </c>
      <c r="I724" s="3">
        <v>47</v>
      </c>
      <c r="J724" s="3"/>
      <c r="K724" s="3"/>
      <c r="L724" s="3"/>
    </row>
    <row r="725" spans="1:12">
      <c r="A725" s="3">
        <v>43336</v>
      </c>
      <c r="B725" s="3">
        <v>322.82</v>
      </c>
      <c r="C725" s="4" cm="1">
        <f t="array" aca="1" ref="C725" ca="1">INDIRECT(ADDRESS(ROW()-C$3,2))-INDIRECT(ADDRESS(ROW()-C$2,2))</f>
        <v>0.92000000000001592</v>
      </c>
      <c r="D725" s="4" cm="1">
        <f t="array" aca="1" ref="D725" ca="1">INDIRECT(ADDRESS(ROW()-D$3,2))-INDIRECT(ADDRESS(ROW()-D$2,2))</f>
        <v>-32.670000000000016</v>
      </c>
      <c r="E725" s="4">
        <f t="shared" ca="1" si="21"/>
        <v>314.27</v>
      </c>
      <c r="F725" s="3">
        <v>31.279999999938809</v>
      </c>
      <c r="G725" s="3">
        <v>15172.539999999999</v>
      </c>
      <c r="H725" s="3">
        <f t="shared" si="20"/>
        <v>15203.819999999938</v>
      </c>
      <c r="I725" s="3">
        <v>47</v>
      </c>
      <c r="J725" s="3"/>
      <c r="K725" s="3"/>
      <c r="L725" s="3"/>
    </row>
    <row r="726" spans="1:12">
      <c r="A726" s="3">
        <v>43339</v>
      </c>
      <c r="B726" s="3">
        <v>319.27</v>
      </c>
      <c r="C726" s="4" cm="1">
        <f t="array" aca="1" ref="C726" ca="1">INDIRECT(ADDRESS(ROW()-C$3,2))-INDIRECT(ADDRESS(ROW()-C$2,2))</f>
        <v>-2.3700000000000045</v>
      </c>
      <c r="D726" s="4" cm="1">
        <f t="array" aca="1" ref="D726" ca="1">INDIRECT(ADDRESS(ROW()-D$3,2))-INDIRECT(ADDRESS(ROW()-D$2,2))</f>
        <v>-37.140000000000043</v>
      </c>
      <c r="E726" s="4">
        <f t="shared" ca="1" si="21"/>
        <v>322.36</v>
      </c>
      <c r="F726" s="3">
        <v>15036.969999999937</v>
      </c>
      <c r="G726" s="3">
        <v>0</v>
      </c>
      <c r="H726" s="3">
        <f t="shared" si="20"/>
        <v>15036.969999999937</v>
      </c>
      <c r="I726" s="3">
        <v>0</v>
      </c>
      <c r="J726" s="3"/>
      <c r="K726" s="3"/>
      <c r="L726" s="3"/>
    </row>
    <row r="727" spans="1:12">
      <c r="A727" s="3">
        <v>43340</v>
      </c>
      <c r="B727" s="3">
        <v>311.86</v>
      </c>
      <c r="C727" s="4" cm="1">
        <f t="array" aca="1" ref="C727" ca="1">INDIRECT(ADDRESS(ROW()-C$3,2))-INDIRECT(ADDRESS(ROW()-C$2,2))</f>
        <v>-8.2400000000000091</v>
      </c>
      <c r="D727" s="4" cm="1">
        <f t="array" aca="1" ref="D727" ca="1">INDIRECT(ADDRESS(ROW()-D$3,2))-INDIRECT(ADDRESS(ROW()-D$2,2))</f>
        <v>-35.779999999999973</v>
      </c>
      <c r="E727" s="4">
        <f t="shared" ca="1" si="21"/>
        <v>320.45499999999998</v>
      </c>
      <c r="F727" s="3">
        <v>15036.969999999937</v>
      </c>
      <c r="G727" s="3">
        <v>0</v>
      </c>
      <c r="H727" s="3">
        <f t="shared" ref="H727:H752" si="22">G727+F727</f>
        <v>15036.969999999937</v>
      </c>
      <c r="I727" s="3">
        <v>0</v>
      </c>
      <c r="J727" s="3"/>
      <c r="K727" s="3"/>
      <c r="L727" s="3"/>
    </row>
    <row r="728" spans="1:12">
      <c r="A728" s="3">
        <v>43341</v>
      </c>
      <c r="B728" s="3">
        <v>305.01</v>
      </c>
      <c r="C728" s="4" cm="1">
        <f t="array" aca="1" ref="C728" ca="1">INDIRECT(ADDRESS(ROW()-C$3,2))-INDIRECT(ADDRESS(ROW()-C$2,2))</f>
        <v>-17.810000000000002</v>
      </c>
      <c r="D728" s="4" cm="1">
        <f t="array" aca="1" ref="D728" ca="1">INDIRECT(ADDRESS(ROW()-D$3,2))-INDIRECT(ADDRESS(ROW()-D$2,2))</f>
        <v>-33.680000000000007</v>
      </c>
      <c r="E728" s="4">
        <f t="shared" ref="E728:E760" ca="1" si="23">AVERAGE(INDIRECT(ADDRESS(ROW()-E$3,2)),INDIRECT(ADDRESS(ROW()-E$2,2)))</f>
        <v>315.98</v>
      </c>
      <c r="F728" s="3">
        <v>15036.969999999937</v>
      </c>
      <c r="G728" s="3">
        <v>0</v>
      </c>
      <c r="H728" s="3">
        <f t="shared" si="22"/>
        <v>15036.969999999937</v>
      </c>
      <c r="I728" s="3">
        <v>0</v>
      </c>
      <c r="J728" s="3"/>
      <c r="K728" s="3"/>
      <c r="L728" s="3"/>
    </row>
    <row r="729" spans="1:12">
      <c r="A729" s="3">
        <v>43342</v>
      </c>
      <c r="B729" s="3">
        <v>303.14999999999998</v>
      </c>
      <c r="C729" s="4" cm="1">
        <f t="array" aca="1" ref="C729" ca="1">INDIRECT(ADDRESS(ROW()-C$3,2))-INDIRECT(ADDRESS(ROW()-C$2,2))</f>
        <v>-16.120000000000005</v>
      </c>
      <c r="D729" s="4" cm="1">
        <f t="array" aca="1" ref="D729" ca="1">INDIRECT(ADDRESS(ROW()-D$3,2))-INDIRECT(ADDRESS(ROW()-D$2,2))</f>
        <v>-32.300000000000011</v>
      </c>
      <c r="E729" s="4">
        <f t="shared" ca="1" si="23"/>
        <v>313.91499999999996</v>
      </c>
      <c r="F729" s="3">
        <v>15036.969999999937</v>
      </c>
      <c r="G729" s="3">
        <v>0</v>
      </c>
      <c r="H729" s="3">
        <f t="shared" si="22"/>
        <v>15036.969999999937</v>
      </c>
      <c r="I729" s="3">
        <v>0</v>
      </c>
      <c r="J729" s="3"/>
      <c r="K729" s="3"/>
      <c r="L729" s="3"/>
    </row>
    <row r="730" spans="1:12">
      <c r="A730" s="3">
        <v>43343</v>
      </c>
      <c r="B730" s="3">
        <v>301.66000000000003</v>
      </c>
      <c r="C730" s="4" cm="1">
        <f t="array" aca="1" ref="C730" ca="1">INDIRECT(ADDRESS(ROW()-C$3,2))-INDIRECT(ADDRESS(ROW()-C$2,2))</f>
        <v>-10.199999999999989</v>
      </c>
      <c r="D730" s="4" cm="1">
        <f t="array" aca="1" ref="D730" ca="1">INDIRECT(ADDRESS(ROW()-D$3,2))-INDIRECT(ADDRESS(ROW()-D$2,2))</f>
        <v>-3.839999999999975</v>
      </c>
      <c r="E730" s="4">
        <f t="shared" ca="1" si="23"/>
        <v>311.20999999999998</v>
      </c>
      <c r="F730" s="3">
        <v>15036.969999999937</v>
      </c>
      <c r="G730" s="3">
        <v>0</v>
      </c>
      <c r="H730" s="3">
        <f t="shared" si="22"/>
        <v>15036.969999999937</v>
      </c>
      <c r="I730" s="3">
        <v>0</v>
      </c>
      <c r="J730" s="3"/>
      <c r="K730" s="3"/>
      <c r="L730" s="3"/>
    </row>
    <row r="731" spans="1:12">
      <c r="A731" s="3">
        <v>43347</v>
      </c>
      <c r="B731" s="3">
        <v>288.95</v>
      </c>
      <c r="C731" s="4" cm="1">
        <f t="array" aca="1" ref="C731" ca="1">INDIRECT(ADDRESS(ROW()-C$3,2))-INDIRECT(ADDRESS(ROW()-C$2,2))</f>
        <v>-16.060000000000002</v>
      </c>
      <c r="D731" s="4" cm="1">
        <f t="array" aca="1" ref="D731" ca="1">INDIRECT(ADDRESS(ROW()-D$3,2))-INDIRECT(ADDRESS(ROW()-D$2,2))</f>
        <v>-19.490000000000009</v>
      </c>
      <c r="E731" s="4">
        <f t="shared" ca="1" si="23"/>
        <v>306.76</v>
      </c>
      <c r="F731" s="3">
        <v>15036.969999999937</v>
      </c>
      <c r="G731" s="3">
        <v>0</v>
      </c>
      <c r="H731" s="3">
        <f t="shared" si="22"/>
        <v>15036.969999999937</v>
      </c>
      <c r="I731" s="3">
        <v>0</v>
      </c>
      <c r="J731" s="3"/>
      <c r="K731" s="3"/>
      <c r="L731" s="3"/>
    </row>
    <row r="732" spans="1:12">
      <c r="A732" s="3">
        <v>43348</v>
      </c>
      <c r="B732" s="3">
        <v>280.74</v>
      </c>
      <c r="C732" s="4" cm="1">
        <f t="array" aca="1" ref="C732" ca="1">INDIRECT(ADDRESS(ROW()-C$3,2))-INDIRECT(ADDRESS(ROW()-C$2,2))</f>
        <v>-22.409999999999968</v>
      </c>
      <c r="D732" s="4" cm="1">
        <f t="array" aca="1" ref="D732" ca="1">INDIRECT(ADDRESS(ROW()-D$3,2))-INDIRECT(ADDRESS(ROW()-D$2,2))</f>
        <v>-41.159999999999968</v>
      </c>
      <c r="E732" s="4">
        <f t="shared" ca="1" si="23"/>
        <v>296.98</v>
      </c>
      <c r="F732" s="3">
        <v>15036.969999999937</v>
      </c>
      <c r="G732" s="3">
        <v>0</v>
      </c>
      <c r="H732" s="3">
        <f t="shared" si="22"/>
        <v>15036.969999999937</v>
      </c>
      <c r="I732" s="3">
        <v>0</v>
      </c>
      <c r="J732" s="3"/>
      <c r="K732" s="3"/>
      <c r="L732" s="3"/>
    </row>
    <row r="733" spans="1:12">
      <c r="A733" s="3">
        <v>43349</v>
      </c>
      <c r="B733" s="3">
        <v>280.95</v>
      </c>
      <c r="C733" s="4" cm="1">
        <f t="array" aca="1" ref="C733" ca="1">INDIRECT(ADDRESS(ROW()-C$3,2))-INDIRECT(ADDRESS(ROW()-C$2,2))</f>
        <v>-20.710000000000036</v>
      </c>
      <c r="D733" s="4" cm="1">
        <f t="array" aca="1" ref="D733" ca="1">INDIRECT(ADDRESS(ROW()-D$3,2))-INDIRECT(ADDRESS(ROW()-D$2,2))</f>
        <v>-40.69</v>
      </c>
      <c r="E733" s="4">
        <f t="shared" ca="1" si="23"/>
        <v>291.94499999999999</v>
      </c>
      <c r="F733" s="3">
        <v>15036.969999999937</v>
      </c>
      <c r="G733" s="3">
        <v>0</v>
      </c>
      <c r="H733" s="3">
        <f t="shared" si="22"/>
        <v>15036.969999999937</v>
      </c>
      <c r="I733" s="3">
        <v>0</v>
      </c>
      <c r="J733" s="3"/>
      <c r="K733" s="3"/>
      <c r="L733" s="3"/>
    </row>
    <row r="734" spans="1:12">
      <c r="A734" s="3">
        <v>43350</v>
      </c>
      <c r="B734" s="3">
        <v>263.24</v>
      </c>
      <c r="C734" s="4" cm="1">
        <f t="array" aca="1" ref="C734" ca="1">INDIRECT(ADDRESS(ROW()-C$3,2))-INDIRECT(ADDRESS(ROW()-C$2,2))</f>
        <v>-25.70999999999998</v>
      </c>
      <c r="D734" s="4" cm="1">
        <f t="array" aca="1" ref="D734" ca="1">INDIRECT(ADDRESS(ROW()-D$3,2))-INDIRECT(ADDRESS(ROW()-D$2,2))</f>
        <v>-56.860000000000014</v>
      </c>
      <c r="E734" s="4">
        <f t="shared" ca="1" si="23"/>
        <v>291.30500000000001</v>
      </c>
      <c r="F734" s="3">
        <v>15036.969999999937</v>
      </c>
      <c r="G734" s="3">
        <v>0</v>
      </c>
      <c r="H734" s="3">
        <f t="shared" si="22"/>
        <v>15036.969999999937</v>
      </c>
      <c r="I734" s="3">
        <v>0</v>
      </c>
      <c r="J734" s="3"/>
      <c r="K734" s="3"/>
      <c r="L734" s="3"/>
    </row>
    <row r="735" spans="1:12">
      <c r="A735" s="3">
        <v>43353</v>
      </c>
      <c r="B735" s="3">
        <v>285.5</v>
      </c>
      <c r="C735" s="4" cm="1">
        <f t="array" aca="1" ref="C735" ca="1">INDIRECT(ADDRESS(ROW()-C$3,2))-INDIRECT(ADDRESS(ROW()-C$2,2))</f>
        <v>4.7599999999999909</v>
      </c>
      <c r="D735" s="4" cm="1">
        <f t="array" aca="1" ref="D735" ca="1">INDIRECT(ADDRESS(ROW()-D$3,2))-INDIRECT(ADDRESS(ROW()-D$2,2))</f>
        <v>-37.319999999999993</v>
      </c>
      <c r="E735" s="4">
        <f t="shared" ca="1" si="23"/>
        <v>276.09500000000003</v>
      </c>
      <c r="F735" s="3">
        <v>190.9699999999375</v>
      </c>
      <c r="G735" s="3">
        <v>14846</v>
      </c>
      <c r="H735" s="3">
        <f t="shared" si="22"/>
        <v>15036.969999999937</v>
      </c>
      <c r="I735" s="3">
        <v>52</v>
      </c>
      <c r="J735" s="3"/>
      <c r="K735" s="3"/>
      <c r="L735" s="3"/>
    </row>
    <row r="736" spans="1:12">
      <c r="A736" s="3">
        <v>43354</v>
      </c>
      <c r="B736" s="3">
        <v>279.44</v>
      </c>
      <c r="C736" s="4" cm="1">
        <f t="array" aca="1" ref="C736" ca="1">INDIRECT(ADDRESS(ROW()-C$3,2))-INDIRECT(ADDRESS(ROW()-C$2,2))</f>
        <v>-1.5099999999999909</v>
      </c>
      <c r="D736" s="4" cm="1">
        <f t="array" aca="1" ref="D736" ca="1">INDIRECT(ADDRESS(ROW()-D$3,2))-INDIRECT(ADDRESS(ROW()-D$2,2))</f>
        <v>-39.829999999999984</v>
      </c>
      <c r="E736" s="4">
        <f t="shared" ca="1" si="23"/>
        <v>283.12</v>
      </c>
      <c r="F736" s="3">
        <v>14721.849999999937</v>
      </c>
      <c r="G736" s="3">
        <v>0</v>
      </c>
      <c r="H736" s="3">
        <f t="shared" si="22"/>
        <v>14721.849999999937</v>
      </c>
      <c r="I736" s="3">
        <v>0</v>
      </c>
      <c r="J736" s="3"/>
      <c r="K736" s="3"/>
      <c r="L736" s="3"/>
    </row>
    <row r="737" spans="1:12">
      <c r="A737" s="3">
        <v>43355</v>
      </c>
      <c r="B737" s="3">
        <v>290.54000000000002</v>
      </c>
      <c r="C737" s="4" cm="1">
        <f t="array" aca="1" ref="C737" ca="1">INDIRECT(ADDRESS(ROW()-C$3,2))-INDIRECT(ADDRESS(ROW()-C$2,2))</f>
        <v>27.300000000000011</v>
      </c>
      <c r="D737" s="4" cm="1">
        <f t="array" aca="1" ref="D737" ca="1">INDIRECT(ADDRESS(ROW()-D$3,2))-INDIRECT(ADDRESS(ROW()-D$2,2))</f>
        <v>-21.319999999999993</v>
      </c>
      <c r="E737" s="4">
        <f t="shared" ca="1" si="23"/>
        <v>280.19499999999999</v>
      </c>
      <c r="F737" s="3">
        <v>194.8499999999184</v>
      </c>
      <c r="G737" s="3">
        <v>14527.000000000002</v>
      </c>
      <c r="H737" s="3">
        <f t="shared" si="22"/>
        <v>14721.84999999992</v>
      </c>
      <c r="I737" s="3">
        <v>50</v>
      </c>
      <c r="J737" s="3"/>
      <c r="K737" s="3"/>
      <c r="L737" s="3"/>
    </row>
    <row r="738" spans="1:12">
      <c r="A738" s="3">
        <v>43356</v>
      </c>
      <c r="B738" s="3">
        <v>289.45999999999998</v>
      </c>
      <c r="C738" s="4" cm="1">
        <f t="array" aca="1" ref="C738" ca="1">INDIRECT(ADDRESS(ROW()-C$3,2))-INDIRECT(ADDRESS(ROW()-C$2,2))</f>
        <v>3.9599999999999795</v>
      </c>
      <c r="D738" s="4" cm="1">
        <f t="array" aca="1" ref="D738" ca="1">INDIRECT(ADDRESS(ROW()-D$3,2))-INDIRECT(ADDRESS(ROW()-D$2,2))</f>
        <v>-15.550000000000011</v>
      </c>
      <c r="E738" s="4">
        <f t="shared" ca="1" si="23"/>
        <v>276.89</v>
      </c>
      <c r="F738" s="3">
        <v>194.8499999999184</v>
      </c>
      <c r="G738" s="3">
        <v>14472.999999999998</v>
      </c>
      <c r="H738" s="3">
        <f t="shared" si="22"/>
        <v>14667.849999999917</v>
      </c>
      <c r="I738" s="3">
        <v>50</v>
      </c>
      <c r="J738" s="3"/>
      <c r="K738" s="3"/>
      <c r="L738" s="3"/>
    </row>
    <row r="739" spans="1:12">
      <c r="A739" s="3">
        <v>43357</v>
      </c>
      <c r="B739" s="3">
        <v>295.2</v>
      </c>
      <c r="C739" s="4" cm="1">
        <f t="array" aca="1" ref="C739" ca="1">INDIRECT(ADDRESS(ROW()-C$3,2))-INDIRECT(ADDRESS(ROW()-C$2,2))</f>
        <v>15.759999999999991</v>
      </c>
      <c r="D739" s="4" cm="1">
        <f t="array" aca="1" ref="D739" ca="1">INDIRECT(ADDRESS(ROW()-D$3,2))-INDIRECT(ADDRESS(ROW()-D$2,2))</f>
        <v>-7.9499999999999886</v>
      </c>
      <c r="E739" s="4">
        <f t="shared" ca="1" si="23"/>
        <v>287.48</v>
      </c>
      <c r="F739" s="3">
        <v>194.8499999999184</v>
      </c>
      <c r="G739" s="3">
        <v>14760</v>
      </c>
      <c r="H739" s="3">
        <f t="shared" si="22"/>
        <v>14954.849999999919</v>
      </c>
      <c r="I739" s="3">
        <v>50</v>
      </c>
      <c r="J739" s="3"/>
      <c r="K739" s="3"/>
      <c r="L739" s="3"/>
    </row>
    <row r="740" spans="1:12">
      <c r="A740" s="3">
        <v>43360</v>
      </c>
      <c r="B740" s="3">
        <v>294.83999999999997</v>
      </c>
      <c r="C740" s="4" cm="1">
        <f t="array" aca="1" ref="C740" ca="1">INDIRECT(ADDRESS(ROW()-C$3,2))-INDIRECT(ADDRESS(ROW()-C$2,2))</f>
        <v>4.2999999999999545</v>
      </c>
      <c r="D740" s="4" cm="1">
        <f t="array" aca="1" ref="D740" ca="1">INDIRECT(ADDRESS(ROW()-D$3,2))-INDIRECT(ADDRESS(ROW()-D$2,2))</f>
        <v>-6.82000000000005</v>
      </c>
      <c r="E740" s="4">
        <f t="shared" ca="1" si="23"/>
        <v>287.32</v>
      </c>
      <c r="F740" s="3">
        <v>194.8499999999184</v>
      </c>
      <c r="G740" s="3">
        <v>14741.999999999998</v>
      </c>
      <c r="H740" s="3">
        <f t="shared" si="22"/>
        <v>14936.849999999917</v>
      </c>
      <c r="I740" s="3">
        <v>50</v>
      </c>
      <c r="J740" s="3"/>
      <c r="K740" s="3"/>
      <c r="L740" s="3"/>
    </row>
    <row r="741" spans="1:12">
      <c r="A741" s="3">
        <v>43361</v>
      </c>
      <c r="B741" s="3">
        <v>284.95999999999998</v>
      </c>
      <c r="C741" s="4" cm="1">
        <f t="array" aca="1" ref="C741" ca="1">INDIRECT(ADDRESS(ROW()-C$3,2))-INDIRECT(ADDRESS(ROW()-C$2,2))</f>
        <v>-4.5</v>
      </c>
      <c r="D741" s="4" cm="1">
        <f t="array" aca="1" ref="D741" ca="1">INDIRECT(ADDRESS(ROW()-D$3,2))-INDIRECT(ADDRESS(ROW()-D$2,2))</f>
        <v>-3.9900000000000091</v>
      </c>
      <c r="E741" s="4">
        <f t="shared" ca="1" si="23"/>
        <v>292.69</v>
      </c>
      <c r="F741" s="3">
        <v>14442.849999999917</v>
      </c>
      <c r="G741" s="3">
        <v>0</v>
      </c>
      <c r="H741" s="3">
        <f t="shared" si="22"/>
        <v>14442.849999999917</v>
      </c>
      <c r="I741" s="3">
        <v>0</v>
      </c>
      <c r="J741" s="3"/>
      <c r="K741" s="3"/>
      <c r="L741" s="3"/>
    </row>
    <row r="742" spans="1:12">
      <c r="A742" s="3">
        <v>43362</v>
      </c>
      <c r="B742" s="3">
        <v>299.02</v>
      </c>
      <c r="C742" s="4" cm="1">
        <f t="array" aca="1" ref="C742" ca="1">INDIRECT(ADDRESS(ROW()-C$3,2))-INDIRECT(ADDRESS(ROW()-C$2,2))</f>
        <v>3.8199999999999932</v>
      </c>
      <c r="D742" s="4" cm="1">
        <f t="array" aca="1" ref="D742" ca="1">INDIRECT(ADDRESS(ROW()-D$3,2))-INDIRECT(ADDRESS(ROW()-D$2,2))</f>
        <v>18.279999999999973</v>
      </c>
      <c r="E742" s="4">
        <f t="shared" ca="1" si="23"/>
        <v>287.20999999999998</v>
      </c>
      <c r="F742" s="3">
        <v>89.889999999902102</v>
      </c>
      <c r="G742" s="3">
        <v>14352.96</v>
      </c>
      <c r="H742" s="3">
        <f t="shared" si="22"/>
        <v>14442.8499999999</v>
      </c>
      <c r="I742" s="3">
        <v>48</v>
      </c>
      <c r="J742" s="3"/>
      <c r="K742" s="3"/>
      <c r="L742" s="3"/>
    </row>
    <row r="743" spans="1:12">
      <c r="A743" s="3">
        <v>43363</v>
      </c>
      <c r="B743" s="3">
        <v>298.33</v>
      </c>
      <c r="C743" s="4" cm="1">
        <f t="array" aca="1" ref="C743" ca="1">INDIRECT(ADDRESS(ROW()-C$3,2))-INDIRECT(ADDRESS(ROW()-C$2,2))</f>
        <v>3.4900000000000091</v>
      </c>
      <c r="D743" s="4" cm="1">
        <f t="array" aca="1" ref="D743" ca="1">INDIRECT(ADDRESS(ROW()-D$3,2))-INDIRECT(ADDRESS(ROW()-D$2,2))</f>
        <v>17.379999999999995</v>
      </c>
      <c r="E743" s="4">
        <f t="shared" ca="1" si="23"/>
        <v>297.11</v>
      </c>
      <c r="F743" s="3">
        <v>89.889999999902102</v>
      </c>
      <c r="G743" s="3">
        <v>14319.84</v>
      </c>
      <c r="H743" s="3">
        <f t="shared" si="22"/>
        <v>14409.729999999901</v>
      </c>
      <c r="I743" s="3">
        <v>48</v>
      </c>
      <c r="J743" s="3"/>
      <c r="K743" s="3"/>
      <c r="L743" s="3"/>
    </row>
    <row r="744" spans="1:12">
      <c r="A744" s="3">
        <v>43364</v>
      </c>
      <c r="B744" s="3">
        <v>299.10000000000002</v>
      </c>
      <c r="C744" s="4" cm="1">
        <f t="array" aca="1" ref="C744" ca="1">INDIRECT(ADDRESS(ROW()-C$3,2))-INDIRECT(ADDRESS(ROW()-C$2,2))</f>
        <v>14.140000000000043</v>
      </c>
      <c r="D744" s="4" cm="1">
        <f t="array" aca="1" ref="D744" ca="1">INDIRECT(ADDRESS(ROW()-D$3,2))-INDIRECT(ADDRESS(ROW()-D$2,2))</f>
        <v>35.860000000000014</v>
      </c>
      <c r="E744" s="4">
        <f t="shared" ca="1" si="23"/>
        <v>296.58499999999998</v>
      </c>
      <c r="F744" s="3">
        <v>89.889999999902102</v>
      </c>
      <c r="G744" s="3">
        <v>14356.800000000001</v>
      </c>
      <c r="H744" s="3">
        <f t="shared" si="22"/>
        <v>14446.689999999904</v>
      </c>
      <c r="I744" s="3">
        <v>48</v>
      </c>
      <c r="J744" s="3"/>
      <c r="K744" s="3"/>
      <c r="L744" s="3"/>
    </row>
    <row r="745" spans="1:12">
      <c r="A745" s="3">
        <v>43367</v>
      </c>
      <c r="B745" s="3">
        <v>299.68</v>
      </c>
      <c r="C745" s="4" cm="1">
        <f t="array" aca="1" ref="C745" ca="1">INDIRECT(ADDRESS(ROW()-C$3,2))-INDIRECT(ADDRESS(ROW()-C$2,2))</f>
        <v>0.66000000000002501</v>
      </c>
      <c r="D745" s="4" cm="1">
        <f t="array" aca="1" ref="D745" ca="1">INDIRECT(ADDRESS(ROW()-D$3,2))-INDIRECT(ADDRESS(ROW()-D$2,2))</f>
        <v>14.180000000000007</v>
      </c>
      <c r="E745" s="4">
        <f t="shared" ca="1" si="23"/>
        <v>292.02999999999997</v>
      </c>
      <c r="F745" s="3">
        <v>89.889999999902102</v>
      </c>
      <c r="G745" s="3">
        <v>14384.64</v>
      </c>
      <c r="H745" s="3">
        <f t="shared" si="22"/>
        <v>14474.529999999901</v>
      </c>
      <c r="I745" s="3">
        <v>48</v>
      </c>
      <c r="J745" s="3"/>
      <c r="K745" s="3"/>
      <c r="L745" s="3"/>
    </row>
    <row r="746" spans="1:12">
      <c r="A746" s="3">
        <v>43368</v>
      </c>
      <c r="B746" s="3">
        <v>300.99</v>
      </c>
      <c r="C746" s="4" cm="1">
        <f t="array" aca="1" ref="C746" ca="1">INDIRECT(ADDRESS(ROW()-C$3,2))-INDIRECT(ADDRESS(ROW()-C$2,2))</f>
        <v>2.660000000000025</v>
      </c>
      <c r="D746" s="4" cm="1">
        <f t="array" aca="1" ref="D746" ca="1">INDIRECT(ADDRESS(ROW()-D$3,2))-INDIRECT(ADDRESS(ROW()-D$2,2))</f>
        <v>21.550000000000011</v>
      </c>
      <c r="E746" s="4">
        <f t="shared" ca="1" si="23"/>
        <v>299.35000000000002</v>
      </c>
      <c r="F746" s="3">
        <v>89.889999999902102</v>
      </c>
      <c r="G746" s="3">
        <v>14447.52</v>
      </c>
      <c r="H746" s="3">
        <f t="shared" si="22"/>
        <v>14537.409999999902</v>
      </c>
      <c r="I746" s="3">
        <v>48</v>
      </c>
      <c r="J746" s="3"/>
      <c r="K746" s="3"/>
      <c r="L746" s="3"/>
    </row>
    <row r="747" spans="1:12">
      <c r="A747" s="3">
        <v>43369</v>
      </c>
      <c r="B747" s="3">
        <v>309.58</v>
      </c>
      <c r="C747" s="4" cm="1">
        <f t="array" aca="1" ref="C747" ca="1">INDIRECT(ADDRESS(ROW()-C$3,2))-INDIRECT(ADDRESS(ROW()-C$2,2))</f>
        <v>10.479999999999961</v>
      </c>
      <c r="D747" s="4" cm="1">
        <f t="array" aca="1" ref="D747" ca="1">INDIRECT(ADDRESS(ROW()-D$3,2))-INDIRECT(ADDRESS(ROW()-D$2,2))</f>
        <v>19.039999999999964</v>
      </c>
      <c r="E747" s="4">
        <f t="shared" ca="1" si="23"/>
        <v>299.65999999999997</v>
      </c>
      <c r="F747" s="3">
        <v>89.889999999902102</v>
      </c>
      <c r="G747" s="3">
        <v>14859.84</v>
      </c>
      <c r="H747" s="3">
        <f t="shared" si="22"/>
        <v>14949.729999999901</v>
      </c>
      <c r="I747" s="3">
        <v>48</v>
      </c>
      <c r="J747" s="3"/>
      <c r="K747" s="3"/>
      <c r="L747" s="3"/>
    </row>
    <row r="748" spans="1:12">
      <c r="A748" s="3">
        <v>43370</v>
      </c>
      <c r="B748" s="3">
        <v>307.52</v>
      </c>
      <c r="C748" s="4" cm="1">
        <f t="array" aca="1" ref="C748" ca="1">INDIRECT(ADDRESS(ROW()-C$3,2))-INDIRECT(ADDRESS(ROW()-C$2,2))</f>
        <v>7.839999999999975</v>
      </c>
      <c r="D748" s="4" cm="1">
        <f t="array" aca="1" ref="D748" ca="1">INDIRECT(ADDRESS(ROW()-D$3,2))-INDIRECT(ADDRESS(ROW()-D$2,2))</f>
        <v>18.060000000000002</v>
      </c>
      <c r="E748" s="4">
        <f t="shared" ca="1" si="23"/>
        <v>304.34000000000003</v>
      </c>
      <c r="F748" s="3">
        <v>89.889999999902102</v>
      </c>
      <c r="G748" s="3">
        <v>14760.96</v>
      </c>
      <c r="H748" s="3">
        <f t="shared" si="22"/>
        <v>14850.8499999999</v>
      </c>
      <c r="I748" s="3">
        <v>48</v>
      </c>
      <c r="J748" s="3"/>
      <c r="K748" s="3"/>
      <c r="L748" s="3"/>
    </row>
    <row r="749" spans="1:12">
      <c r="A749" s="3">
        <v>43371</v>
      </c>
      <c r="B749" s="3">
        <v>264.77</v>
      </c>
      <c r="C749" s="4" cm="1">
        <f t="array" aca="1" ref="C749" ca="1">INDIRECT(ADDRESS(ROW()-C$3,2))-INDIRECT(ADDRESS(ROW()-C$2,2))</f>
        <v>-36.220000000000027</v>
      </c>
      <c r="D749" s="4" cm="1">
        <f t="array" aca="1" ref="D749" ca="1">INDIRECT(ADDRESS(ROW()-D$3,2))-INDIRECT(ADDRESS(ROW()-D$2,2))</f>
        <v>-30.430000000000007</v>
      </c>
      <c r="E749" s="4">
        <f t="shared" ca="1" si="23"/>
        <v>303.60000000000002</v>
      </c>
      <c r="F749" s="3">
        <v>12798.8499999999</v>
      </c>
      <c r="G749" s="3">
        <v>0</v>
      </c>
      <c r="H749" s="3">
        <f t="shared" si="22"/>
        <v>12798.8499999999</v>
      </c>
      <c r="I749" s="3">
        <v>0</v>
      </c>
      <c r="J749" s="3"/>
      <c r="K749" s="3"/>
      <c r="L749" s="3"/>
    </row>
    <row r="750" spans="1:12">
      <c r="A750" s="3">
        <v>43374</v>
      </c>
      <c r="B750" s="3">
        <v>310.7</v>
      </c>
      <c r="C750" s="4" cm="1">
        <f t="array" aca="1" ref="C750" ca="1">INDIRECT(ADDRESS(ROW()-C$3,2))-INDIRECT(ADDRESS(ROW()-C$2,2))</f>
        <v>1.1200000000000045</v>
      </c>
      <c r="D750" s="4" cm="1">
        <f t="array" aca="1" ref="D750" ca="1">INDIRECT(ADDRESS(ROW()-D$3,2))-INDIRECT(ADDRESS(ROW()-D$2,2))</f>
        <v>15.860000000000014</v>
      </c>
      <c r="E750" s="4">
        <f t="shared" ca="1" si="23"/>
        <v>282.88</v>
      </c>
      <c r="F750" s="3">
        <v>60.149999999893566</v>
      </c>
      <c r="G750" s="3">
        <v>12738.699999999999</v>
      </c>
      <c r="H750" s="3">
        <f t="shared" si="22"/>
        <v>12798.849999999893</v>
      </c>
      <c r="I750" s="3">
        <v>41</v>
      </c>
      <c r="J750" s="3"/>
      <c r="K750" s="3"/>
      <c r="L750" s="3"/>
    </row>
    <row r="751" spans="1:12">
      <c r="A751" s="3">
        <v>43375</v>
      </c>
      <c r="B751" s="3">
        <v>301.02</v>
      </c>
      <c r="C751" s="4" cm="1">
        <f t="array" aca="1" ref="C751" ca="1">INDIRECT(ADDRESS(ROW()-C$3,2))-INDIRECT(ADDRESS(ROW()-C$2,2))</f>
        <v>-6.5</v>
      </c>
      <c r="D751" s="4" cm="1">
        <f t="array" aca="1" ref="D751" ca="1">INDIRECT(ADDRESS(ROW()-D$3,2))-INDIRECT(ADDRESS(ROW()-D$2,2))</f>
        <v>16.060000000000002</v>
      </c>
      <c r="E751" s="4">
        <f t="shared" ca="1" si="23"/>
        <v>310.14</v>
      </c>
      <c r="F751" s="3"/>
      <c r="G751" s="3"/>
      <c r="H751" s="3"/>
      <c r="I751" s="3"/>
      <c r="J751" s="3"/>
      <c r="K751" s="3"/>
      <c r="L751" s="3"/>
    </row>
    <row r="752" spans="1:12">
      <c r="A752" s="3">
        <v>43376</v>
      </c>
      <c r="B752" s="3">
        <v>294.8</v>
      </c>
      <c r="C752" s="4" cm="1">
        <f t="array" aca="1" ref="C752" ca="1">INDIRECT(ADDRESS(ROW()-C$3,2))-INDIRECT(ADDRESS(ROW()-C$2,2))</f>
        <v>30.03000000000003</v>
      </c>
      <c r="D752" s="4" cm="1">
        <f t="array" aca="1" ref="D752" ca="1">INDIRECT(ADDRESS(ROW()-D$3,2))-INDIRECT(ADDRESS(ROW()-D$2,2))</f>
        <v>-4.2199999999999704</v>
      </c>
      <c r="E752" s="4">
        <f t="shared" ca="1" si="23"/>
        <v>304.27</v>
      </c>
      <c r="F752" s="3"/>
      <c r="G752" s="3"/>
      <c r="H752" s="3"/>
      <c r="I752" s="3"/>
      <c r="J752" s="3"/>
      <c r="K752" s="3"/>
      <c r="L752" s="3"/>
    </row>
    <row r="753" spans="1:12">
      <c r="A753" s="3">
        <v>43377</v>
      </c>
      <c r="B753" s="3">
        <v>281.83</v>
      </c>
      <c r="C753" s="4" cm="1">
        <f t="array" aca="1" ref="C753" ca="1">INDIRECT(ADDRESS(ROW()-C$3,2))-INDIRECT(ADDRESS(ROW()-C$2,2))</f>
        <v>-28.870000000000005</v>
      </c>
      <c r="D753" s="4" cm="1">
        <f t="array" aca="1" ref="D753" ca="1">INDIRECT(ADDRESS(ROW()-D$3,2))-INDIRECT(ADDRESS(ROW()-D$2,2))</f>
        <v>-16.5</v>
      </c>
      <c r="E753" s="4">
        <f t="shared" ca="1" si="23"/>
        <v>279.78499999999997</v>
      </c>
      <c r="F753" s="3"/>
      <c r="G753" s="3"/>
      <c r="H753" s="3"/>
      <c r="I753" s="3"/>
      <c r="J753" s="3"/>
      <c r="K753" s="3"/>
      <c r="L753" s="3"/>
    </row>
    <row r="754" spans="1:12">
      <c r="A754" s="3">
        <v>43378</v>
      </c>
      <c r="B754" s="3">
        <v>261.95</v>
      </c>
      <c r="C754" s="4" cm="1">
        <f t="array" aca="1" ref="C754" ca="1">INDIRECT(ADDRESS(ROW()-C$3,2))-INDIRECT(ADDRESS(ROW()-C$2,2))</f>
        <v>-39.069999999999993</v>
      </c>
      <c r="D754" s="4" cm="1">
        <f t="array" aca="1" ref="D754" ca="1">INDIRECT(ADDRESS(ROW()-D$3,2))-INDIRECT(ADDRESS(ROW()-D$2,2))</f>
        <v>-37.150000000000034</v>
      </c>
      <c r="E754" s="4">
        <f t="shared" ca="1" si="23"/>
        <v>296.26499999999999</v>
      </c>
      <c r="F754" s="3"/>
      <c r="G754" s="3"/>
      <c r="H754" s="3"/>
      <c r="I754" s="3"/>
      <c r="J754" s="3"/>
      <c r="K754" s="3"/>
      <c r="L754" s="3"/>
    </row>
    <row r="755" spans="1:12">
      <c r="A755" s="3">
        <v>43381</v>
      </c>
      <c r="B755" s="3">
        <v>250.56</v>
      </c>
      <c r="C755" s="4" cm="1">
        <f t="array" aca="1" ref="C755" ca="1">INDIRECT(ADDRESS(ROW()-C$3,2))-INDIRECT(ADDRESS(ROW()-C$2,2))</f>
        <v>-44.240000000000009</v>
      </c>
      <c r="D755" s="4" cm="1">
        <f t="array" aca="1" ref="D755" ca="1">INDIRECT(ADDRESS(ROW()-D$3,2))-INDIRECT(ADDRESS(ROW()-D$2,2))</f>
        <v>-49.120000000000005</v>
      </c>
      <c r="E755" s="4">
        <f t="shared" ca="1" si="23"/>
        <v>281.48500000000001</v>
      </c>
      <c r="F755" s="3"/>
      <c r="G755" s="3"/>
      <c r="H755" s="3"/>
      <c r="I755" s="3"/>
      <c r="J755" s="3"/>
      <c r="K755" s="3"/>
      <c r="L755" s="3"/>
    </row>
    <row r="756" spans="1:12">
      <c r="A756" s="3">
        <v>43382</v>
      </c>
      <c r="B756" s="3">
        <v>262.8</v>
      </c>
      <c r="C756" s="4" cm="1">
        <f t="array" aca="1" ref="C756" ca="1">INDIRECT(ADDRESS(ROW()-C$3,2))-INDIRECT(ADDRESS(ROW()-C$2,2))</f>
        <v>-19.029999999999973</v>
      </c>
      <c r="D756" s="4" cm="1">
        <f t="array" aca="1" ref="D756" ca="1">INDIRECT(ADDRESS(ROW()-D$3,2))-INDIRECT(ADDRESS(ROW()-D$2,2))</f>
        <v>-38.19</v>
      </c>
      <c r="E756" s="4">
        <f t="shared" ca="1" si="23"/>
        <v>272.68</v>
      </c>
      <c r="F756" s="3"/>
      <c r="G756" s="3"/>
      <c r="H756" s="3"/>
      <c r="I756" s="3"/>
      <c r="J756" s="3"/>
      <c r="K756" s="3"/>
      <c r="L756" s="3"/>
    </row>
    <row r="757" spans="1:12">
      <c r="A757" s="3">
        <v>43383</v>
      </c>
      <c r="B757" s="3">
        <v>256.88</v>
      </c>
      <c r="C757" s="4" cm="1">
        <f t="array" aca="1" ref="C757" ca="1">INDIRECT(ADDRESS(ROW()-C$3,2))-INDIRECT(ADDRESS(ROW()-C$2,2))</f>
        <v>-5.0699999999999932</v>
      </c>
      <c r="D757" s="4" cm="1">
        <f t="array" aca="1" ref="D757" ca="1">INDIRECT(ADDRESS(ROW()-D$3,2))-INDIRECT(ADDRESS(ROW()-D$2,2))</f>
        <v>-52.699999999999989</v>
      </c>
      <c r="E757" s="4">
        <f t="shared" ca="1" si="23"/>
        <v>272.315</v>
      </c>
      <c r="F757" s="3"/>
      <c r="G757" s="3"/>
      <c r="H757" s="3"/>
      <c r="I757" s="3"/>
      <c r="J757" s="3"/>
      <c r="K757" s="3"/>
      <c r="L757" s="3"/>
    </row>
    <row r="758" spans="1:12">
      <c r="A758" s="3">
        <v>43384</v>
      </c>
      <c r="B758" s="3">
        <v>252.23</v>
      </c>
      <c r="C758" s="4" cm="1">
        <f t="array" aca="1" ref="C758" ca="1">INDIRECT(ADDRESS(ROW()-C$3,2))-INDIRECT(ADDRESS(ROW()-C$2,2))</f>
        <v>1.6699999999999875</v>
      </c>
      <c r="D758" s="4" cm="1">
        <f t="array" aca="1" ref="D758" ca="1">INDIRECT(ADDRESS(ROW()-D$3,2))-INDIRECT(ADDRESS(ROW()-D$2,2))</f>
        <v>-55.289999999999992</v>
      </c>
      <c r="E758" s="4">
        <f t="shared" ca="1" si="23"/>
        <v>259.41499999999996</v>
      </c>
      <c r="F758" s="3"/>
      <c r="G758" s="3"/>
      <c r="H758" s="3"/>
      <c r="I758" s="3"/>
      <c r="J758" s="3"/>
      <c r="K758" s="3"/>
      <c r="L758" s="3"/>
    </row>
    <row r="759" spans="1:12">
      <c r="A759" s="3">
        <v>43385</v>
      </c>
      <c r="B759" s="3">
        <v>258.77999999999997</v>
      </c>
      <c r="C759" s="4" cm="1">
        <f t="array" aca="1" ref="C759" ca="1">INDIRECT(ADDRESS(ROW()-C$3,2))-INDIRECT(ADDRESS(ROW()-C$2,2))</f>
        <v>-4.0200000000000387</v>
      </c>
      <c r="D759" s="4" cm="1">
        <f t="array" aca="1" ref="D759" ca="1">INDIRECT(ADDRESS(ROW()-D$3,2))-INDIRECT(ADDRESS(ROW()-D$2,2))</f>
        <v>-5.9900000000000091</v>
      </c>
      <c r="E759" s="4">
        <f t="shared" ca="1" si="23"/>
        <v>251.39499999999998</v>
      </c>
      <c r="F759" s="3"/>
      <c r="G759" s="3"/>
      <c r="H759" s="3"/>
      <c r="I759" s="3"/>
      <c r="J759" s="3"/>
      <c r="K759" s="3"/>
      <c r="L759" s="3"/>
    </row>
    <row r="760" spans="1:12">
      <c r="A760" s="3">
        <v>43388</v>
      </c>
      <c r="B760" s="3">
        <v>259.58999999999997</v>
      </c>
      <c r="C760" s="4" cm="1">
        <f t="array" aca="1" ref="C760" ca="1">INDIRECT(ADDRESS(ROW()-C$3,2))-INDIRECT(ADDRESS(ROW()-C$2,2))</f>
        <v>2.7099999999999795</v>
      </c>
      <c r="D760" s="4" cm="1">
        <f t="array" aca="1" ref="D760" ca="1">INDIRECT(ADDRESS(ROW()-D$3,2))-INDIRECT(ADDRESS(ROW()-D$2,2))</f>
        <v>-51.110000000000014</v>
      </c>
      <c r="E760" s="4">
        <f t="shared" ca="1" si="23"/>
        <v>260.78999999999996</v>
      </c>
      <c r="F760" s="3"/>
      <c r="G760" s="3"/>
      <c r="H760" s="3"/>
      <c r="I760" s="3"/>
      <c r="J760" s="3"/>
      <c r="K760" s="3"/>
      <c r="L760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tesla-stock-price</vt:lpstr>
      <vt:lpstr>tesla-stock-price (2)</vt:lpstr>
      <vt:lpstr>tesla-stock-price (3)</vt:lpstr>
      <vt:lpstr>tesla-stock-price (4)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Rochte</dc:creator>
  <cp:lastModifiedBy>Jake Rochte</cp:lastModifiedBy>
  <dcterms:created xsi:type="dcterms:W3CDTF">2021-06-30T04:23:04Z</dcterms:created>
  <dcterms:modified xsi:type="dcterms:W3CDTF">2021-06-30T07:47:16Z</dcterms:modified>
</cp:coreProperties>
</file>